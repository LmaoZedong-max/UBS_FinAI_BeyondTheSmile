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l2992\Downloads\"/>
    </mc:Choice>
  </mc:AlternateContent>
  <bookViews>
    <workbookView xWindow="0" yWindow="0" windowWidth="28800" windowHeight="12300" firstSheet="1" activeTab="9"/>
  </bookViews>
  <sheets>
    <sheet name="Vol_Surface" sheetId="1" r:id="rId1"/>
    <sheet name="FX_Levels" sheetId="2" r:id="rId2"/>
    <sheet name="Forwards_Basis" sheetId="3" r:id="rId3"/>
    <sheet name="Interest_Rates" sheetId="4" r:id="rId4"/>
    <sheet name="Funding_Liquidity" sheetId="5" r:id="rId5"/>
    <sheet name="Capital_Flows" sheetId="6" r:id="rId6"/>
    <sheet name="Global_Risk" sheetId="7" r:id="rId7"/>
    <sheet name="China_Macro" sheetId="8" r:id="rId8"/>
    <sheet name="US_Macro" sheetId="9" r:id="rId9"/>
    <sheet name="Policy_Rates" sheetId="10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C1" i="1"/>
  <c r="A1" i="1"/>
  <c r="A1" i="3"/>
  <c r="E1" i="2"/>
  <c r="C1" i="2"/>
  <c r="C1" i="10"/>
  <c r="E1" i="5"/>
  <c r="G1" i="7"/>
  <c r="Q1" i="5"/>
  <c r="G1" i="4"/>
  <c r="K1" i="8"/>
  <c r="G1" i="9"/>
  <c r="G1" i="6"/>
  <c r="M1" i="8"/>
  <c r="I1" i="7"/>
  <c r="A1" i="2"/>
  <c r="C1" i="7"/>
  <c r="O1" i="4"/>
  <c r="E1" i="9"/>
  <c r="U1" i="5"/>
  <c r="A1" i="10"/>
  <c r="E1" i="4"/>
  <c r="G1" i="5"/>
  <c r="W1" i="3"/>
  <c r="I1" i="6"/>
  <c r="C1" i="6"/>
  <c r="M1" i="4"/>
  <c r="Q1" i="3"/>
  <c r="S1" i="3"/>
  <c r="M1" i="3"/>
  <c r="O1" i="3"/>
  <c r="C1" i="3"/>
  <c r="G1" i="3"/>
  <c r="E1" i="3"/>
  <c r="K1" i="3"/>
  <c r="E1" i="10"/>
  <c r="I1" i="3"/>
  <c r="A1" i="6"/>
  <c r="K1" i="7"/>
  <c r="I1" i="4"/>
  <c r="E1" i="7"/>
  <c r="O1" i="5"/>
  <c r="C1" i="8"/>
  <c r="C1" i="4"/>
  <c r="Y1" i="3"/>
  <c r="E1" i="8"/>
  <c r="E1" i="6"/>
  <c r="M1" i="5"/>
  <c r="A1" i="5"/>
  <c r="I1" i="5"/>
  <c r="G1" i="8"/>
  <c r="A1" i="7"/>
  <c r="A1" i="9"/>
  <c r="K1" i="4"/>
  <c r="K1" i="5"/>
  <c r="I1" i="9"/>
  <c r="U1" i="3"/>
  <c r="A1" i="8"/>
  <c r="I1" i="8"/>
  <c r="AS1" i="1"/>
  <c r="AO1" i="1"/>
  <c r="AU1" i="1"/>
  <c r="AQ1" i="1"/>
  <c r="K1" i="1"/>
  <c r="S1" i="1"/>
  <c r="Q1" i="1"/>
  <c r="M1" i="1"/>
  <c r="O1" i="1"/>
  <c r="G1" i="1"/>
  <c r="I1" i="1"/>
  <c r="E1" i="1"/>
  <c r="Y1" i="1"/>
  <c r="AM1" i="1"/>
  <c r="W1" i="1"/>
  <c r="AE1" i="1"/>
  <c r="U1" i="1"/>
  <c r="AI1" i="1"/>
  <c r="AK1" i="1"/>
  <c r="AC1" i="1"/>
  <c r="AG1" i="1"/>
  <c r="AA1" i="1"/>
  <c r="C1" i="9"/>
  <c r="C1" i="5"/>
  <c r="S1" i="5"/>
  <c r="Q1" i="8"/>
  <c r="O1" i="8"/>
  <c r="U1" i="4"/>
  <c r="W1" i="4"/>
  <c r="Q1" i="4"/>
  <c r="S1" i="4"/>
  <c r="Y1" i="4"/>
  <c r="AA1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BDH|10858986720473501270</stp>
        <tr r="AM1" s="1"/>
      </tp>
      <tp t="s">
        <v>#N/A N/A</v>
        <stp/>
        <stp>BDH|11038257930799154329</stp>
        <tr r="C1" s="7"/>
      </tp>
      <tp t="s">
        <v>#N/A N/A</v>
        <stp/>
        <stp>BDP|13145720990462417432</stp>
        <tr r="Q1" s="8"/>
      </tp>
      <tp t="s">
        <v>#N/A N/A</v>
        <stp/>
        <stp>BDH|11286178986474079748</stp>
        <tr r="M1" s="3"/>
      </tp>
      <tp t="s">
        <v>#N/A N/A</v>
        <stp/>
        <stp>BDH|14584201084276977325</stp>
        <tr r="W1" s="4"/>
      </tp>
      <tp t="s">
        <v>#N/A N/A</v>
        <stp/>
        <stp>BDH|14966096646980604866</stp>
        <tr r="A1" s="3"/>
      </tp>
      <tp t="s">
        <v>#N/A N/A</v>
        <stp/>
        <stp>BDH|17583987730711293458</stp>
        <tr r="Y1" s="1"/>
      </tp>
      <tp t="s">
        <v>#N/A N/A</v>
        <stp/>
        <stp>BDH|18170330942144428203</stp>
        <tr r="S1" s="3"/>
      </tp>
      <tp t="s">
        <v>#N/A N/A</v>
        <stp/>
        <stp>BDH|10498629790898034925</stp>
        <tr r="C1" s="1"/>
      </tp>
      <tp t="s">
        <v>#N/A N/A</v>
        <stp/>
        <stp>BDH|14253535277489481155</stp>
        <tr r="Q1" s="3"/>
      </tp>
      <tp t="s">
        <v>#N/A N/A</v>
        <stp/>
        <stp>BDH|18253727936882813049</stp>
        <tr r="C1" s="9"/>
      </tp>
      <tp t="s">
        <v>#N/A N/A</v>
        <stp/>
        <stp>BDH|15110915404092458115</stp>
        <tr r="K1" s="7"/>
      </tp>
      <tp t="s">
        <v>#N/A N/A</v>
        <stp/>
        <stp>BDH|18273687882158100138</stp>
        <tr r="C1" s="5"/>
      </tp>
      <tp t="s">
        <v>#N/A N/A</v>
        <stp/>
        <stp>BDH|14914538910399892526</stp>
        <tr r="M1" s="5"/>
      </tp>
      <tp t="s">
        <v>#N/A N/A</v>
        <stp/>
        <stp>BDH|13140818416991669629</stp>
        <tr r="G1" s="6"/>
      </tp>
      <tp t="s">
        <v>#N/A N/A</v>
        <stp/>
        <stp>BDH|16935398622998260259</stp>
        <tr r="G1" s="4"/>
      </tp>
      <tp t="s">
        <v>#N/A N/A</v>
        <stp/>
        <stp>BDH|16979829052092344449</stp>
        <tr r="C1" s="10"/>
      </tp>
      <tp t="s">
        <v>#N/A N/A</v>
        <stp/>
        <stp>BDH|13783148604262188235</stp>
        <tr r="I1" s="5"/>
      </tp>
      <tp t="s">
        <v>#N/A N/A</v>
        <stp/>
        <stp>BDH|10322360307354050567</stp>
        <tr r="W1" s="1"/>
      </tp>
      <tp t="s">
        <v>#N/A N/A</v>
        <stp/>
        <stp>BDH|11197111957341344630</stp>
        <tr r="I1" s="7"/>
      </tp>
      <tp t="s">
        <v>#N/A N/A</v>
        <stp/>
        <stp>BDH|17591222629880613505</stp>
        <tr r="K1" s="1"/>
      </tp>
      <tp t="s">
        <v>#N/A N/A</v>
        <stp/>
        <stp>BDH|16703663778413206601</stp>
        <tr r="U1" s="4"/>
      </tp>
      <tp t="s">
        <v>#N/A N/A</v>
        <stp/>
        <stp>BDH|17631633305592526183</stp>
        <tr r="E1" s="5"/>
      </tp>
      <tp t="s">
        <v>#N/A N/A</v>
        <stp/>
        <stp>BDH|16875477499959637115</stp>
        <tr r="K1" s="8"/>
      </tp>
      <tp t="s">
        <v>#N/A N/A</v>
        <stp/>
        <stp>BDH|16733719167557082314</stp>
        <tr r="AO1" s="1"/>
      </tp>
      <tp t="s">
        <v>#N/A N/A</v>
        <stp/>
        <stp>BDH|17264728176215460178</stp>
        <tr r="C1" s="2"/>
      </tp>
      <tp t="s">
        <v>#N/A N/A</v>
        <stp/>
        <stp>BDH|12488656969868346907</stp>
        <tr r="S1" s="1"/>
      </tp>
      <tp t="s">
        <v>#N/A N/A</v>
        <stp/>
        <stp>BDH|14266696142865920380</stp>
        <tr r="A1" s="5"/>
      </tp>
      <tp t="s">
        <v>#N/A N/A</v>
        <stp/>
        <stp>BDH|11481140573557824019</stp>
        <tr r="M1" s="8"/>
      </tp>
      <tp t="s">
        <v>#N/A N/A</v>
        <stp/>
        <stp>BDH|15753505303688914827</stp>
        <tr r="K1" s="3"/>
      </tp>
      <tp t="s">
        <v>#N/A N/A</v>
        <stp/>
        <stp>BDH|16009325348183879355</stp>
        <tr r="E1" s="10"/>
      </tp>
      <tp t="s">
        <v>#N/A N/A</v>
        <stp/>
        <stp>BDH|17810270114555767047</stp>
        <tr r="S1" s="5"/>
      </tp>
      <tp t="s">
        <v>#N/A N/A</v>
        <stp/>
        <stp>BDH|11128133744656997323</stp>
        <tr r="A1" s="1"/>
      </tp>
      <tp t="s">
        <v>#N/A N/A</v>
        <stp/>
        <stp>BDH|11645100922887881410</stp>
        <tr r="AS1" s="1"/>
      </tp>
      <tp t="s">
        <v>#N/A N/A</v>
        <stp/>
        <stp>BDH|14612018594853718849</stp>
        <tr r="A1" s="4"/>
      </tp>
      <tp t="s">
        <v>#N/A N/A</v>
        <stp/>
        <stp>BDH|12297281072737585606</stp>
        <tr r="AU1" s="1"/>
      </tp>
      <tp t="s">
        <v>#N/A N/A</v>
        <stp/>
        <stp>BDH|10214696101159608904</stp>
        <tr r="O1" s="3"/>
      </tp>
      <tp t="s">
        <v>#N/A N/A</v>
        <stp/>
        <stp>BDH|17359610785529293778</stp>
        <tr r="G1" s="1"/>
      </tp>
      <tp t="s">
        <v>#N/A N/A</v>
        <stp/>
        <stp>BDH|16692192613048670924</stp>
        <tr r="G1" s="9"/>
      </tp>
      <tp t="s">
        <v>#N/A N/A</v>
        <stp/>
        <stp>BDH|16765074972304958190</stp>
        <tr r="G1" s="7"/>
      </tp>
      <tp t="s">
        <v>#N/A N/A</v>
        <stp/>
        <stp>BDH|15639664511183345544</stp>
        <tr r="I1" s="4"/>
      </tp>
      <tp t="s">
        <v>#N/A N/A</v>
        <stp/>
        <stp>BDH|17133140825331840104</stp>
        <tr r="Q1" s="5"/>
      </tp>
      <tp t="s">
        <v>#N/A N/A</v>
        <stp/>
        <stp>BDH|13598467870640790507</stp>
        <tr r="G1" s="8"/>
      </tp>
      <tp t="s">
        <v>#N/A N/A</v>
        <stp/>
        <stp>BDH|10961743276150872547</stp>
        <tr r="Q1" s="4"/>
      </tp>
    </main>
    <main first="bofaddin.rtdserver">
      <tp t="s">
        <v>#N/A N/A</v>
        <stp/>
        <stp>BDH|9799400873786444013</stp>
        <tr r="AE1" s="1"/>
      </tp>
      <tp t="s">
        <v>#N/A N/A</v>
        <stp/>
        <stp>BDH|9421728298903544943</stp>
        <tr r="O1" s="4"/>
      </tp>
      <tp t="s">
        <v>#N/A N/A</v>
        <stp/>
        <stp>BDH|1783579606301693817</stp>
        <tr r="A1" s="9"/>
      </tp>
      <tp t="s">
        <v>#N/A N/A</v>
        <stp/>
        <stp>BDH|8969057736261615456</stp>
        <tr r="Y1" s="4"/>
      </tp>
      <tp t="s">
        <v>#N/A N/A</v>
        <stp/>
        <stp>BDH|5175125714608888306</stp>
        <tr r="E1" s="6"/>
      </tp>
      <tp t="s">
        <v>#N/A N/A</v>
        <stp/>
        <stp>BDH|9319753266314683276</stp>
        <tr r="AQ1" s="1"/>
      </tp>
      <tp t="s">
        <v>#N/A N/A</v>
        <stp/>
        <stp>BDP|6289000993878093972</stp>
        <tr r="O1" s="8"/>
      </tp>
      <tp t="s">
        <v>#N/A N/A</v>
        <stp/>
        <stp>BDH|8342364627755091278</stp>
        <tr r="I1" s="3"/>
      </tp>
      <tp t="s">
        <v>#N/A N/A</v>
        <stp/>
        <stp>BDH|4669437101328671720</stp>
        <tr r="A1" s="6"/>
      </tp>
      <tp t="s">
        <v>#N/A N/A</v>
        <stp/>
        <stp>BDH|9998996981444377336</stp>
        <tr r="C1" s="3"/>
      </tp>
      <tp t="s">
        <v>#N/A N/A</v>
        <stp/>
        <stp>BDH|98255811608924913</stp>
        <tr r="AA1" s="1"/>
      </tp>
      <tp t="s">
        <v>#N/A N/A</v>
        <stp/>
        <stp>BDH|6409958264493611218</stp>
        <tr r="AK1" s="1"/>
      </tp>
      <tp t="s">
        <v>#N/A N/A</v>
        <stp/>
        <stp>BDH|4963125489701189445</stp>
        <tr r="E1" s="7"/>
      </tp>
      <tp t="s">
        <v>#N/A N/A</v>
        <stp/>
        <stp>BDH|1351090498623644250</stp>
        <tr r="K1" s="5"/>
      </tp>
      <tp t="s">
        <v>#N/A N/A</v>
        <stp/>
        <stp>BDH|9348213229076470517</stp>
        <tr r="E1" s="9"/>
      </tp>
      <tp t="s">
        <v>#N/A N/A</v>
        <stp/>
        <stp>BDH|8096053679835597116</stp>
        <tr r="O1" s="5"/>
      </tp>
      <tp t="s">
        <v>#N/A N/A</v>
        <stp/>
        <stp>BDH|9828957191708027565</stp>
        <tr r="G1" s="3"/>
      </tp>
      <tp t="s">
        <v>#N/A N/A</v>
        <stp/>
        <stp>BDH|2611322738055166322</stp>
        <tr r="E1" s="1"/>
      </tp>
      <tp t="s">
        <v>#N/A N/A</v>
        <stp/>
        <stp>BDH|9450065220326037927</stp>
        <tr r="I1" s="1"/>
      </tp>
      <tp t="s">
        <v>#N/A N/A</v>
        <stp/>
        <stp>BDH|6407920154269548714</stp>
        <tr r="M1" s="1"/>
      </tp>
      <tp t="s">
        <v>#N/A N/A</v>
        <stp/>
        <stp>BDH|5277503079885614773</stp>
        <tr r="AC1" s="1"/>
      </tp>
      <tp t="s">
        <v>#N/A N/A</v>
        <stp/>
        <stp>BDH|7533343250490105422</stp>
        <tr r="Y1" s="3"/>
      </tp>
      <tp t="s">
        <v>#N/A N/A</v>
        <stp/>
        <stp>BDH|9118647087092782037</stp>
        <tr r="E1" s="2"/>
      </tp>
      <tp t="s">
        <v>#N/A N/A</v>
        <stp/>
        <stp>BDH|8185289598155672300</stp>
        <tr r="AI1" s="1"/>
      </tp>
      <tp t="s">
        <v>#N/A N/A</v>
        <stp/>
        <stp>BDH|6604095830540350087</stp>
        <tr r="E1" s="8"/>
      </tp>
      <tp t="s">
        <v>#N/A N/A</v>
        <stp/>
        <stp>BDH|3182281702294178318</stp>
        <tr r="A1" s="10"/>
      </tp>
      <tp t="s">
        <v>#N/A N/A</v>
        <stp/>
        <stp>BDH|8517159058078285245</stp>
        <tr r="U1" s="5"/>
      </tp>
      <tp t="s">
        <v>#N/A N/A</v>
        <stp/>
        <stp>BDH|9573664868939036664</stp>
        <tr r="A1" s="2"/>
      </tp>
      <tp t="s">
        <v>#N/A N/A</v>
        <stp/>
        <stp>BDH|2120060335360499739</stp>
        <tr r="M1" s="4"/>
      </tp>
      <tp t="s">
        <v>#N/A N/A</v>
        <stp/>
        <stp>BDH|8261141846619469380</stp>
        <tr r="Q1" s="1"/>
      </tp>
      <tp t="s">
        <v>#N/A N/A</v>
        <stp/>
        <stp>BDH|2435663811961605381</stp>
        <tr r="C1" s="6"/>
      </tp>
      <tp t="s">
        <v>#N/A N/A</v>
        <stp/>
        <stp>BDH|4267132526441796101</stp>
        <tr r="O1" s="1"/>
      </tp>
      <tp t="s">
        <v>#N/A N/A</v>
        <stp/>
        <stp>BDH|2769986129436817884</stp>
        <tr r="W1" s="3"/>
      </tp>
      <tp t="s">
        <v>#N/A N/A</v>
        <stp/>
        <stp>BDH|8006374325217116949</stp>
        <tr r="C1" s="8"/>
      </tp>
      <tp t="s">
        <v>#N/A N/A</v>
        <stp/>
        <stp>BDH|31436396927811731</stp>
        <tr r="I1" s="8"/>
      </tp>
      <tp t="s">
        <v>#N/A N/A</v>
        <stp/>
        <stp>BDH|2605577572405349492</stp>
        <tr r="I1" s="6"/>
      </tp>
      <tp t="s">
        <v>#N/A N/A</v>
        <stp/>
        <stp>BDH|9765214252827958839</stp>
        <tr r="U1" s="1"/>
      </tp>
      <tp t="s">
        <v>#N/A N/A</v>
        <stp/>
        <stp>BDH|7977174637883779715</stp>
        <tr r="C1" s="4"/>
      </tp>
      <tp t="s">
        <v>#N/A N/A</v>
        <stp/>
        <stp>BDH|4027511724394351619</stp>
        <tr r="G1" s="5"/>
      </tp>
      <tp t="s">
        <v>#N/A N/A</v>
        <stp/>
        <stp>BDH|1228386723055039724</stp>
        <tr r="AG1" s="1"/>
      </tp>
      <tp t="s">
        <v>#N/A N/A</v>
        <stp/>
        <stp>BDH|4060393716211034518</stp>
        <tr r="E1" s="4"/>
      </tp>
      <tp t="s">
        <v>#N/A N/A</v>
        <stp/>
        <stp>BDH|8476789411974148979</stp>
        <tr r="E1" s="3"/>
      </tp>
      <tp t="s">
        <v>#N/A N/A</v>
        <stp/>
        <stp>BDH|1588202468140772635</stp>
        <tr r="K1" s="4"/>
      </tp>
      <tp t="s">
        <v>#N/A N/A</v>
        <stp/>
        <stp>BDH|81105512839132724</stp>
        <tr r="A1" s="8"/>
      </tp>
      <tp t="s">
        <v>#N/A N/A</v>
        <stp/>
        <stp>BDH|312426124798294882</stp>
        <tr r="I1" s="9"/>
      </tp>
      <tp t="s">
        <v>#N/A N/A</v>
        <stp/>
        <stp>BDH|876050704248238460</stp>
        <tr r="S1" s="4"/>
      </tp>
      <tp t="s">
        <v>#N/A N/A</v>
        <stp/>
        <stp>BDH|120314380801706647</stp>
        <tr r="AA1" s="4"/>
      </tp>
      <tp t="s">
        <v>#N/A N/A</v>
        <stp/>
        <stp>BDH|197995047550037243</stp>
        <tr r="U1" s="3"/>
      </tp>
      <tp t="s">
        <v>#N/A N/A</v>
        <stp/>
        <stp>BDH|700552333179257513</stp>
        <tr r="A1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117"/>
  <sheetViews>
    <sheetView workbookViewId="0">
      <selection activeCell="E1" sqref="E1"/>
    </sheetView>
  </sheetViews>
  <sheetFormatPr defaultColWidth="8.85546875" defaultRowHeight="15" x14ac:dyDescent="0.25"/>
  <sheetData>
    <row r="1" spans="1:47" x14ac:dyDescent="0.25">
      <c r="A1" s="1">
        <f>_xll.BDH("USDCNHV1M Curncy","MID","20140101","20251231","cols=2;rows=3117")</f>
        <v>41640</v>
      </c>
      <c r="B1">
        <v>2.31</v>
      </c>
      <c r="C1" t="str">
        <f>_xll.BDH("USDCNHV1M Curncy","FX052","20140101","20251231")</f>
        <v>#N/A Field Not Applicable</v>
      </c>
      <c r="E1" t="str">
        <f>_xll.BDH("USDCNHV1M Curncy","BF25D","20140101","20251231")</f>
        <v>#N/A Field Not Applicable</v>
      </c>
      <c r="G1" t="str">
        <f>_xll.BDH("USDCNHV1M Curncy","RISKREV10D","20140101","20251231")</f>
        <v>#N/A Field Not Applicable</v>
      </c>
      <c r="I1" t="str">
        <f>_xll.BDH("USDCNHV1M Curncy","BF10D","20140101","20251231")</f>
        <v>#N/A Field Not Applicable</v>
      </c>
      <c r="K1" t="str">
        <f>_xll.BDH("USDCNHV3M Curncy","ATMVOL","20140101","20251231")</f>
        <v>#N/A Field Not Applicable</v>
      </c>
      <c r="M1" t="str">
        <f>_xll.BDH("USDCNHV3M Curncy","RISKREV25D","20140101","20251231")</f>
        <v>#N/A Field Not Applicable</v>
      </c>
      <c r="O1" t="str">
        <f>_xll.BDH("USDCNHV3M Curncy","BF25D","20140101","20251231")</f>
        <v>#N/A Field Not Applicable</v>
      </c>
      <c r="Q1" t="str">
        <f>_xll.BDH("USDCNHV3M Curncy","RISKREV10D","20140101","20251231")</f>
        <v>#N/A Field Not Applicable</v>
      </c>
      <c r="S1" t="str">
        <f>_xll.BDH("USDCNHV3M Curncy","BF10D","20140101","20251231")</f>
        <v>#N/A Field Not Applicable</v>
      </c>
      <c r="U1" t="str">
        <f>_xll.BDH("USDCNHV6M Curncy","ATMVOL","20140101","20251231")</f>
        <v>#N/A Field Not Applicable</v>
      </c>
      <c r="W1" t="str">
        <f>_xll.BDH("USDCNHV6M Curncy","RISKREV25D","20140101","20251231")</f>
        <v>#N/A Field Not Applicable</v>
      </c>
      <c r="Y1" t="str">
        <f>_xll.BDH("USDCNHV6M Curncy","BF25D","20140101","20251231")</f>
        <v>#N/A Field Not Applicable</v>
      </c>
      <c r="AA1" t="str">
        <f>_xll.BDH("USDCNHV6M Curncy","RISKREV10D","20140101","20251231")</f>
        <v>#N/A Field Not Applicable</v>
      </c>
      <c r="AC1" t="str">
        <f>_xll.BDH("USDCNHV6M Curncy","BF10D","20140101","20251231")</f>
        <v>#N/A Field Not Applicable</v>
      </c>
      <c r="AE1" t="str">
        <f>_xll.BDH("USDCNHV1Y Curncy","ATMVOL","20140101","20251231")</f>
        <v>#N/A Field Not Applicable</v>
      </c>
      <c r="AG1" t="str">
        <f>_xll.BDH("USDCNHV1Y Curncy","RISKREV25D","20140101","20251231")</f>
        <v>#N/A Field Not Applicable</v>
      </c>
      <c r="AI1" t="str">
        <f>_xll.BDH("USDCNHV1Y Curncy","BF25D","20140101","20251231")</f>
        <v>#N/A Field Not Applicable</v>
      </c>
      <c r="AK1" t="str">
        <f>_xll.BDH("USDCNHV1Y Curncy","RISKREV10D","20140101","20251231")</f>
        <v>#N/A Field Not Applicable</v>
      </c>
      <c r="AM1" t="str">
        <f>_xll.BDH("USDCNHV1Y Curncy","BF10D","20140101","20251231")</f>
        <v>#N/A Field Not Applicable</v>
      </c>
      <c r="AO1" t="str">
        <f>_xll.BDH("USDCNYV1M Curncy","ATMVOL","20140101","20251231")</f>
        <v>#N/A Field Not Applicable</v>
      </c>
      <c r="AQ1" t="str">
        <f>_xll.BDH("USDCNYV3M Curncy","ATMVOL","20140101","20251231")</f>
        <v>#N/A Field Not Applicable</v>
      </c>
      <c r="AS1" t="str">
        <f>_xll.BDH("USDCNYV6M Curncy","ATMVOL","20140101","20251231")</f>
        <v>#N/A Field Not Applicable</v>
      </c>
      <c r="AU1" t="str">
        <f>_xll.BDH("USDCNYV1Y Curncy","ATMVOL","20140101","20251231")</f>
        <v>#N/A Field Not Applicable</v>
      </c>
    </row>
    <row r="2" spans="1:47" x14ac:dyDescent="0.25">
      <c r="A2" s="1">
        <v>41641</v>
      </c>
      <c r="B2">
        <v>1.8625</v>
      </c>
    </row>
    <row r="3" spans="1:47" x14ac:dyDescent="0.25">
      <c r="A3" s="1">
        <v>41642</v>
      </c>
      <c r="B3">
        <v>1.5449999999999999</v>
      </c>
    </row>
    <row r="4" spans="1:47" x14ac:dyDescent="0.25">
      <c r="A4" s="1">
        <v>41645</v>
      </c>
      <c r="B4">
        <v>1.35</v>
      </c>
    </row>
    <row r="5" spans="1:47" x14ac:dyDescent="0.25">
      <c r="A5" s="1">
        <v>41646</v>
      </c>
      <c r="B5">
        <v>1.39</v>
      </c>
    </row>
    <row r="6" spans="1:47" x14ac:dyDescent="0.25">
      <c r="A6" s="1">
        <v>41647</v>
      </c>
      <c r="B6">
        <v>1.39</v>
      </c>
    </row>
    <row r="7" spans="1:47" x14ac:dyDescent="0.25">
      <c r="A7" s="1">
        <v>41648</v>
      </c>
      <c r="B7">
        <v>1.3149999999999999</v>
      </c>
    </row>
    <row r="8" spans="1:47" x14ac:dyDescent="0.25">
      <c r="A8" s="1">
        <v>41649</v>
      </c>
      <c r="B8">
        <v>1.2450000000000001</v>
      </c>
    </row>
    <row r="9" spans="1:47" x14ac:dyDescent="0.25">
      <c r="A9" s="1">
        <v>41652</v>
      </c>
      <c r="B9">
        <v>1.28</v>
      </c>
    </row>
    <row r="10" spans="1:47" x14ac:dyDescent="0.25">
      <c r="A10" s="1">
        <v>41653</v>
      </c>
      <c r="B10">
        <v>1.2524999999999999</v>
      </c>
    </row>
    <row r="11" spans="1:47" x14ac:dyDescent="0.25">
      <c r="A11" s="1">
        <v>41654</v>
      </c>
      <c r="B11">
        <v>1.2075</v>
      </c>
    </row>
    <row r="12" spans="1:47" x14ac:dyDescent="0.25">
      <c r="A12" s="1">
        <v>41655</v>
      </c>
      <c r="B12">
        <v>1.17</v>
      </c>
    </row>
    <row r="13" spans="1:47" x14ac:dyDescent="0.25">
      <c r="A13" s="1">
        <v>41656</v>
      </c>
      <c r="B13">
        <v>1.1775</v>
      </c>
    </row>
    <row r="14" spans="1:47" x14ac:dyDescent="0.25">
      <c r="A14" s="1">
        <v>41659</v>
      </c>
      <c r="B14">
        <v>1.19</v>
      </c>
    </row>
    <row r="15" spans="1:47" x14ac:dyDescent="0.25">
      <c r="A15" s="1">
        <v>41660</v>
      </c>
      <c r="B15">
        <v>1.2849999999999999</v>
      </c>
    </row>
    <row r="16" spans="1:47" x14ac:dyDescent="0.25">
      <c r="A16" s="1">
        <v>41661</v>
      </c>
      <c r="B16">
        <v>1.3025</v>
      </c>
    </row>
    <row r="17" spans="1:2" x14ac:dyDescent="0.25">
      <c r="A17" s="1">
        <v>41662</v>
      </c>
      <c r="B17">
        <v>1.4524999999999999</v>
      </c>
    </row>
    <row r="18" spans="1:2" x14ac:dyDescent="0.25">
      <c r="A18" s="1">
        <v>41663</v>
      </c>
      <c r="B18">
        <v>1.7549999999999999</v>
      </c>
    </row>
    <row r="19" spans="1:2" x14ac:dyDescent="0.25">
      <c r="A19" s="1">
        <v>41666</v>
      </c>
      <c r="B19">
        <v>1.905</v>
      </c>
    </row>
    <row r="20" spans="1:2" x14ac:dyDescent="0.25">
      <c r="A20" s="1">
        <v>41667</v>
      </c>
      <c r="B20">
        <v>1.8425</v>
      </c>
    </row>
    <row r="21" spans="1:2" x14ac:dyDescent="0.25">
      <c r="A21" s="1">
        <v>41668</v>
      </c>
      <c r="B21">
        <v>1.7175</v>
      </c>
    </row>
    <row r="22" spans="1:2" x14ac:dyDescent="0.25">
      <c r="A22" s="1">
        <v>41669</v>
      </c>
      <c r="B22">
        <v>1.6775</v>
      </c>
    </row>
    <row r="23" spans="1:2" x14ac:dyDescent="0.25">
      <c r="A23" s="1">
        <v>41670</v>
      </c>
      <c r="B23">
        <v>1.665</v>
      </c>
    </row>
    <row r="24" spans="1:2" x14ac:dyDescent="0.25">
      <c r="A24" s="1">
        <v>41673</v>
      </c>
      <c r="B24">
        <v>1.6025</v>
      </c>
    </row>
    <row r="25" spans="1:2" x14ac:dyDescent="0.25">
      <c r="A25" s="1">
        <v>41674</v>
      </c>
      <c r="B25">
        <v>1.5475000000000001</v>
      </c>
    </row>
    <row r="26" spans="1:2" x14ac:dyDescent="0.25">
      <c r="A26" s="1">
        <v>41675</v>
      </c>
      <c r="B26">
        <v>1.425</v>
      </c>
    </row>
    <row r="27" spans="1:2" x14ac:dyDescent="0.25">
      <c r="A27" s="1">
        <v>41676</v>
      </c>
      <c r="B27">
        <v>1.4</v>
      </c>
    </row>
    <row r="28" spans="1:2" x14ac:dyDescent="0.25">
      <c r="A28" s="1">
        <v>41677</v>
      </c>
      <c r="B28">
        <v>1.375</v>
      </c>
    </row>
    <row r="29" spans="1:2" x14ac:dyDescent="0.25">
      <c r="A29" s="1">
        <v>41680</v>
      </c>
      <c r="B29">
        <v>1.5249999999999999</v>
      </c>
    </row>
    <row r="30" spans="1:2" x14ac:dyDescent="0.25">
      <c r="A30" s="1">
        <v>41681</v>
      </c>
      <c r="B30">
        <v>1.5249999999999999</v>
      </c>
    </row>
    <row r="31" spans="1:2" x14ac:dyDescent="0.25">
      <c r="A31" s="1">
        <v>41682</v>
      </c>
      <c r="B31">
        <v>1.5425</v>
      </c>
    </row>
    <row r="32" spans="1:2" x14ac:dyDescent="0.25">
      <c r="A32" s="1">
        <v>41683</v>
      </c>
      <c r="B32">
        <v>1.575</v>
      </c>
    </row>
    <row r="33" spans="1:2" x14ac:dyDescent="0.25">
      <c r="A33" s="1">
        <v>41684</v>
      </c>
      <c r="B33">
        <v>1.57</v>
      </c>
    </row>
    <row r="34" spans="1:2" x14ac:dyDescent="0.25">
      <c r="A34" s="1">
        <v>41687</v>
      </c>
      <c r="B34">
        <v>1.52</v>
      </c>
    </row>
    <row r="35" spans="1:2" x14ac:dyDescent="0.25">
      <c r="A35" s="1">
        <v>41688</v>
      </c>
      <c r="B35">
        <v>1.4950000000000001</v>
      </c>
    </row>
    <row r="36" spans="1:2" x14ac:dyDescent="0.25">
      <c r="A36" s="1">
        <v>41689</v>
      </c>
      <c r="B36">
        <v>1.48</v>
      </c>
    </row>
    <row r="37" spans="1:2" x14ac:dyDescent="0.25">
      <c r="A37" s="1">
        <v>41690</v>
      </c>
      <c r="B37">
        <v>2.1850000000000001</v>
      </c>
    </row>
    <row r="38" spans="1:2" x14ac:dyDescent="0.25">
      <c r="A38" s="1">
        <v>41691</v>
      </c>
      <c r="B38">
        <v>3.6949999999999998</v>
      </c>
    </row>
    <row r="39" spans="1:2" x14ac:dyDescent="0.25">
      <c r="A39" s="1">
        <v>41694</v>
      </c>
      <c r="B39">
        <v>3.0350000000000001</v>
      </c>
    </row>
    <row r="40" spans="1:2" x14ac:dyDescent="0.25">
      <c r="A40" s="1">
        <v>41695</v>
      </c>
      <c r="B40">
        <v>4</v>
      </c>
    </row>
    <row r="41" spans="1:2" x14ac:dyDescent="0.25">
      <c r="A41" s="1">
        <v>41696</v>
      </c>
      <c r="B41">
        <v>3.6625000000000001</v>
      </c>
    </row>
    <row r="42" spans="1:2" x14ac:dyDescent="0.25">
      <c r="A42" s="1">
        <v>41697</v>
      </c>
      <c r="B42">
        <v>3.7425000000000002</v>
      </c>
    </row>
    <row r="43" spans="1:2" x14ac:dyDescent="0.25">
      <c r="A43" s="1">
        <v>41698</v>
      </c>
      <c r="B43">
        <v>3.8025000000000002</v>
      </c>
    </row>
    <row r="44" spans="1:2" x14ac:dyDescent="0.25">
      <c r="A44" s="1">
        <v>41701</v>
      </c>
      <c r="B44">
        <v>3.7250000000000001</v>
      </c>
    </row>
    <row r="45" spans="1:2" x14ac:dyDescent="0.25">
      <c r="A45" s="1">
        <v>41702</v>
      </c>
      <c r="B45">
        <v>3.0049999999999999</v>
      </c>
    </row>
    <row r="46" spans="1:2" x14ac:dyDescent="0.25">
      <c r="A46" s="1">
        <v>41703</v>
      </c>
      <c r="B46">
        <v>2.8774999999999999</v>
      </c>
    </row>
    <row r="47" spans="1:2" x14ac:dyDescent="0.25">
      <c r="A47" s="1">
        <v>41704</v>
      </c>
      <c r="B47">
        <v>3.09</v>
      </c>
    </row>
    <row r="48" spans="1:2" x14ac:dyDescent="0.25">
      <c r="A48" s="1">
        <v>41705</v>
      </c>
      <c r="B48">
        <v>3.22</v>
      </c>
    </row>
    <row r="49" spans="1:2" x14ac:dyDescent="0.25">
      <c r="A49" s="1">
        <v>41708</v>
      </c>
      <c r="B49">
        <v>3.4275000000000002</v>
      </c>
    </row>
    <row r="50" spans="1:2" x14ac:dyDescent="0.25">
      <c r="A50" s="1">
        <v>41709</v>
      </c>
      <c r="B50">
        <v>3.105</v>
      </c>
    </row>
    <row r="51" spans="1:2" x14ac:dyDescent="0.25">
      <c r="A51" s="1">
        <v>41710</v>
      </c>
      <c r="B51">
        <v>3.2949999999999999</v>
      </c>
    </row>
    <row r="52" spans="1:2" x14ac:dyDescent="0.25">
      <c r="A52" s="1">
        <v>41711</v>
      </c>
      <c r="B52">
        <v>3.12</v>
      </c>
    </row>
    <row r="53" spans="1:2" x14ac:dyDescent="0.25">
      <c r="A53" s="1">
        <v>41712</v>
      </c>
      <c r="B53">
        <v>3.7949999999999999</v>
      </c>
    </row>
    <row r="54" spans="1:2" x14ac:dyDescent="0.25">
      <c r="A54" s="1">
        <v>41715</v>
      </c>
      <c r="B54">
        <v>3.75</v>
      </c>
    </row>
    <row r="55" spans="1:2" x14ac:dyDescent="0.25">
      <c r="A55" s="1">
        <v>41716</v>
      </c>
      <c r="B55">
        <v>3.78</v>
      </c>
    </row>
    <row r="56" spans="1:2" x14ac:dyDescent="0.25">
      <c r="A56" s="1">
        <v>41717</v>
      </c>
      <c r="B56">
        <v>3.8174999999999999</v>
      </c>
    </row>
    <row r="57" spans="1:2" x14ac:dyDescent="0.25">
      <c r="A57" s="1">
        <v>41718</v>
      </c>
      <c r="B57">
        <v>3.8050000000000002</v>
      </c>
    </row>
    <row r="58" spans="1:2" x14ac:dyDescent="0.25">
      <c r="A58" s="1">
        <v>41719</v>
      </c>
      <c r="B58">
        <v>3.72</v>
      </c>
    </row>
    <row r="59" spans="1:2" x14ac:dyDescent="0.25">
      <c r="A59" s="1">
        <v>41722</v>
      </c>
      <c r="B59">
        <v>3.2974999999999999</v>
      </c>
    </row>
    <row r="60" spans="1:2" x14ac:dyDescent="0.25">
      <c r="A60" s="1">
        <v>41723</v>
      </c>
      <c r="B60">
        <v>3.1825000000000001</v>
      </c>
    </row>
    <row r="61" spans="1:2" x14ac:dyDescent="0.25">
      <c r="A61" s="1">
        <v>41724</v>
      </c>
      <c r="B61">
        <v>3.2225000000000001</v>
      </c>
    </row>
    <row r="62" spans="1:2" x14ac:dyDescent="0.25">
      <c r="A62" s="1">
        <v>41725</v>
      </c>
      <c r="B62">
        <v>3.2050000000000001</v>
      </c>
    </row>
    <row r="63" spans="1:2" x14ac:dyDescent="0.25">
      <c r="A63" s="1">
        <v>41726</v>
      </c>
      <c r="B63">
        <v>2.8875000000000002</v>
      </c>
    </row>
    <row r="64" spans="1:2" x14ac:dyDescent="0.25">
      <c r="A64" s="1">
        <v>41729</v>
      </c>
      <c r="B64">
        <v>2.7925</v>
      </c>
    </row>
    <row r="65" spans="1:2" x14ac:dyDescent="0.25">
      <c r="A65" s="1">
        <v>41730</v>
      </c>
      <c r="B65">
        <v>2.6274999999999999</v>
      </c>
    </row>
    <row r="66" spans="1:2" x14ac:dyDescent="0.25">
      <c r="A66" s="1">
        <v>41731</v>
      </c>
      <c r="B66">
        <v>2.5525000000000002</v>
      </c>
    </row>
    <row r="67" spans="1:2" x14ac:dyDescent="0.25">
      <c r="A67" s="1">
        <v>41732</v>
      </c>
      <c r="B67">
        <v>2.59</v>
      </c>
    </row>
    <row r="68" spans="1:2" x14ac:dyDescent="0.25">
      <c r="A68" s="1">
        <v>41733</v>
      </c>
      <c r="B68">
        <v>2.8125</v>
      </c>
    </row>
    <row r="69" spans="1:2" x14ac:dyDescent="0.25">
      <c r="A69" s="1">
        <v>41736</v>
      </c>
      <c r="B69">
        <v>2.7625000000000002</v>
      </c>
    </row>
    <row r="70" spans="1:2" x14ac:dyDescent="0.25">
      <c r="A70" s="1">
        <v>41737</v>
      </c>
      <c r="B70">
        <v>2.5924999999999998</v>
      </c>
    </row>
    <row r="71" spans="1:2" x14ac:dyDescent="0.25">
      <c r="A71" s="1">
        <v>41738</v>
      </c>
      <c r="B71">
        <v>2.5924999999999998</v>
      </c>
    </row>
    <row r="72" spans="1:2" x14ac:dyDescent="0.25">
      <c r="A72" s="1">
        <v>41739</v>
      </c>
      <c r="B72">
        <v>2.6025</v>
      </c>
    </row>
    <row r="73" spans="1:2" x14ac:dyDescent="0.25">
      <c r="A73" s="1">
        <v>41740</v>
      </c>
      <c r="B73">
        <v>2.6524999999999999</v>
      </c>
    </row>
    <row r="74" spans="1:2" x14ac:dyDescent="0.25">
      <c r="A74" s="1">
        <v>41743</v>
      </c>
      <c r="B74">
        <v>2.7574999999999998</v>
      </c>
    </row>
    <row r="75" spans="1:2" x14ac:dyDescent="0.25">
      <c r="A75" s="1">
        <v>41744</v>
      </c>
      <c r="B75">
        <v>2.8925000000000001</v>
      </c>
    </row>
    <row r="76" spans="1:2" x14ac:dyDescent="0.25">
      <c r="A76" s="1">
        <v>41745</v>
      </c>
      <c r="B76">
        <v>2.9024999999999999</v>
      </c>
    </row>
    <row r="77" spans="1:2" x14ac:dyDescent="0.25">
      <c r="A77" s="1">
        <v>41746</v>
      </c>
      <c r="B77">
        <v>2.7549999999999999</v>
      </c>
    </row>
    <row r="78" spans="1:2" x14ac:dyDescent="0.25">
      <c r="A78" s="1">
        <v>41747</v>
      </c>
      <c r="B78">
        <v>2.74</v>
      </c>
    </row>
    <row r="79" spans="1:2" x14ac:dyDescent="0.25">
      <c r="A79" s="1">
        <v>41750</v>
      </c>
      <c r="B79">
        <v>2.7574999999999998</v>
      </c>
    </row>
    <row r="80" spans="1:2" x14ac:dyDescent="0.25">
      <c r="A80" s="1">
        <v>41751</v>
      </c>
      <c r="B80">
        <v>2.8125</v>
      </c>
    </row>
    <row r="81" spans="1:2" x14ac:dyDescent="0.25">
      <c r="A81" s="1">
        <v>41752</v>
      </c>
      <c r="B81">
        <v>2.9874999999999998</v>
      </c>
    </row>
    <row r="82" spans="1:2" x14ac:dyDescent="0.25">
      <c r="A82" s="1">
        <v>41753</v>
      </c>
      <c r="B82">
        <v>3.1074999999999999</v>
      </c>
    </row>
    <row r="83" spans="1:2" x14ac:dyDescent="0.25">
      <c r="A83" s="1">
        <v>41754</v>
      </c>
      <c r="B83">
        <v>3.2374999999999998</v>
      </c>
    </row>
    <row r="84" spans="1:2" x14ac:dyDescent="0.25">
      <c r="A84" s="1">
        <v>41757</v>
      </c>
      <c r="B84">
        <v>3.1524999999999999</v>
      </c>
    </row>
    <row r="85" spans="1:2" x14ac:dyDescent="0.25">
      <c r="A85" s="1">
        <v>41758</v>
      </c>
      <c r="B85">
        <v>3.0425</v>
      </c>
    </row>
    <row r="86" spans="1:2" x14ac:dyDescent="0.25">
      <c r="A86" s="1">
        <v>41759</v>
      </c>
      <c r="B86">
        <v>2.9824999999999999</v>
      </c>
    </row>
    <row r="87" spans="1:2" x14ac:dyDescent="0.25">
      <c r="A87" s="1">
        <v>41760</v>
      </c>
      <c r="B87">
        <v>2.8824999999999998</v>
      </c>
    </row>
    <row r="88" spans="1:2" x14ac:dyDescent="0.25">
      <c r="A88" s="1">
        <v>41761</v>
      </c>
      <c r="B88">
        <v>2.8374999999999999</v>
      </c>
    </row>
    <row r="89" spans="1:2" x14ac:dyDescent="0.25">
      <c r="A89" s="1">
        <v>41764</v>
      </c>
      <c r="B89">
        <v>2.8325</v>
      </c>
    </row>
    <row r="90" spans="1:2" x14ac:dyDescent="0.25">
      <c r="A90" s="1">
        <v>41765</v>
      </c>
      <c r="B90">
        <v>2.7774999999999999</v>
      </c>
    </row>
    <row r="91" spans="1:2" x14ac:dyDescent="0.25">
      <c r="A91" s="1">
        <v>41766</v>
      </c>
      <c r="B91">
        <v>2.78</v>
      </c>
    </row>
    <row r="92" spans="1:2" x14ac:dyDescent="0.25">
      <c r="A92" s="1">
        <v>41767</v>
      </c>
      <c r="B92">
        <v>2.6074999999999999</v>
      </c>
    </row>
    <row r="93" spans="1:2" x14ac:dyDescent="0.25">
      <c r="A93" s="1">
        <v>41768</v>
      </c>
      <c r="B93">
        <v>2.4375</v>
      </c>
    </row>
    <row r="94" spans="1:2" x14ac:dyDescent="0.25">
      <c r="A94" s="1">
        <v>41771</v>
      </c>
      <c r="B94">
        <v>2.4350000000000001</v>
      </c>
    </row>
    <row r="95" spans="1:2" x14ac:dyDescent="0.25">
      <c r="A95" s="1">
        <v>41772</v>
      </c>
      <c r="B95">
        <v>2.4125000000000001</v>
      </c>
    </row>
    <row r="96" spans="1:2" x14ac:dyDescent="0.25">
      <c r="A96" s="1">
        <v>41773</v>
      </c>
      <c r="B96">
        <v>2.3725000000000001</v>
      </c>
    </row>
    <row r="97" spans="1:2" x14ac:dyDescent="0.25">
      <c r="A97" s="1">
        <v>41774</v>
      </c>
      <c r="B97">
        <v>2.3525</v>
      </c>
    </row>
    <row r="98" spans="1:2" x14ac:dyDescent="0.25">
      <c r="A98" s="1">
        <v>41775</v>
      </c>
      <c r="B98">
        <v>2.3525</v>
      </c>
    </row>
    <row r="99" spans="1:2" x14ac:dyDescent="0.25">
      <c r="A99" s="1">
        <v>41778</v>
      </c>
      <c r="B99">
        <v>2.4024999999999999</v>
      </c>
    </row>
    <row r="100" spans="1:2" x14ac:dyDescent="0.25">
      <c r="A100" s="1">
        <v>41779</v>
      </c>
      <c r="B100">
        <v>2.3875000000000002</v>
      </c>
    </row>
    <row r="101" spans="1:2" x14ac:dyDescent="0.25">
      <c r="A101" s="1">
        <v>41780</v>
      </c>
      <c r="B101">
        <v>2.3424999999999998</v>
      </c>
    </row>
    <row r="102" spans="1:2" x14ac:dyDescent="0.25">
      <c r="A102" s="1">
        <v>41781</v>
      </c>
      <c r="B102">
        <v>2.2025000000000001</v>
      </c>
    </row>
    <row r="103" spans="1:2" x14ac:dyDescent="0.25">
      <c r="A103" s="1">
        <v>41782</v>
      </c>
      <c r="B103">
        <v>2.2075</v>
      </c>
    </row>
    <row r="104" spans="1:2" x14ac:dyDescent="0.25">
      <c r="A104" s="1">
        <v>41785</v>
      </c>
      <c r="B104">
        <v>2.3125</v>
      </c>
    </row>
    <row r="105" spans="1:2" x14ac:dyDescent="0.25">
      <c r="A105" s="1">
        <v>41786</v>
      </c>
      <c r="B105">
        <v>2.2999999999999998</v>
      </c>
    </row>
    <row r="106" spans="1:2" x14ac:dyDescent="0.25">
      <c r="A106" s="1">
        <v>41787</v>
      </c>
      <c r="B106">
        <v>2.73</v>
      </c>
    </row>
    <row r="107" spans="1:2" x14ac:dyDescent="0.25">
      <c r="A107" s="1">
        <v>41788</v>
      </c>
      <c r="B107">
        <v>2.7075</v>
      </c>
    </row>
    <row r="108" spans="1:2" x14ac:dyDescent="0.25">
      <c r="A108" s="1">
        <v>41789</v>
      </c>
      <c r="B108">
        <v>2.7</v>
      </c>
    </row>
    <row r="109" spans="1:2" x14ac:dyDescent="0.25">
      <c r="A109" s="1">
        <v>41792</v>
      </c>
      <c r="B109">
        <v>2.73</v>
      </c>
    </row>
    <row r="110" spans="1:2" x14ac:dyDescent="0.25">
      <c r="A110" s="1">
        <v>41793</v>
      </c>
      <c r="B110">
        <v>2.7075</v>
      </c>
    </row>
    <row r="111" spans="1:2" x14ac:dyDescent="0.25">
      <c r="A111" s="1">
        <v>41794</v>
      </c>
      <c r="B111">
        <v>2.7075</v>
      </c>
    </row>
    <row r="112" spans="1:2" x14ac:dyDescent="0.25">
      <c r="A112" s="1">
        <v>41795</v>
      </c>
      <c r="B112">
        <v>2.7475000000000001</v>
      </c>
    </row>
    <row r="113" spans="1:2" x14ac:dyDescent="0.25">
      <c r="A113" s="1">
        <v>41796</v>
      </c>
      <c r="B113">
        <v>2.6825000000000001</v>
      </c>
    </row>
    <row r="114" spans="1:2" x14ac:dyDescent="0.25">
      <c r="A114" s="1">
        <v>41799</v>
      </c>
      <c r="B114">
        <v>2.6575000000000002</v>
      </c>
    </row>
    <row r="115" spans="1:2" x14ac:dyDescent="0.25">
      <c r="A115" s="1">
        <v>41800</v>
      </c>
      <c r="B115">
        <v>2.7174999999999998</v>
      </c>
    </row>
    <row r="116" spans="1:2" x14ac:dyDescent="0.25">
      <c r="A116" s="1">
        <v>41801</v>
      </c>
      <c r="B116">
        <v>2.7324999999999999</v>
      </c>
    </row>
    <row r="117" spans="1:2" x14ac:dyDescent="0.25">
      <c r="A117" s="1">
        <v>41802</v>
      </c>
      <c r="B117">
        <v>2.5625</v>
      </c>
    </row>
    <row r="118" spans="1:2" x14ac:dyDescent="0.25">
      <c r="A118" s="1">
        <v>41803</v>
      </c>
      <c r="B118">
        <v>2.5775000000000001</v>
      </c>
    </row>
    <row r="119" spans="1:2" x14ac:dyDescent="0.25">
      <c r="A119" s="1">
        <v>41806</v>
      </c>
      <c r="B119">
        <v>2.5625</v>
      </c>
    </row>
    <row r="120" spans="1:2" x14ac:dyDescent="0.25">
      <c r="A120" s="1">
        <v>41807</v>
      </c>
      <c r="B120">
        <v>2.6375000000000002</v>
      </c>
    </row>
    <row r="121" spans="1:2" x14ac:dyDescent="0.25">
      <c r="A121" s="1">
        <v>41808</v>
      </c>
      <c r="B121">
        <v>2.6575000000000002</v>
      </c>
    </row>
    <row r="122" spans="1:2" x14ac:dyDescent="0.25">
      <c r="A122" s="1">
        <v>41809</v>
      </c>
      <c r="B122">
        <v>2.5</v>
      </c>
    </row>
    <row r="123" spans="1:2" x14ac:dyDescent="0.25">
      <c r="A123" s="1">
        <v>41810</v>
      </c>
      <c r="B123">
        <v>2.5350000000000001</v>
      </c>
    </row>
    <row r="124" spans="1:2" x14ac:dyDescent="0.25">
      <c r="A124" s="1">
        <v>41813</v>
      </c>
      <c r="B124">
        <v>2.5074999999999998</v>
      </c>
    </row>
    <row r="125" spans="1:2" x14ac:dyDescent="0.25">
      <c r="A125" s="1">
        <v>41814</v>
      </c>
      <c r="B125">
        <v>2.2574999999999998</v>
      </c>
    </row>
    <row r="126" spans="1:2" x14ac:dyDescent="0.25">
      <c r="A126" s="1">
        <v>41815</v>
      </c>
      <c r="B126">
        <v>2.3199999999999998</v>
      </c>
    </row>
    <row r="127" spans="1:2" x14ac:dyDescent="0.25">
      <c r="A127" s="1">
        <v>41816</v>
      </c>
      <c r="B127">
        <v>2.3125</v>
      </c>
    </row>
    <row r="128" spans="1:2" x14ac:dyDescent="0.25">
      <c r="A128" s="1">
        <v>41817</v>
      </c>
      <c r="B128">
        <v>2.5150000000000001</v>
      </c>
    </row>
    <row r="129" spans="1:2" x14ac:dyDescent="0.25">
      <c r="A129" s="1">
        <v>41820</v>
      </c>
      <c r="B129">
        <v>2.5375000000000001</v>
      </c>
    </row>
    <row r="130" spans="1:2" x14ac:dyDescent="0.25">
      <c r="A130" s="1">
        <v>41821</v>
      </c>
      <c r="B130">
        <v>2.6124999999999998</v>
      </c>
    </row>
    <row r="131" spans="1:2" x14ac:dyDescent="0.25">
      <c r="A131" s="1">
        <v>41822</v>
      </c>
      <c r="B131">
        <v>2.6025</v>
      </c>
    </row>
    <row r="132" spans="1:2" x14ac:dyDescent="0.25">
      <c r="A132" s="1">
        <v>41823</v>
      </c>
      <c r="B132">
        <v>2.7050000000000001</v>
      </c>
    </row>
    <row r="133" spans="1:2" x14ac:dyDescent="0.25">
      <c r="A133" s="1">
        <v>41824</v>
      </c>
      <c r="B133">
        <v>2.5425</v>
      </c>
    </row>
    <row r="134" spans="1:2" x14ac:dyDescent="0.25">
      <c r="A134" s="1">
        <v>41827</v>
      </c>
      <c r="B134">
        <v>2.5350000000000001</v>
      </c>
    </row>
    <row r="135" spans="1:2" x14ac:dyDescent="0.25">
      <c r="A135" s="1">
        <v>41828</v>
      </c>
      <c r="B135">
        <v>2.5425</v>
      </c>
    </row>
    <row r="136" spans="1:2" x14ac:dyDescent="0.25">
      <c r="A136" s="1">
        <v>41829</v>
      </c>
      <c r="B136">
        <v>2.2949999999999999</v>
      </c>
    </row>
    <row r="137" spans="1:2" x14ac:dyDescent="0.25">
      <c r="A137" s="1">
        <v>41830</v>
      </c>
      <c r="B137">
        <v>2.3475000000000001</v>
      </c>
    </row>
    <row r="138" spans="1:2" x14ac:dyDescent="0.25">
      <c r="A138" s="1">
        <v>41831</v>
      </c>
      <c r="B138">
        <v>2.4175</v>
      </c>
    </row>
    <row r="139" spans="1:2" x14ac:dyDescent="0.25">
      <c r="A139" s="1">
        <v>41834</v>
      </c>
      <c r="B139">
        <v>2.4575</v>
      </c>
    </row>
    <row r="140" spans="1:2" x14ac:dyDescent="0.25">
      <c r="A140" s="1">
        <v>41835</v>
      </c>
      <c r="B140">
        <v>2.5449999999999999</v>
      </c>
    </row>
    <row r="141" spans="1:2" x14ac:dyDescent="0.25">
      <c r="A141" s="1">
        <v>41836</v>
      </c>
      <c r="B141">
        <v>2.5350000000000001</v>
      </c>
    </row>
    <row r="142" spans="1:2" x14ac:dyDescent="0.25">
      <c r="A142" s="1">
        <v>41837</v>
      </c>
      <c r="B142">
        <v>2.4925000000000002</v>
      </c>
    </row>
    <row r="143" spans="1:2" x14ac:dyDescent="0.25">
      <c r="A143" s="1">
        <v>41838</v>
      </c>
      <c r="B143">
        <v>2.4275000000000002</v>
      </c>
    </row>
    <row r="144" spans="1:2" x14ac:dyDescent="0.25">
      <c r="A144" s="1">
        <v>41841</v>
      </c>
      <c r="B144">
        <v>2.2999999999999998</v>
      </c>
    </row>
    <row r="145" spans="1:2" x14ac:dyDescent="0.25">
      <c r="A145" s="1">
        <v>41842</v>
      </c>
      <c r="B145">
        <v>2.2075</v>
      </c>
    </row>
    <row r="146" spans="1:2" x14ac:dyDescent="0.25">
      <c r="A146" s="1">
        <v>41843</v>
      </c>
      <c r="B146">
        <v>2.1625000000000001</v>
      </c>
    </row>
    <row r="147" spans="1:2" x14ac:dyDescent="0.25">
      <c r="A147" s="1">
        <v>41844</v>
      </c>
      <c r="B147">
        <v>2.14</v>
      </c>
    </row>
    <row r="148" spans="1:2" x14ac:dyDescent="0.25">
      <c r="A148" s="1">
        <v>41845</v>
      </c>
      <c r="B148">
        <v>2.1124999999999998</v>
      </c>
    </row>
    <row r="149" spans="1:2" x14ac:dyDescent="0.25">
      <c r="A149" s="1">
        <v>41848</v>
      </c>
      <c r="B149">
        <v>2.15</v>
      </c>
    </row>
    <row r="150" spans="1:2" x14ac:dyDescent="0.25">
      <c r="A150" s="1">
        <v>41849</v>
      </c>
      <c r="B150">
        <v>2.0924999999999998</v>
      </c>
    </row>
    <row r="151" spans="1:2" x14ac:dyDescent="0.25">
      <c r="A151" s="1">
        <v>41850</v>
      </c>
      <c r="B151">
        <v>2.0375000000000001</v>
      </c>
    </row>
    <row r="152" spans="1:2" x14ac:dyDescent="0.25">
      <c r="A152" s="1">
        <v>41851</v>
      </c>
      <c r="B152">
        <v>2.11</v>
      </c>
    </row>
    <row r="153" spans="1:2" x14ac:dyDescent="0.25">
      <c r="A153" s="1">
        <v>41852</v>
      </c>
      <c r="B153">
        <v>2.08</v>
      </c>
    </row>
    <row r="154" spans="1:2" x14ac:dyDescent="0.25">
      <c r="A154" s="1">
        <v>41855</v>
      </c>
      <c r="B154">
        <v>2.1124999999999998</v>
      </c>
    </row>
    <row r="155" spans="1:2" x14ac:dyDescent="0.25">
      <c r="A155" s="1">
        <v>41856</v>
      </c>
      <c r="B155">
        <v>2.0024999999999999</v>
      </c>
    </row>
    <row r="156" spans="1:2" x14ac:dyDescent="0.25">
      <c r="A156" s="1">
        <v>41857</v>
      </c>
      <c r="B156">
        <v>1.9450000000000001</v>
      </c>
    </row>
    <row r="157" spans="1:2" x14ac:dyDescent="0.25">
      <c r="A157" s="1">
        <v>41858</v>
      </c>
      <c r="B157">
        <v>1.915</v>
      </c>
    </row>
    <row r="158" spans="1:2" x14ac:dyDescent="0.25">
      <c r="A158" s="1">
        <v>41859</v>
      </c>
      <c r="B158">
        <v>1.9125000000000001</v>
      </c>
    </row>
    <row r="159" spans="1:2" x14ac:dyDescent="0.25">
      <c r="A159" s="1">
        <v>41862</v>
      </c>
      <c r="B159">
        <v>1.9575</v>
      </c>
    </row>
    <row r="160" spans="1:2" x14ac:dyDescent="0.25">
      <c r="A160" s="1">
        <v>41863</v>
      </c>
      <c r="B160">
        <v>1.9450000000000001</v>
      </c>
    </row>
    <row r="161" spans="1:2" x14ac:dyDescent="0.25">
      <c r="A161" s="1">
        <v>41864</v>
      </c>
      <c r="B161">
        <v>1.98</v>
      </c>
    </row>
    <row r="162" spans="1:2" x14ac:dyDescent="0.25">
      <c r="A162" s="1">
        <v>41865</v>
      </c>
      <c r="B162">
        <v>2.02</v>
      </c>
    </row>
    <row r="163" spans="1:2" x14ac:dyDescent="0.25">
      <c r="A163" s="1">
        <v>41866</v>
      </c>
      <c r="B163">
        <v>2.0550000000000002</v>
      </c>
    </row>
    <row r="164" spans="1:2" x14ac:dyDescent="0.25">
      <c r="A164" s="1">
        <v>41869</v>
      </c>
      <c r="B164">
        <v>2.1425000000000001</v>
      </c>
    </row>
    <row r="165" spans="1:2" x14ac:dyDescent="0.25">
      <c r="A165" s="1">
        <v>41870</v>
      </c>
      <c r="B165">
        <v>2.2075</v>
      </c>
    </row>
    <row r="166" spans="1:2" x14ac:dyDescent="0.25">
      <c r="A166" s="1">
        <v>41871</v>
      </c>
      <c r="B166">
        <v>2.3174999999999999</v>
      </c>
    </row>
    <row r="167" spans="1:2" x14ac:dyDescent="0.25">
      <c r="A167" s="1">
        <v>41872</v>
      </c>
      <c r="B167">
        <v>2.48</v>
      </c>
    </row>
    <row r="168" spans="1:2" x14ac:dyDescent="0.25">
      <c r="A168" s="1">
        <v>41873</v>
      </c>
      <c r="B168">
        <v>2.4700000000000002</v>
      </c>
    </row>
    <row r="169" spans="1:2" x14ac:dyDescent="0.25">
      <c r="A169" s="1">
        <v>41876</v>
      </c>
      <c r="B169">
        <v>2.4</v>
      </c>
    </row>
    <row r="170" spans="1:2" x14ac:dyDescent="0.25">
      <c r="A170" s="1">
        <v>41877</v>
      </c>
      <c r="B170">
        <v>2.2725</v>
      </c>
    </row>
    <row r="171" spans="1:2" x14ac:dyDescent="0.25">
      <c r="A171" s="1">
        <v>41878</v>
      </c>
      <c r="B171">
        <v>2.23</v>
      </c>
    </row>
    <row r="172" spans="1:2" x14ac:dyDescent="0.25">
      <c r="A172" s="1">
        <v>41879</v>
      </c>
      <c r="B172">
        <v>2.1800000000000002</v>
      </c>
    </row>
    <row r="173" spans="1:2" x14ac:dyDescent="0.25">
      <c r="A173" s="1">
        <v>41880</v>
      </c>
      <c r="B173">
        <v>2.2200000000000002</v>
      </c>
    </row>
    <row r="174" spans="1:2" x14ac:dyDescent="0.25">
      <c r="A174" s="1">
        <v>41883</v>
      </c>
      <c r="B174">
        <v>2.1724999999999999</v>
      </c>
    </row>
    <row r="175" spans="1:2" x14ac:dyDescent="0.25">
      <c r="A175" s="1">
        <v>41884</v>
      </c>
      <c r="B175">
        <v>2.1724999999999999</v>
      </c>
    </row>
    <row r="176" spans="1:2" x14ac:dyDescent="0.25">
      <c r="A176" s="1">
        <v>41885</v>
      </c>
      <c r="B176">
        <v>2.1724999999999999</v>
      </c>
    </row>
    <row r="177" spans="1:2" x14ac:dyDescent="0.25">
      <c r="A177" s="1">
        <v>41886</v>
      </c>
      <c r="B177">
        <v>2.14</v>
      </c>
    </row>
    <row r="178" spans="1:2" x14ac:dyDescent="0.25">
      <c r="A178" s="1">
        <v>41887</v>
      </c>
      <c r="B178">
        <v>2.125</v>
      </c>
    </row>
    <row r="179" spans="1:2" x14ac:dyDescent="0.25">
      <c r="A179" s="1">
        <v>41890</v>
      </c>
      <c r="B179">
        <v>2.165</v>
      </c>
    </row>
    <row r="180" spans="1:2" x14ac:dyDescent="0.25">
      <c r="A180" s="1">
        <v>41891</v>
      </c>
      <c r="B180">
        <v>2.21</v>
      </c>
    </row>
    <row r="181" spans="1:2" x14ac:dyDescent="0.25">
      <c r="A181" s="1">
        <v>41892</v>
      </c>
      <c r="B181">
        <v>2.2925</v>
      </c>
    </row>
    <row r="182" spans="1:2" x14ac:dyDescent="0.25">
      <c r="A182" s="1">
        <v>41893</v>
      </c>
      <c r="B182">
        <v>2.2875000000000001</v>
      </c>
    </row>
    <row r="183" spans="1:2" x14ac:dyDescent="0.25">
      <c r="A183" s="1">
        <v>41894</v>
      </c>
      <c r="B183">
        <v>2.1549999999999998</v>
      </c>
    </row>
    <row r="184" spans="1:2" x14ac:dyDescent="0.25">
      <c r="A184" s="1">
        <v>41897</v>
      </c>
      <c r="B184">
        <v>2.7650000000000001</v>
      </c>
    </row>
    <row r="185" spans="1:2" x14ac:dyDescent="0.25">
      <c r="A185" s="1">
        <v>41898</v>
      </c>
      <c r="B185">
        <v>3.2749999999999999</v>
      </c>
    </row>
    <row r="186" spans="1:2" x14ac:dyDescent="0.25">
      <c r="A186" s="1">
        <v>41899</v>
      </c>
      <c r="B186">
        <v>2.875</v>
      </c>
    </row>
    <row r="187" spans="1:2" x14ac:dyDescent="0.25">
      <c r="A187" s="1">
        <v>41900</v>
      </c>
      <c r="B187">
        <v>2.77</v>
      </c>
    </row>
    <row r="188" spans="1:2" x14ac:dyDescent="0.25">
      <c r="A188" s="1">
        <v>41901</v>
      </c>
      <c r="B188">
        <v>2.7124999999999999</v>
      </c>
    </row>
    <row r="189" spans="1:2" x14ac:dyDescent="0.25">
      <c r="A189" s="1">
        <v>41904</v>
      </c>
      <c r="B189">
        <v>2.7450000000000001</v>
      </c>
    </row>
    <row r="190" spans="1:2" x14ac:dyDescent="0.25">
      <c r="A190" s="1">
        <v>41905</v>
      </c>
      <c r="B190">
        <v>2.8</v>
      </c>
    </row>
    <row r="191" spans="1:2" x14ac:dyDescent="0.25">
      <c r="A191" s="1">
        <v>41906</v>
      </c>
      <c r="B191">
        <v>2.7450000000000001</v>
      </c>
    </row>
    <row r="192" spans="1:2" x14ac:dyDescent="0.25">
      <c r="A192" s="1">
        <v>41907</v>
      </c>
      <c r="B192">
        <v>2.6875</v>
      </c>
    </row>
    <row r="193" spans="1:2" x14ac:dyDescent="0.25">
      <c r="A193" s="1">
        <v>41908</v>
      </c>
      <c r="B193">
        <v>2.7275</v>
      </c>
    </row>
    <row r="194" spans="1:2" x14ac:dyDescent="0.25">
      <c r="A194" s="1">
        <v>41911</v>
      </c>
      <c r="B194">
        <v>3.6974999999999998</v>
      </c>
    </row>
    <row r="195" spans="1:2" x14ac:dyDescent="0.25">
      <c r="A195" s="1">
        <v>41912</v>
      </c>
      <c r="B195">
        <v>3.7425000000000002</v>
      </c>
    </row>
    <row r="196" spans="1:2" x14ac:dyDescent="0.25">
      <c r="A196" s="1">
        <v>41913</v>
      </c>
      <c r="B196">
        <v>3.5750000000000002</v>
      </c>
    </row>
    <row r="197" spans="1:2" x14ac:dyDescent="0.25">
      <c r="A197" s="1">
        <v>41914</v>
      </c>
      <c r="B197">
        <v>3.4275000000000002</v>
      </c>
    </row>
    <row r="198" spans="1:2" x14ac:dyDescent="0.25">
      <c r="A198" s="1">
        <v>41915</v>
      </c>
      <c r="B198">
        <v>3.0750000000000002</v>
      </c>
    </row>
    <row r="199" spans="1:2" x14ac:dyDescent="0.25">
      <c r="A199" s="1">
        <v>41918</v>
      </c>
      <c r="B199">
        <v>3.1675</v>
      </c>
    </row>
    <row r="200" spans="1:2" x14ac:dyDescent="0.25">
      <c r="A200" s="1">
        <v>41919</v>
      </c>
      <c r="B200">
        <v>3.08</v>
      </c>
    </row>
    <row r="201" spans="1:2" x14ac:dyDescent="0.25">
      <c r="A201" s="1">
        <v>41920</v>
      </c>
      <c r="B201">
        <v>3.06</v>
      </c>
    </row>
    <row r="202" spans="1:2" x14ac:dyDescent="0.25">
      <c r="A202" s="1">
        <v>41921</v>
      </c>
      <c r="B202">
        <v>2.95</v>
      </c>
    </row>
    <row r="203" spans="1:2" x14ac:dyDescent="0.25">
      <c r="A203" s="1">
        <v>41922</v>
      </c>
      <c r="B203">
        <v>2.97</v>
      </c>
    </row>
    <row r="204" spans="1:2" x14ac:dyDescent="0.25">
      <c r="A204" s="1">
        <v>41925</v>
      </c>
      <c r="B204">
        <v>2.9550000000000001</v>
      </c>
    </row>
    <row r="205" spans="1:2" x14ac:dyDescent="0.25">
      <c r="A205" s="1">
        <v>41926</v>
      </c>
      <c r="B205">
        <v>2.8</v>
      </c>
    </row>
    <row r="206" spans="1:2" x14ac:dyDescent="0.25">
      <c r="A206" s="1">
        <v>41927</v>
      </c>
      <c r="B206">
        <v>2.8050000000000002</v>
      </c>
    </row>
    <row r="207" spans="1:2" x14ac:dyDescent="0.25">
      <c r="A207" s="1">
        <v>41928</v>
      </c>
      <c r="B207">
        <v>3.0975000000000001</v>
      </c>
    </row>
    <row r="208" spans="1:2" x14ac:dyDescent="0.25">
      <c r="A208" s="1">
        <v>41929</v>
      </c>
      <c r="B208">
        <v>3.0550000000000002</v>
      </c>
    </row>
    <row r="209" spans="1:2" x14ac:dyDescent="0.25">
      <c r="A209" s="1">
        <v>41932</v>
      </c>
      <c r="B209">
        <v>3.0350000000000001</v>
      </c>
    </row>
    <row r="210" spans="1:2" x14ac:dyDescent="0.25">
      <c r="A210" s="1">
        <v>41933</v>
      </c>
      <c r="B210">
        <v>2.83</v>
      </c>
    </row>
    <row r="211" spans="1:2" x14ac:dyDescent="0.25">
      <c r="A211" s="1">
        <v>41934</v>
      </c>
      <c r="B211">
        <v>2.84</v>
      </c>
    </row>
    <row r="212" spans="1:2" x14ac:dyDescent="0.25">
      <c r="A212" s="1">
        <v>41935</v>
      </c>
      <c r="B212">
        <v>2.83</v>
      </c>
    </row>
    <row r="213" spans="1:2" x14ac:dyDescent="0.25">
      <c r="A213" s="1">
        <v>41936</v>
      </c>
      <c r="B213">
        <v>2.7625000000000002</v>
      </c>
    </row>
    <row r="214" spans="1:2" x14ac:dyDescent="0.25">
      <c r="A214" s="1">
        <v>41939</v>
      </c>
      <c r="B214">
        <v>2.6974999999999998</v>
      </c>
    </row>
    <row r="215" spans="1:2" x14ac:dyDescent="0.25">
      <c r="A215" s="1">
        <v>41940</v>
      </c>
      <c r="B215">
        <v>2.6475</v>
      </c>
    </row>
    <row r="216" spans="1:2" x14ac:dyDescent="0.25">
      <c r="A216" s="1">
        <v>41941</v>
      </c>
      <c r="B216">
        <v>2.6124999999999998</v>
      </c>
    </row>
    <row r="217" spans="1:2" x14ac:dyDescent="0.25">
      <c r="A217" s="1">
        <v>41942</v>
      </c>
      <c r="B217">
        <v>2.6949999999999998</v>
      </c>
    </row>
    <row r="218" spans="1:2" x14ac:dyDescent="0.25">
      <c r="A218" s="1">
        <v>41943</v>
      </c>
      <c r="B218">
        <v>2.71</v>
      </c>
    </row>
    <row r="219" spans="1:2" x14ac:dyDescent="0.25">
      <c r="A219" s="1">
        <v>41946</v>
      </c>
      <c r="B219">
        <v>2.94</v>
      </c>
    </row>
    <row r="220" spans="1:2" x14ac:dyDescent="0.25">
      <c r="A220" s="1">
        <v>41947</v>
      </c>
      <c r="B220">
        <v>2.99</v>
      </c>
    </row>
    <row r="221" spans="1:2" x14ac:dyDescent="0.25">
      <c r="A221" s="1">
        <v>41948</v>
      </c>
      <c r="B221">
        <v>3.02</v>
      </c>
    </row>
    <row r="222" spans="1:2" x14ac:dyDescent="0.25">
      <c r="A222" s="1">
        <v>41949</v>
      </c>
      <c r="B222">
        <v>3.0874999999999999</v>
      </c>
    </row>
    <row r="223" spans="1:2" x14ac:dyDescent="0.25">
      <c r="A223" s="1">
        <v>41950</v>
      </c>
      <c r="B223">
        <v>3.2625000000000002</v>
      </c>
    </row>
    <row r="224" spans="1:2" x14ac:dyDescent="0.25">
      <c r="A224" s="1">
        <v>41953</v>
      </c>
      <c r="B224">
        <v>3.1074999999999999</v>
      </c>
    </row>
    <row r="225" spans="1:2" x14ac:dyDescent="0.25">
      <c r="A225" s="1">
        <v>41954</v>
      </c>
      <c r="B225">
        <v>3.0750000000000002</v>
      </c>
    </row>
    <row r="226" spans="1:2" x14ac:dyDescent="0.25">
      <c r="A226" s="1">
        <v>41955</v>
      </c>
      <c r="B226">
        <v>3.1025</v>
      </c>
    </row>
    <row r="227" spans="1:2" x14ac:dyDescent="0.25">
      <c r="A227" s="1">
        <v>41956</v>
      </c>
      <c r="B227">
        <v>2.9725000000000001</v>
      </c>
    </row>
    <row r="228" spans="1:2" x14ac:dyDescent="0.25">
      <c r="A228" s="1">
        <v>41957</v>
      </c>
      <c r="B228">
        <v>2.77</v>
      </c>
    </row>
    <row r="229" spans="1:2" x14ac:dyDescent="0.25">
      <c r="A229" s="1">
        <v>41960</v>
      </c>
      <c r="B229">
        <v>2.7174999999999998</v>
      </c>
    </row>
    <row r="230" spans="1:2" x14ac:dyDescent="0.25">
      <c r="A230" s="1">
        <v>41961</v>
      </c>
      <c r="B230">
        <v>2.5825</v>
      </c>
    </row>
    <row r="231" spans="1:2" x14ac:dyDescent="0.25">
      <c r="A231" s="1">
        <v>41962</v>
      </c>
      <c r="B231">
        <v>2.5924999999999998</v>
      </c>
    </row>
    <row r="232" spans="1:2" x14ac:dyDescent="0.25">
      <c r="A232" s="1">
        <v>41963</v>
      </c>
      <c r="B232">
        <v>2.61</v>
      </c>
    </row>
    <row r="233" spans="1:2" x14ac:dyDescent="0.25">
      <c r="A233" s="1">
        <v>41964</v>
      </c>
      <c r="B233">
        <v>2.5825</v>
      </c>
    </row>
    <row r="234" spans="1:2" x14ac:dyDescent="0.25">
      <c r="A234" s="1">
        <v>41967</v>
      </c>
      <c r="B234">
        <v>2.9975000000000001</v>
      </c>
    </row>
    <row r="235" spans="1:2" x14ac:dyDescent="0.25">
      <c r="A235" s="1">
        <v>41968</v>
      </c>
      <c r="B235">
        <v>2.9525000000000001</v>
      </c>
    </row>
    <row r="236" spans="1:2" x14ac:dyDescent="0.25">
      <c r="A236" s="1">
        <v>41969</v>
      </c>
      <c r="B236">
        <v>2.9474999999999998</v>
      </c>
    </row>
    <row r="237" spans="1:2" x14ac:dyDescent="0.25">
      <c r="A237" s="1">
        <v>41970</v>
      </c>
      <c r="B237">
        <v>2.9275000000000002</v>
      </c>
    </row>
    <row r="238" spans="1:2" x14ac:dyDescent="0.25">
      <c r="A238" s="1">
        <v>41971</v>
      </c>
      <c r="B238">
        <v>3.0674999999999999</v>
      </c>
    </row>
    <row r="239" spans="1:2" x14ac:dyDescent="0.25">
      <c r="A239" s="1">
        <v>41974</v>
      </c>
      <c r="B239">
        <v>3.1724999999999999</v>
      </c>
    </row>
    <row r="240" spans="1:2" x14ac:dyDescent="0.25">
      <c r="A240" s="1">
        <v>41975</v>
      </c>
      <c r="B240">
        <v>3.1225000000000001</v>
      </c>
    </row>
    <row r="241" spans="1:2" x14ac:dyDescent="0.25">
      <c r="A241" s="1">
        <v>41976</v>
      </c>
      <c r="B241">
        <v>3.1549999999999998</v>
      </c>
    </row>
    <row r="242" spans="1:2" x14ac:dyDescent="0.25">
      <c r="A242" s="1">
        <v>41977</v>
      </c>
      <c r="B242">
        <v>3.2349999999999999</v>
      </c>
    </row>
    <row r="243" spans="1:2" x14ac:dyDescent="0.25">
      <c r="A243" s="1">
        <v>41978</v>
      </c>
      <c r="B243">
        <v>3.2450000000000001</v>
      </c>
    </row>
    <row r="244" spans="1:2" x14ac:dyDescent="0.25">
      <c r="A244" s="1">
        <v>41981</v>
      </c>
      <c r="B244">
        <v>3.7974999999999999</v>
      </c>
    </row>
    <row r="245" spans="1:2" x14ac:dyDescent="0.25">
      <c r="A245" s="1">
        <v>41982</v>
      </c>
      <c r="B245">
        <v>4.29</v>
      </c>
    </row>
    <row r="246" spans="1:2" x14ac:dyDescent="0.25">
      <c r="A246" s="1">
        <v>41983</v>
      </c>
      <c r="B246">
        <v>4.0350000000000001</v>
      </c>
    </row>
    <row r="247" spans="1:2" x14ac:dyDescent="0.25">
      <c r="A247" s="1">
        <v>41984</v>
      </c>
      <c r="B247">
        <v>4.2675000000000001</v>
      </c>
    </row>
    <row r="248" spans="1:2" x14ac:dyDescent="0.25">
      <c r="A248" s="1">
        <v>41985</v>
      </c>
      <c r="B248">
        <v>4.3174999999999999</v>
      </c>
    </row>
    <row r="249" spans="1:2" x14ac:dyDescent="0.25">
      <c r="A249" s="1">
        <v>41988</v>
      </c>
      <c r="B249">
        <v>4.3600000000000003</v>
      </c>
    </row>
    <row r="250" spans="1:2" x14ac:dyDescent="0.25">
      <c r="A250" s="1">
        <v>41989</v>
      </c>
      <c r="B250">
        <v>4.5350000000000001</v>
      </c>
    </row>
    <row r="251" spans="1:2" x14ac:dyDescent="0.25">
      <c r="A251" s="1">
        <v>41990</v>
      </c>
      <c r="B251">
        <v>4.7575000000000003</v>
      </c>
    </row>
    <row r="252" spans="1:2" x14ac:dyDescent="0.25">
      <c r="A252" s="1">
        <v>41991</v>
      </c>
      <c r="B252">
        <v>5.0750000000000002</v>
      </c>
    </row>
    <row r="253" spans="1:2" x14ac:dyDescent="0.25">
      <c r="A253" s="1">
        <v>41992</v>
      </c>
      <c r="B253">
        <v>5.0575000000000001</v>
      </c>
    </row>
    <row r="254" spans="1:2" x14ac:dyDescent="0.25">
      <c r="A254" s="1">
        <v>41995</v>
      </c>
      <c r="B254">
        <v>5.0075000000000003</v>
      </c>
    </row>
    <row r="255" spans="1:2" x14ac:dyDescent="0.25">
      <c r="A255" s="1">
        <v>41996</v>
      </c>
      <c r="B255">
        <v>4.6675000000000004</v>
      </c>
    </row>
    <row r="256" spans="1:2" x14ac:dyDescent="0.25">
      <c r="A256" s="1">
        <v>41997</v>
      </c>
      <c r="B256">
        <v>4.6974999999999998</v>
      </c>
    </row>
    <row r="257" spans="1:2" x14ac:dyDescent="0.25">
      <c r="A257" s="1">
        <v>41998</v>
      </c>
      <c r="B257">
        <v>4.6775000000000002</v>
      </c>
    </row>
    <row r="258" spans="1:2" x14ac:dyDescent="0.25">
      <c r="A258" s="1">
        <v>41999</v>
      </c>
      <c r="B258">
        <v>4.5575000000000001</v>
      </c>
    </row>
    <row r="259" spans="1:2" x14ac:dyDescent="0.25">
      <c r="A259" s="1">
        <v>42002</v>
      </c>
      <c r="B259">
        <v>4.7824999999999998</v>
      </c>
    </row>
    <row r="260" spans="1:2" x14ac:dyDescent="0.25">
      <c r="A260" s="1">
        <v>42003</v>
      </c>
      <c r="B260">
        <v>4.3949999999999996</v>
      </c>
    </row>
    <row r="261" spans="1:2" x14ac:dyDescent="0.25">
      <c r="A261" s="1">
        <v>42004</v>
      </c>
      <c r="B261">
        <v>4.3025000000000002</v>
      </c>
    </row>
    <row r="262" spans="1:2" x14ac:dyDescent="0.25">
      <c r="A262" s="1">
        <v>42005</v>
      </c>
      <c r="B262">
        <v>4.2949999999999999</v>
      </c>
    </row>
    <row r="263" spans="1:2" x14ac:dyDescent="0.25">
      <c r="A263" s="1">
        <v>42006</v>
      </c>
      <c r="B263">
        <v>4.22</v>
      </c>
    </row>
    <row r="264" spans="1:2" x14ac:dyDescent="0.25">
      <c r="A264" s="1">
        <v>42009</v>
      </c>
      <c r="B264">
        <v>3.8075000000000001</v>
      </c>
    </row>
    <row r="265" spans="1:2" x14ac:dyDescent="0.25">
      <c r="A265" s="1">
        <v>42010</v>
      </c>
      <c r="B265">
        <v>3.1225000000000001</v>
      </c>
    </row>
    <row r="266" spans="1:2" x14ac:dyDescent="0.25">
      <c r="A266" s="1">
        <v>42011</v>
      </c>
      <c r="B266">
        <v>3.2650000000000001</v>
      </c>
    </row>
    <row r="267" spans="1:2" x14ac:dyDescent="0.25">
      <c r="A267" s="1">
        <v>42012</v>
      </c>
      <c r="B267">
        <v>3.4</v>
      </c>
    </row>
    <row r="268" spans="1:2" x14ac:dyDescent="0.25">
      <c r="A268" s="1">
        <v>42013</v>
      </c>
      <c r="B268">
        <v>3.3374999999999999</v>
      </c>
    </row>
    <row r="269" spans="1:2" x14ac:dyDescent="0.25">
      <c r="A269" s="1">
        <v>42016</v>
      </c>
      <c r="B269">
        <v>3.3650000000000002</v>
      </c>
    </row>
    <row r="270" spans="1:2" x14ac:dyDescent="0.25">
      <c r="A270" s="1">
        <v>42017</v>
      </c>
      <c r="B270">
        <v>3.2</v>
      </c>
    </row>
    <row r="271" spans="1:2" x14ac:dyDescent="0.25">
      <c r="A271" s="1">
        <v>42018</v>
      </c>
      <c r="B271">
        <v>2.9824999999999999</v>
      </c>
    </row>
    <row r="272" spans="1:2" x14ac:dyDescent="0.25">
      <c r="A272" s="1">
        <v>42019</v>
      </c>
      <c r="B272">
        <v>2.88</v>
      </c>
    </row>
    <row r="273" spans="1:2" x14ac:dyDescent="0.25">
      <c r="A273" s="1">
        <v>42020</v>
      </c>
      <c r="B273">
        <v>3.4</v>
      </c>
    </row>
    <row r="274" spans="1:2" x14ac:dyDescent="0.25">
      <c r="A274" s="1">
        <v>42023</v>
      </c>
      <c r="B274">
        <v>3.5350000000000001</v>
      </c>
    </row>
    <row r="275" spans="1:2" x14ac:dyDescent="0.25">
      <c r="A275" s="1">
        <v>42024</v>
      </c>
      <c r="B275">
        <v>3.4424999999999999</v>
      </c>
    </row>
    <row r="276" spans="1:2" x14ac:dyDescent="0.25">
      <c r="A276" s="1">
        <v>42025</v>
      </c>
      <c r="B276">
        <v>3.4325000000000001</v>
      </c>
    </row>
    <row r="277" spans="1:2" x14ac:dyDescent="0.25">
      <c r="A277" s="1">
        <v>42026</v>
      </c>
      <c r="B277">
        <v>3.4125000000000001</v>
      </c>
    </row>
    <row r="278" spans="1:2" x14ac:dyDescent="0.25">
      <c r="A278" s="1">
        <v>42027</v>
      </c>
      <c r="B278">
        <v>4.0999999999999996</v>
      </c>
    </row>
    <row r="279" spans="1:2" x14ac:dyDescent="0.25">
      <c r="A279" s="1">
        <v>42030</v>
      </c>
      <c r="B279">
        <v>4.9024999999999999</v>
      </c>
    </row>
    <row r="280" spans="1:2" x14ac:dyDescent="0.25">
      <c r="A280" s="1">
        <v>42031</v>
      </c>
      <c r="B280">
        <v>4.2300000000000004</v>
      </c>
    </row>
    <row r="281" spans="1:2" x14ac:dyDescent="0.25">
      <c r="A281" s="1">
        <v>42032</v>
      </c>
      <c r="B281">
        <v>4.4349999999999996</v>
      </c>
    </row>
    <row r="282" spans="1:2" x14ac:dyDescent="0.25">
      <c r="A282" s="1">
        <v>42033</v>
      </c>
      <c r="B282">
        <v>4.7074999999999996</v>
      </c>
    </row>
    <row r="283" spans="1:2" x14ac:dyDescent="0.25">
      <c r="A283" s="1">
        <v>42034</v>
      </c>
      <c r="B283">
        <v>5.6924999999999999</v>
      </c>
    </row>
    <row r="284" spans="1:2" x14ac:dyDescent="0.25">
      <c r="A284" s="1">
        <v>42037</v>
      </c>
      <c r="B284">
        <v>6.1050000000000004</v>
      </c>
    </row>
    <row r="285" spans="1:2" x14ac:dyDescent="0.25">
      <c r="A285" s="1">
        <v>42038</v>
      </c>
      <c r="B285">
        <v>5.9524999999999997</v>
      </c>
    </row>
    <row r="286" spans="1:2" x14ac:dyDescent="0.25">
      <c r="A286" s="1">
        <v>42039</v>
      </c>
      <c r="B286">
        <v>5.4824999999999999</v>
      </c>
    </row>
    <row r="287" spans="1:2" x14ac:dyDescent="0.25">
      <c r="A287" s="1">
        <v>42040</v>
      </c>
      <c r="B287">
        <v>5.5075000000000003</v>
      </c>
    </row>
    <row r="288" spans="1:2" x14ac:dyDescent="0.25">
      <c r="A288" s="1">
        <v>42041</v>
      </c>
      <c r="B288">
        <v>5.3475000000000001</v>
      </c>
    </row>
    <row r="289" spans="1:2" x14ac:dyDescent="0.25">
      <c r="A289" s="1">
        <v>42044</v>
      </c>
      <c r="B289">
        <v>5.29</v>
      </c>
    </row>
    <row r="290" spans="1:2" x14ac:dyDescent="0.25">
      <c r="A290" s="1">
        <v>42045</v>
      </c>
      <c r="B290">
        <v>4.6950000000000003</v>
      </c>
    </row>
    <row r="291" spans="1:2" x14ac:dyDescent="0.25">
      <c r="A291" s="1">
        <v>42046</v>
      </c>
      <c r="B291">
        <v>4.5274999999999999</v>
      </c>
    </row>
    <row r="292" spans="1:2" x14ac:dyDescent="0.25">
      <c r="A292" s="1">
        <v>42047</v>
      </c>
      <c r="B292">
        <v>4.5250000000000004</v>
      </c>
    </row>
    <row r="293" spans="1:2" x14ac:dyDescent="0.25">
      <c r="A293" s="1">
        <v>42048</v>
      </c>
      <c r="B293">
        <v>4.4775</v>
      </c>
    </row>
    <row r="294" spans="1:2" x14ac:dyDescent="0.25">
      <c r="A294" s="1">
        <v>42051</v>
      </c>
      <c r="B294">
        <v>5.0449999999999999</v>
      </c>
    </row>
    <row r="295" spans="1:2" x14ac:dyDescent="0.25">
      <c r="A295" s="1">
        <v>42052</v>
      </c>
      <c r="B295">
        <v>5.7750000000000004</v>
      </c>
    </row>
    <row r="296" spans="1:2" x14ac:dyDescent="0.25">
      <c r="A296" s="1">
        <v>42053</v>
      </c>
      <c r="B296">
        <v>5.6725000000000003</v>
      </c>
    </row>
    <row r="297" spans="1:2" x14ac:dyDescent="0.25">
      <c r="A297" s="1">
        <v>42054</v>
      </c>
      <c r="B297">
        <v>5.6025</v>
      </c>
    </row>
    <row r="298" spans="1:2" x14ac:dyDescent="0.25">
      <c r="A298" s="1">
        <v>42055</v>
      </c>
      <c r="B298">
        <v>5.66</v>
      </c>
    </row>
    <row r="299" spans="1:2" x14ac:dyDescent="0.25">
      <c r="A299" s="1">
        <v>42058</v>
      </c>
      <c r="B299">
        <v>5.24</v>
      </c>
    </row>
    <row r="300" spans="1:2" x14ac:dyDescent="0.25">
      <c r="A300" s="1">
        <v>42059</v>
      </c>
      <c r="B300">
        <v>4.8925000000000001</v>
      </c>
    </row>
    <row r="301" spans="1:2" x14ac:dyDescent="0.25">
      <c r="A301" s="1">
        <v>42060</v>
      </c>
      <c r="B301">
        <v>4.585</v>
      </c>
    </row>
    <row r="302" spans="1:2" x14ac:dyDescent="0.25">
      <c r="A302" s="1">
        <v>42061</v>
      </c>
      <c r="B302">
        <v>4.2125000000000004</v>
      </c>
    </row>
    <row r="303" spans="1:2" x14ac:dyDescent="0.25">
      <c r="A303" s="1">
        <v>42062</v>
      </c>
      <c r="B303">
        <v>5.1174999999999997</v>
      </c>
    </row>
    <row r="304" spans="1:2" x14ac:dyDescent="0.25">
      <c r="A304" s="1">
        <v>42065</v>
      </c>
      <c r="B304">
        <v>5.0824999999999996</v>
      </c>
    </row>
    <row r="305" spans="1:2" x14ac:dyDescent="0.25">
      <c r="A305" s="1">
        <v>42066</v>
      </c>
      <c r="B305">
        <v>4.6974999999999998</v>
      </c>
    </row>
    <row r="306" spans="1:2" x14ac:dyDescent="0.25">
      <c r="A306" s="1">
        <v>42067</v>
      </c>
      <c r="B306">
        <v>4.6349999999999998</v>
      </c>
    </row>
    <row r="307" spans="1:2" x14ac:dyDescent="0.25">
      <c r="A307" s="1">
        <v>42068</v>
      </c>
      <c r="B307">
        <v>4.5324999999999998</v>
      </c>
    </row>
    <row r="308" spans="1:2" x14ac:dyDescent="0.25">
      <c r="A308" s="1">
        <v>42069</v>
      </c>
      <c r="B308">
        <v>4.3099999999999996</v>
      </c>
    </row>
    <row r="309" spans="1:2" x14ac:dyDescent="0.25">
      <c r="A309" s="1">
        <v>42072</v>
      </c>
      <c r="B309">
        <v>4.3224999999999998</v>
      </c>
    </row>
    <row r="310" spans="1:2" x14ac:dyDescent="0.25">
      <c r="A310" s="1">
        <v>42073</v>
      </c>
      <c r="B310">
        <v>4.3274999999999997</v>
      </c>
    </row>
    <row r="311" spans="1:2" x14ac:dyDescent="0.25">
      <c r="A311" s="1">
        <v>42074</v>
      </c>
      <c r="B311">
        <v>4.3525</v>
      </c>
    </row>
    <row r="312" spans="1:2" x14ac:dyDescent="0.25">
      <c r="A312" s="1">
        <v>42075</v>
      </c>
      <c r="B312">
        <v>4.3174999999999999</v>
      </c>
    </row>
    <row r="313" spans="1:2" x14ac:dyDescent="0.25">
      <c r="A313" s="1">
        <v>42076</v>
      </c>
      <c r="B313">
        <v>4.835</v>
      </c>
    </row>
    <row r="314" spans="1:2" x14ac:dyDescent="0.25">
      <c r="A314" s="1">
        <v>42079</v>
      </c>
      <c r="B314">
        <v>4.6825000000000001</v>
      </c>
    </row>
    <row r="315" spans="1:2" x14ac:dyDescent="0.25">
      <c r="A315" s="1">
        <v>42080</v>
      </c>
      <c r="B315">
        <v>4.6100000000000003</v>
      </c>
    </row>
    <row r="316" spans="1:2" x14ac:dyDescent="0.25">
      <c r="A316" s="1">
        <v>42081</v>
      </c>
      <c r="B316">
        <v>4.3125</v>
      </c>
    </row>
    <row r="317" spans="1:2" x14ac:dyDescent="0.25">
      <c r="A317" s="1">
        <v>42082</v>
      </c>
      <c r="B317">
        <v>4.0125000000000002</v>
      </c>
    </row>
    <row r="318" spans="1:2" x14ac:dyDescent="0.25">
      <c r="A318" s="1">
        <v>42083</v>
      </c>
      <c r="B318">
        <v>4.1875</v>
      </c>
    </row>
    <row r="319" spans="1:2" x14ac:dyDescent="0.25">
      <c r="A319" s="1">
        <v>42086</v>
      </c>
      <c r="B319">
        <v>4.26</v>
      </c>
    </row>
    <row r="320" spans="1:2" x14ac:dyDescent="0.25">
      <c r="A320" s="1">
        <v>42087</v>
      </c>
      <c r="B320">
        <v>4.21</v>
      </c>
    </row>
    <row r="321" spans="1:2" x14ac:dyDescent="0.25">
      <c r="A321" s="1">
        <v>42088</v>
      </c>
      <c r="B321">
        <v>4.0175000000000001</v>
      </c>
    </row>
    <row r="322" spans="1:2" x14ac:dyDescent="0.25">
      <c r="A322" s="1">
        <v>42089</v>
      </c>
      <c r="B322">
        <v>3.9</v>
      </c>
    </row>
    <row r="323" spans="1:2" x14ac:dyDescent="0.25">
      <c r="A323" s="1">
        <v>42090</v>
      </c>
      <c r="B323">
        <v>3.7949999999999999</v>
      </c>
    </row>
    <row r="324" spans="1:2" x14ac:dyDescent="0.25">
      <c r="A324" s="1">
        <v>42093</v>
      </c>
      <c r="B324">
        <v>3.5474999999999999</v>
      </c>
    </row>
    <row r="325" spans="1:2" x14ac:dyDescent="0.25">
      <c r="A325" s="1">
        <v>42094</v>
      </c>
      <c r="B325">
        <v>3.4075000000000002</v>
      </c>
    </row>
    <row r="326" spans="1:2" x14ac:dyDescent="0.25">
      <c r="A326" s="1">
        <v>42095</v>
      </c>
      <c r="B326">
        <v>3.33</v>
      </c>
    </row>
    <row r="327" spans="1:2" x14ac:dyDescent="0.25">
      <c r="A327" s="1">
        <v>42096</v>
      </c>
      <c r="B327">
        <v>3.11</v>
      </c>
    </row>
    <row r="328" spans="1:2" x14ac:dyDescent="0.25">
      <c r="A328" s="1">
        <v>42097</v>
      </c>
      <c r="B328">
        <v>3.1274999999999999</v>
      </c>
    </row>
    <row r="329" spans="1:2" x14ac:dyDescent="0.25">
      <c r="A329" s="1">
        <v>42100</v>
      </c>
      <c r="B329">
        <v>3.1150000000000002</v>
      </c>
    </row>
    <row r="330" spans="1:2" x14ac:dyDescent="0.25">
      <c r="A330" s="1">
        <v>42101</v>
      </c>
      <c r="B330">
        <v>3.0975000000000001</v>
      </c>
    </row>
    <row r="331" spans="1:2" x14ac:dyDescent="0.25">
      <c r="A331" s="1">
        <v>42102</v>
      </c>
      <c r="B331">
        <v>3.0425</v>
      </c>
    </row>
    <row r="332" spans="1:2" x14ac:dyDescent="0.25">
      <c r="A332" s="1">
        <v>42103</v>
      </c>
      <c r="B332">
        <v>3.0425</v>
      </c>
    </row>
    <row r="333" spans="1:2" x14ac:dyDescent="0.25">
      <c r="A333" s="1">
        <v>42104</v>
      </c>
      <c r="B333">
        <v>3.0350000000000001</v>
      </c>
    </row>
    <row r="334" spans="1:2" x14ac:dyDescent="0.25">
      <c r="A334" s="1">
        <v>42107</v>
      </c>
      <c r="B334">
        <v>3.0425</v>
      </c>
    </row>
    <row r="335" spans="1:2" x14ac:dyDescent="0.25">
      <c r="A335" s="1">
        <v>42108</v>
      </c>
      <c r="B335">
        <v>2.9275000000000002</v>
      </c>
    </row>
    <row r="336" spans="1:2" x14ac:dyDescent="0.25">
      <c r="A336" s="1">
        <v>42109</v>
      </c>
      <c r="B336">
        <v>2.76</v>
      </c>
    </row>
    <row r="337" spans="1:2" x14ac:dyDescent="0.25">
      <c r="A337" s="1">
        <v>42110</v>
      </c>
      <c r="B337">
        <v>2.72</v>
      </c>
    </row>
    <row r="338" spans="1:2" x14ac:dyDescent="0.25">
      <c r="A338" s="1">
        <v>42111</v>
      </c>
      <c r="B338">
        <v>2.7974999999999999</v>
      </c>
    </row>
    <row r="339" spans="1:2" x14ac:dyDescent="0.25">
      <c r="A339" s="1">
        <v>42114</v>
      </c>
      <c r="B339">
        <v>2.7425000000000002</v>
      </c>
    </row>
    <row r="340" spans="1:2" x14ac:dyDescent="0.25">
      <c r="A340" s="1">
        <v>42115</v>
      </c>
      <c r="B340">
        <v>2.5775000000000001</v>
      </c>
    </row>
    <row r="341" spans="1:2" x14ac:dyDescent="0.25">
      <c r="A341" s="1">
        <v>42116</v>
      </c>
      <c r="B341">
        <v>2.5024999999999999</v>
      </c>
    </row>
    <row r="342" spans="1:2" x14ac:dyDescent="0.25">
      <c r="A342" s="1">
        <v>42117</v>
      </c>
      <c r="B342">
        <v>2.57</v>
      </c>
    </row>
    <row r="343" spans="1:2" x14ac:dyDescent="0.25">
      <c r="A343" s="1">
        <v>42118</v>
      </c>
      <c r="B343">
        <v>2.5350000000000001</v>
      </c>
    </row>
    <row r="344" spans="1:2" x14ac:dyDescent="0.25">
      <c r="A344" s="1">
        <v>42121</v>
      </c>
      <c r="B344">
        <v>2.7925</v>
      </c>
    </row>
    <row r="345" spans="1:2" x14ac:dyDescent="0.25">
      <c r="A345" s="1">
        <v>42122</v>
      </c>
      <c r="B345">
        <v>2.7949999999999999</v>
      </c>
    </row>
    <row r="346" spans="1:2" x14ac:dyDescent="0.25">
      <c r="A346" s="1">
        <v>42123</v>
      </c>
      <c r="B346">
        <v>2.7725</v>
      </c>
    </row>
    <row r="347" spans="1:2" x14ac:dyDescent="0.25">
      <c r="A347" s="1">
        <v>42124</v>
      </c>
      <c r="B347">
        <v>2.6274999999999999</v>
      </c>
    </row>
    <row r="348" spans="1:2" x14ac:dyDescent="0.25">
      <c r="A348" s="1">
        <v>42125</v>
      </c>
      <c r="B348">
        <v>2.6349999999999998</v>
      </c>
    </row>
    <row r="349" spans="1:2" x14ac:dyDescent="0.25">
      <c r="A349" s="1">
        <v>42128</v>
      </c>
      <c r="B349">
        <v>2.75</v>
      </c>
    </row>
    <row r="350" spans="1:2" x14ac:dyDescent="0.25">
      <c r="A350" s="1">
        <v>42129</v>
      </c>
      <c r="B350">
        <v>2.68</v>
      </c>
    </row>
    <row r="351" spans="1:2" x14ac:dyDescent="0.25">
      <c r="A351" s="1">
        <v>42130</v>
      </c>
      <c r="B351">
        <v>2.5924999999999998</v>
      </c>
    </row>
    <row r="352" spans="1:2" x14ac:dyDescent="0.25">
      <c r="A352" s="1">
        <v>42131</v>
      </c>
      <c r="B352">
        <v>2.64</v>
      </c>
    </row>
    <row r="353" spans="1:2" x14ac:dyDescent="0.25">
      <c r="A353" s="1">
        <v>42132</v>
      </c>
      <c r="B353">
        <v>2.6475</v>
      </c>
    </row>
    <row r="354" spans="1:2" x14ac:dyDescent="0.25">
      <c r="A354" s="1">
        <v>42135</v>
      </c>
      <c r="B354">
        <v>2.4649999999999999</v>
      </c>
    </row>
    <row r="355" spans="1:2" x14ac:dyDescent="0.25">
      <c r="A355" s="1">
        <v>42136</v>
      </c>
      <c r="B355">
        <v>2.2475000000000001</v>
      </c>
    </row>
    <row r="356" spans="1:2" x14ac:dyDescent="0.25">
      <c r="A356" s="1">
        <v>42137</v>
      </c>
      <c r="B356">
        <v>2.0175000000000001</v>
      </c>
    </row>
    <row r="357" spans="1:2" x14ac:dyDescent="0.25">
      <c r="A357" s="1">
        <v>42138</v>
      </c>
      <c r="B357">
        <v>2.02</v>
      </c>
    </row>
    <row r="358" spans="1:2" x14ac:dyDescent="0.25">
      <c r="A358" s="1">
        <v>42139</v>
      </c>
      <c r="B358">
        <v>2.06</v>
      </c>
    </row>
    <row r="359" spans="1:2" x14ac:dyDescent="0.25">
      <c r="A359" s="1">
        <v>42142</v>
      </c>
      <c r="B359">
        <v>2.08</v>
      </c>
    </row>
    <row r="360" spans="1:2" x14ac:dyDescent="0.25">
      <c r="A360" s="1">
        <v>42143</v>
      </c>
      <c r="B360">
        <v>2.0074999999999998</v>
      </c>
    </row>
    <row r="361" spans="1:2" x14ac:dyDescent="0.25">
      <c r="A361" s="1">
        <v>42144</v>
      </c>
      <c r="B361">
        <v>1.9775</v>
      </c>
    </row>
    <row r="362" spans="1:2" x14ac:dyDescent="0.25">
      <c r="A362" s="1">
        <v>42145</v>
      </c>
      <c r="B362">
        <v>2.0074999999999998</v>
      </c>
    </row>
    <row r="363" spans="1:2" x14ac:dyDescent="0.25">
      <c r="A363" s="1">
        <v>42146</v>
      </c>
      <c r="B363">
        <v>2.0950000000000002</v>
      </c>
    </row>
    <row r="364" spans="1:2" x14ac:dyDescent="0.25">
      <c r="A364" s="1">
        <v>42149</v>
      </c>
      <c r="B364">
        <v>2.17</v>
      </c>
    </row>
    <row r="365" spans="1:2" x14ac:dyDescent="0.25">
      <c r="A365" s="1">
        <v>42150</v>
      </c>
      <c r="B365">
        <v>2.1775000000000002</v>
      </c>
    </row>
    <row r="366" spans="1:2" x14ac:dyDescent="0.25">
      <c r="A366" s="1">
        <v>42151</v>
      </c>
      <c r="B366">
        <v>2.0750000000000002</v>
      </c>
    </row>
    <row r="367" spans="1:2" x14ac:dyDescent="0.25">
      <c r="A367" s="1">
        <v>42152</v>
      </c>
      <c r="B367">
        <v>2.09</v>
      </c>
    </row>
    <row r="368" spans="1:2" x14ac:dyDescent="0.25">
      <c r="A368" s="1">
        <v>42153</v>
      </c>
      <c r="B368">
        <v>2.0724999999999998</v>
      </c>
    </row>
    <row r="369" spans="1:2" x14ac:dyDescent="0.25">
      <c r="A369" s="1">
        <v>42156</v>
      </c>
      <c r="B369">
        <v>2.1175000000000002</v>
      </c>
    </row>
    <row r="370" spans="1:2" x14ac:dyDescent="0.25">
      <c r="A370" s="1">
        <v>42157</v>
      </c>
      <c r="B370">
        <v>2.0425</v>
      </c>
    </row>
    <row r="371" spans="1:2" x14ac:dyDescent="0.25">
      <c r="A371" s="1">
        <v>42158</v>
      </c>
      <c r="B371">
        <v>2.1074999999999999</v>
      </c>
    </row>
    <row r="372" spans="1:2" x14ac:dyDescent="0.25">
      <c r="A372" s="1">
        <v>42159</v>
      </c>
      <c r="B372">
        <v>2.04</v>
      </c>
    </row>
    <row r="373" spans="1:2" x14ac:dyDescent="0.25">
      <c r="A373" s="1">
        <v>42160</v>
      </c>
      <c r="B373">
        <v>2.09</v>
      </c>
    </row>
    <row r="374" spans="1:2" x14ac:dyDescent="0.25">
      <c r="A374" s="1">
        <v>42163</v>
      </c>
      <c r="B374">
        <v>2.1074999999999999</v>
      </c>
    </row>
    <row r="375" spans="1:2" x14ac:dyDescent="0.25">
      <c r="A375" s="1">
        <v>42164</v>
      </c>
      <c r="B375">
        <v>2.0924999999999998</v>
      </c>
    </row>
    <row r="376" spans="1:2" x14ac:dyDescent="0.25">
      <c r="A376" s="1">
        <v>42165</v>
      </c>
      <c r="B376">
        <v>2.0375000000000001</v>
      </c>
    </row>
    <row r="377" spans="1:2" x14ac:dyDescent="0.25">
      <c r="A377" s="1">
        <v>42166</v>
      </c>
      <c r="B377">
        <v>2.02</v>
      </c>
    </row>
    <row r="378" spans="1:2" x14ac:dyDescent="0.25">
      <c r="A378" s="1">
        <v>42167</v>
      </c>
      <c r="B378">
        <v>1.83</v>
      </c>
    </row>
    <row r="379" spans="1:2" x14ac:dyDescent="0.25">
      <c r="A379" s="1">
        <v>42170</v>
      </c>
      <c r="B379">
        <v>1.8225</v>
      </c>
    </row>
    <row r="380" spans="1:2" x14ac:dyDescent="0.25">
      <c r="A380" s="1">
        <v>42171</v>
      </c>
      <c r="B380">
        <v>1.8174999999999999</v>
      </c>
    </row>
    <row r="381" spans="1:2" x14ac:dyDescent="0.25">
      <c r="A381" s="1">
        <v>42172</v>
      </c>
      <c r="B381">
        <v>1.7775000000000001</v>
      </c>
    </row>
    <row r="382" spans="1:2" x14ac:dyDescent="0.25">
      <c r="A382" s="1">
        <v>42173</v>
      </c>
      <c r="B382">
        <v>1.7350000000000001</v>
      </c>
    </row>
    <row r="383" spans="1:2" x14ac:dyDescent="0.25">
      <c r="A383" s="1">
        <v>42174</v>
      </c>
      <c r="B383">
        <v>1.7725</v>
      </c>
    </row>
    <row r="384" spans="1:2" x14ac:dyDescent="0.25">
      <c r="A384" s="1">
        <v>42177</v>
      </c>
      <c r="B384">
        <v>1.7475000000000001</v>
      </c>
    </row>
    <row r="385" spans="1:2" x14ac:dyDescent="0.25">
      <c r="A385" s="1">
        <v>42178</v>
      </c>
      <c r="B385">
        <v>1.7475000000000001</v>
      </c>
    </row>
    <row r="386" spans="1:2" x14ac:dyDescent="0.25">
      <c r="A386" s="1">
        <v>42179</v>
      </c>
      <c r="B386">
        <v>1.7250000000000001</v>
      </c>
    </row>
    <row r="387" spans="1:2" x14ac:dyDescent="0.25">
      <c r="A387" s="1">
        <v>42180</v>
      </c>
      <c r="B387">
        <v>1.75</v>
      </c>
    </row>
    <row r="388" spans="1:2" x14ac:dyDescent="0.25">
      <c r="A388" s="1">
        <v>42181</v>
      </c>
      <c r="B388">
        <v>1.74</v>
      </c>
    </row>
    <row r="389" spans="1:2" x14ac:dyDescent="0.25">
      <c r="A389" s="1">
        <v>42184</v>
      </c>
      <c r="B389">
        <v>1.84</v>
      </c>
    </row>
    <row r="390" spans="1:2" x14ac:dyDescent="0.25">
      <c r="A390" s="1">
        <v>42185</v>
      </c>
      <c r="B390">
        <v>1.7725</v>
      </c>
    </row>
    <row r="391" spans="1:2" x14ac:dyDescent="0.25">
      <c r="A391" s="1">
        <v>42186</v>
      </c>
      <c r="B391">
        <v>1.7424999999999999</v>
      </c>
    </row>
    <row r="392" spans="1:2" x14ac:dyDescent="0.25">
      <c r="A392" s="1">
        <v>42187</v>
      </c>
      <c r="B392">
        <v>1.635</v>
      </c>
    </row>
    <row r="393" spans="1:2" x14ac:dyDescent="0.25">
      <c r="A393" s="1">
        <v>42188</v>
      </c>
      <c r="B393">
        <v>1.6</v>
      </c>
    </row>
    <row r="394" spans="1:2" x14ac:dyDescent="0.25">
      <c r="A394" s="1">
        <v>42191</v>
      </c>
      <c r="B394">
        <v>1.65</v>
      </c>
    </row>
    <row r="395" spans="1:2" x14ac:dyDescent="0.25">
      <c r="A395" s="1">
        <v>42192</v>
      </c>
      <c r="B395">
        <v>2.3325</v>
      </c>
    </row>
    <row r="396" spans="1:2" x14ac:dyDescent="0.25">
      <c r="A396" s="1">
        <v>42193</v>
      </c>
      <c r="B396">
        <v>2.2250000000000001</v>
      </c>
    </row>
    <row r="397" spans="1:2" x14ac:dyDescent="0.25">
      <c r="A397" s="1">
        <v>42194</v>
      </c>
      <c r="B397">
        <v>2.1225000000000001</v>
      </c>
    </row>
    <row r="398" spans="1:2" x14ac:dyDescent="0.25">
      <c r="A398" s="1">
        <v>42195</v>
      </c>
      <c r="B398">
        <v>1.97</v>
      </c>
    </row>
    <row r="399" spans="1:2" x14ac:dyDescent="0.25">
      <c r="A399" s="1">
        <v>42198</v>
      </c>
      <c r="B399">
        <v>1.94</v>
      </c>
    </row>
    <row r="400" spans="1:2" x14ac:dyDescent="0.25">
      <c r="A400" s="1">
        <v>42199</v>
      </c>
      <c r="B400">
        <v>1.74</v>
      </c>
    </row>
    <row r="401" spans="1:2" x14ac:dyDescent="0.25">
      <c r="A401" s="1">
        <v>42200</v>
      </c>
      <c r="B401">
        <v>1.595</v>
      </c>
    </row>
    <row r="402" spans="1:2" x14ac:dyDescent="0.25">
      <c r="A402" s="1">
        <v>42201</v>
      </c>
      <c r="B402">
        <v>1.585</v>
      </c>
    </row>
    <row r="403" spans="1:2" x14ac:dyDescent="0.25">
      <c r="A403" s="1">
        <v>42202</v>
      </c>
      <c r="B403">
        <v>1.605</v>
      </c>
    </row>
    <row r="404" spans="1:2" x14ac:dyDescent="0.25">
      <c r="A404" s="1">
        <v>42205</v>
      </c>
      <c r="B404">
        <v>1.4875</v>
      </c>
    </row>
    <row r="405" spans="1:2" x14ac:dyDescent="0.25">
      <c r="A405" s="1">
        <v>42206</v>
      </c>
      <c r="B405">
        <v>1.385</v>
      </c>
    </row>
    <row r="406" spans="1:2" x14ac:dyDescent="0.25">
      <c r="A406" s="1">
        <v>42207</v>
      </c>
      <c r="B406">
        <v>1.3825000000000001</v>
      </c>
    </row>
    <row r="407" spans="1:2" x14ac:dyDescent="0.25">
      <c r="A407" s="1">
        <v>42208</v>
      </c>
      <c r="B407">
        <v>1.415</v>
      </c>
    </row>
    <row r="408" spans="1:2" x14ac:dyDescent="0.25">
      <c r="A408" s="1">
        <v>42209</v>
      </c>
      <c r="B408">
        <v>1.7175</v>
      </c>
    </row>
    <row r="409" spans="1:2" x14ac:dyDescent="0.25">
      <c r="A409" s="1">
        <v>42212</v>
      </c>
      <c r="B409">
        <v>1.6375</v>
      </c>
    </row>
    <row r="410" spans="1:2" x14ac:dyDescent="0.25">
      <c r="A410" s="1">
        <v>42213</v>
      </c>
      <c r="B410">
        <v>1.6174999999999999</v>
      </c>
    </row>
    <row r="411" spans="1:2" x14ac:dyDescent="0.25">
      <c r="A411" s="1">
        <v>42214</v>
      </c>
      <c r="B411">
        <v>1.6174999999999999</v>
      </c>
    </row>
    <row r="412" spans="1:2" x14ac:dyDescent="0.25">
      <c r="A412" s="1">
        <v>42215</v>
      </c>
      <c r="B412">
        <v>1.615</v>
      </c>
    </row>
    <row r="413" spans="1:2" x14ac:dyDescent="0.25">
      <c r="A413" s="1">
        <v>42216</v>
      </c>
      <c r="B413">
        <v>1.92</v>
      </c>
    </row>
    <row r="414" spans="1:2" x14ac:dyDescent="0.25">
      <c r="A414" s="1">
        <v>42219</v>
      </c>
      <c r="B414">
        <v>1.9650000000000001</v>
      </c>
    </row>
    <row r="415" spans="1:2" x14ac:dyDescent="0.25">
      <c r="A415" s="1">
        <v>42220</v>
      </c>
      <c r="B415">
        <v>1.68</v>
      </c>
    </row>
    <row r="416" spans="1:2" x14ac:dyDescent="0.25">
      <c r="A416" s="1">
        <v>42221</v>
      </c>
      <c r="B416">
        <v>1.6475</v>
      </c>
    </row>
    <row r="417" spans="1:2" x14ac:dyDescent="0.25">
      <c r="A417" s="1">
        <v>42222</v>
      </c>
      <c r="B417">
        <v>1.58</v>
      </c>
    </row>
    <row r="418" spans="1:2" x14ac:dyDescent="0.25">
      <c r="A418" s="1">
        <v>42223</v>
      </c>
      <c r="B418">
        <v>1.5175000000000001</v>
      </c>
    </row>
    <row r="419" spans="1:2" x14ac:dyDescent="0.25">
      <c r="A419" s="1">
        <v>42226</v>
      </c>
      <c r="B419">
        <v>1.52</v>
      </c>
    </row>
    <row r="420" spans="1:2" x14ac:dyDescent="0.25">
      <c r="A420" s="1">
        <v>42227</v>
      </c>
      <c r="B420">
        <v>7.6775000000000002</v>
      </c>
    </row>
    <row r="421" spans="1:2" x14ac:dyDescent="0.25">
      <c r="A421" s="1">
        <v>42228</v>
      </c>
      <c r="B421">
        <v>9.4949999999999992</v>
      </c>
    </row>
    <row r="422" spans="1:2" x14ac:dyDescent="0.25">
      <c r="A422" s="1">
        <v>42229</v>
      </c>
      <c r="B422">
        <v>7.3049999999999997</v>
      </c>
    </row>
    <row r="423" spans="1:2" x14ac:dyDescent="0.25">
      <c r="A423" s="1">
        <v>42230</v>
      </c>
      <c r="B423">
        <v>5.81</v>
      </c>
    </row>
    <row r="424" spans="1:2" x14ac:dyDescent="0.25">
      <c r="A424" s="1">
        <v>42233</v>
      </c>
      <c r="B424">
        <v>5.5824999999999996</v>
      </c>
    </row>
    <row r="425" spans="1:2" x14ac:dyDescent="0.25">
      <c r="A425" s="1">
        <v>42234</v>
      </c>
      <c r="B425">
        <v>5.1275000000000004</v>
      </c>
    </row>
    <row r="426" spans="1:2" x14ac:dyDescent="0.25">
      <c r="A426" s="1">
        <v>42235</v>
      </c>
      <c r="B426">
        <v>4.8025000000000002</v>
      </c>
    </row>
    <row r="427" spans="1:2" x14ac:dyDescent="0.25">
      <c r="A427" s="1">
        <v>42236</v>
      </c>
      <c r="B427">
        <v>5.2225000000000001</v>
      </c>
    </row>
    <row r="428" spans="1:2" x14ac:dyDescent="0.25">
      <c r="A428" s="1">
        <v>42237</v>
      </c>
      <c r="B428">
        <v>5.3250000000000002</v>
      </c>
    </row>
    <row r="429" spans="1:2" x14ac:dyDescent="0.25">
      <c r="A429" s="1">
        <v>42240</v>
      </c>
      <c r="B429">
        <v>7.0025000000000004</v>
      </c>
    </row>
    <row r="430" spans="1:2" x14ac:dyDescent="0.25">
      <c r="A430" s="1">
        <v>42241</v>
      </c>
      <c r="B430">
        <v>7.62</v>
      </c>
    </row>
    <row r="431" spans="1:2" x14ac:dyDescent="0.25">
      <c r="A431" s="1">
        <v>42242</v>
      </c>
      <c r="B431">
        <v>7.76</v>
      </c>
    </row>
    <row r="432" spans="1:2" x14ac:dyDescent="0.25">
      <c r="A432" s="1">
        <v>42243</v>
      </c>
      <c r="B432">
        <v>7.7424999999999997</v>
      </c>
    </row>
    <row r="433" spans="1:2" x14ac:dyDescent="0.25">
      <c r="A433" s="1">
        <v>42244</v>
      </c>
      <c r="B433">
        <v>5.9950000000000001</v>
      </c>
    </row>
    <row r="434" spans="1:2" x14ac:dyDescent="0.25">
      <c r="A434" s="1">
        <v>42247</v>
      </c>
      <c r="B434">
        <v>5.6150000000000002</v>
      </c>
    </row>
    <row r="435" spans="1:2" x14ac:dyDescent="0.25">
      <c r="A435" s="1">
        <v>42248</v>
      </c>
      <c r="B435">
        <v>6.0949999999999998</v>
      </c>
    </row>
    <row r="436" spans="1:2" x14ac:dyDescent="0.25">
      <c r="A436" s="1">
        <v>42249</v>
      </c>
      <c r="B436">
        <v>7.7</v>
      </c>
    </row>
    <row r="437" spans="1:2" x14ac:dyDescent="0.25">
      <c r="A437" s="1">
        <v>42250</v>
      </c>
      <c r="B437">
        <v>7.19</v>
      </c>
    </row>
    <row r="438" spans="1:2" x14ac:dyDescent="0.25">
      <c r="A438" s="1">
        <v>42251</v>
      </c>
      <c r="B438">
        <v>7.14</v>
      </c>
    </row>
    <row r="439" spans="1:2" x14ac:dyDescent="0.25">
      <c r="A439" s="1">
        <v>42254</v>
      </c>
      <c r="B439">
        <v>7.72</v>
      </c>
    </row>
    <row r="440" spans="1:2" x14ac:dyDescent="0.25">
      <c r="A440" s="1">
        <v>42255</v>
      </c>
      <c r="B440">
        <v>7.52</v>
      </c>
    </row>
    <row r="441" spans="1:2" x14ac:dyDescent="0.25">
      <c r="A441" s="1">
        <v>42256</v>
      </c>
      <c r="B441">
        <v>7.54</v>
      </c>
    </row>
    <row r="442" spans="1:2" x14ac:dyDescent="0.25">
      <c r="A442" s="1">
        <v>42257</v>
      </c>
      <c r="B442">
        <v>8.1999999999999993</v>
      </c>
    </row>
    <row r="443" spans="1:2" x14ac:dyDescent="0.25">
      <c r="A443" s="1">
        <v>42258</v>
      </c>
      <c r="B443">
        <v>7.0449999999999999</v>
      </c>
    </row>
    <row r="444" spans="1:2" x14ac:dyDescent="0.25">
      <c r="A444" s="1">
        <v>42261</v>
      </c>
      <c r="B444">
        <v>6.78</v>
      </c>
    </row>
    <row r="445" spans="1:2" x14ac:dyDescent="0.25">
      <c r="A445" s="1">
        <v>42262</v>
      </c>
      <c r="B445">
        <v>6.4050000000000002</v>
      </c>
    </row>
    <row r="446" spans="1:2" x14ac:dyDescent="0.25">
      <c r="A446" s="1">
        <v>42263</v>
      </c>
      <c r="B446">
        <v>5.8775000000000004</v>
      </c>
    </row>
    <row r="447" spans="1:2" x14ac:dyDescent="0.25">
      <c r="A447" s="1">
        <v>42264</v>
      </c>
      <c r="B447">
        <v>5.83</v>
      </c>
    </row>
    <row r="448" spans="1:2" x14ac:dyDescent="0.25">
      <c r="A448" s="1">
        <v>42265</v>
      </c>
      <c r="B448">
        <v>5.0549999999999997</v>
      </c>
    </row>
    <row r="449" spans="1:2" x14ac:dyDescent="0.25">
      <c r="A449" s="1">
        <v>42268</v>
      </c>
      <c r="B449">
        <v>5.0250000000000004</v>
      </c>
    </row>
    <row r="450" spans="1:2" x14ac:dyDescent="0.25">
      <c r="A450" s="1">
        <v>42269</v>
      </c>
      <c r="B450">
        <v>5.37</v>
      </c>
    </row>
    <row r="451" spans="1:2" x14ac:dyDescent="0.25">
      <c r="A451" s="1">
        <v>42270</v>
      </c>
      <c r="B451">
        <v>6.25</v>
      </c>
    </row>
    <row r="452" spans="1:2" x14ac:dyDescent="0.25">
      <c r="A452" s="1">
        <v>42271</v>
      </c>
      <c r="B452">
        <v>6.4249999999999998</v>
      </c>
    </row>
    <row r="453" spans="1:2" x14ac:dyDescent="0.25">
      <c r="A453" s="1">
        <v>42272</v>
      </c>
      <c r="B453">
        <v>6.48</v>
      </c>
    </row>
    <row r="454" spans="1:2" x14ac:dyDescent="0.25">
      <c r="A454" s="1">
        <v>42275</v>
      </c>
      <c r="B454">
        <v>6.38</v>
      </c>
    </row>
    <row r="455" spans="1:2" x14ac:dyDescent="0.25">
      <c r="A455" s="1">
        <v>42276</v>
      </c>
      <c r="B455">
        <v>6.51</v>
      </c>
    </row>
    <row r="456" spans="1:2" x14ac:dyDescent="0.25">
      <c r="A456" s="1">
        <v>42277</v>
      </c>
      <c r="B456">
        <v>6.4450000000000003</v>
      </c>
    </row>
    <row r="457" spans="1:2" x14ac:dyDescent="0.25">
      <c r="A457" s="1">
        <v>42278</v>
      </c>
      <c r="B457">
        <v>6.2949999999999999</v>
      </c>
    </row>
    <row r="458" spans="1:2" x14ac:dyDescent="0.25">
      <c r="A458" s="1">
        <v>42279</v>
      </c>
      <c r="B458">
        <v>6.3775000000000004</v>
      </c>
    </row>
    <row r="459" spans="1:2" x14ac:dyDescent="0.25">
      <c r="A459" s="1">
        <v>42282</v>
      </c>
      <c r="B459">
        <v>6.2374999999999998</v>
      </c>
    </row>
    <row r="460" spans="1:2" x14ac:dyDescent="0.25">
      <c r="A460" s="1">
        <v>42283</v>
      </c>
      <c r="B460">
        <v>6.1749999999999998</v>
      </c>
    </row>
    <row r="461" spans="1:2" x14ac:dyDescent="0.25">
      <c r="A461" s="1">
        <v>42284</v>
      </c>
      <c r="B461">
        <v>6.16</v>
      </c>
    </row>
    <row r="462" spans="1:2" x14ac:dyDescent="0.25">
      <c r="A462" s="1">
        <v>42285</v>
      </c>
      <c r="B462">
        <v>6.1749999999999998</v>
      </c>
    </row>
    <row r="463" spans="1:2" x14ac:dyDescent="0.25">
      <c r="A463" s="1">
        <v>42286</v>
      </c>
      <c r="B463">
        <v>5.8075000000000001</v>
      </c>
    </row>
    <row r="464" spans="1:2" x14ac:dyDescent="0.25">
      <c r="A464" s="1">
        <v>42289</v>
      </c>
      <c r="B464">
        <v>5.0025000000000004</v>
      </c>
    </row>
    <row r="465" spans="1:2" x14ac:dyDescent="0.25">
      <c r="A465" s="1">
        <v>42290</v>
      </c>
      <c r="B465">
        <v>5.05</v>
      </c>
    </row>
    <row r="466" spans="1:2" x14ac:dyDescent="0.25">
      <c r="A466" s="1">
        <v>42291</v>
      </c>
      <c r="B466">
        <v>5.1025</v>
      </c>
    </row>
    <row r="467" spans="1:2" x14ac:dyDescent="0.25">
      <c r="A467" s="1">
        <v>42292</v>
      </c>
      <c r="B467">
        <v>5.08</v>
      </c>
    </row>
    <row r="468" spans="1:2" x14ac:dyDescent="0.25">
      <c r="A468" s="1">
        <v>42293</v>
      </c>
      <c r="B468">
        <v>5.1749999999999998</v>
      </c>
    </row>
    <row r="469" spans="1:2" x14ac:dyDescent="0.25">
      <c r="A469" s="1">
        <v>42296</v>
      </c>
      <c r="B469">
        <v>5.28</v>
      </c>
    </row>
    <row r="470" spans="1:2" x14ac:dyDescent="0.25">
      <c r="A470" s="1">
        <v>42297</v>
      </c>
      <c r="B470">
        <v>5.3150000000000004</v>
      </c>
    </row>
    <row r="471" spans="1:2" x14ac:dyDescent="0.25">
      <c r="A471" s="1">
        <v>42298</v>
      </c>
      <c r="B471">
        <v>5.2450000000000001</v>
      </c>
    </row>
    <row r="472" spans="1:2" x14ac:dyDescent="0.25">
      <c r="A472" s="1">
        <v>42299</v>
      </c>
      <c r="B472">
        <v>5.3550000000000004</v>
      </c>
    </row>
    <row r="473" spans="1:2" x14ac:dyDescent="0.25">
      <c r="A473" s="1">
        <v>42300</v>
      </c>
      <c r="B473">
        <v>5.4249999999999998</v>
      </c>
    </row>
    <row r="474" spans="1:2" x14ac:dyDescent="0.25">
      <c r="A474" s="1">
        <v>42303</v>
      </c>
      <c r="B474">
        <v>5.5175000000000001</v>
      </c>
    </row>
    <row r="475" spans="1:2" x14ac:dyDescent="0.25">
      <c r="A475" s="1">
        <v>42304</v>
      </c>
      <c r="B475">
        <v>5.5925000000000002</v>
      </c>
    </row>
    <row r="476" spans="1:2" x14ac:dyDescent="0.25">
      <c r="A476" s="1">
        <v>42305</v>
      </c>
      <c r="B476">
        <v>5.7774999999999999</v>
      </c>
    </row>
    <row r="477" spans="1:2" x14ac:dyDescent="0.25">
      <c r="A477" s="1">
        <v>42306</v>
      </c>
      <c r="B477">
        <v>5.66</v>
      </c>
    </row>
    <row r="478" spans="1:2" x14ac:dyDescent="0.25">
      <c r="A478" s="1">
        <v>42307</v>
      </c>
      <c r="B478">
        <v>5.7649999999999997</v>
      </c>
    </row>
    <row r="479" spans="1:2" x14ac:dyDescent="0.25">
      <c r="A479" s="1">
        <v>42310</v>
      </c>
      <c r="B479">
        <v>5.9450000000000003</v>
      </c>
    </row>
    <row r="480" spans="1:2" x14ac:dyDescent="0.25">
      <c r="A480" s="1">
        <v>42311</v>
      </c>
      <c r="B480">
        <v>5.5175000000000001</v>
      </c>
    </row>
    <row r="481" spans="1:2" x14ac:dyDescent="0.25">
      <c r="A481" s="1">
        <v>42312</v>
      </c>
      <c r="B481">
        <v>5.3650000000000002</v>
      </c>
    </row>
    <row r="482" spans="1:2" x14ac:dyDescent="0.25">
      <c r="A482" s="1">
        <v>42313</v>
      </c>
      <c r="B482">
        <v>5.65</v>
      </c>
    </row>
    <row r="483" spans="1:2" x14ac:dyDescent="0.25">
      <c r="A483" s="1">
        <v>42314</v>
      </c>
      <c r="B483">
        <v>5.7649999999999997</v>
      </c>
    </row>
    <row r="484" spans="1:2" x14ac:dyDescent="0.25">
      <c r="A484" s="1">
        <v>42317</v>
      </c>
      <c r="B484">
        <v>6.0525000000000002</v>
      </c>
    </row>
    <row r="485" spans="1:2" x14ac:dyDescent="0.25">
      <c r="A485" s="1">
        <v>42318</v>
      </c>
      <c r="B485">
        <v>5.99</v>
      </c>
    </row>
    <row r="486" spans="1:2" x14ac:dyDescent="0.25">
      <c r="A486" s="1">
        <v>42319</v>
      </c>
      <c r="B486">
        <v>5.69</v>
      </c>
    </row>
    <row r="487" spans="1:2" x14ac:dyDescent="0.25">
      <c r="A487" s="1">
        <v>42320</v>
      </c>
      <c r="B487">
        <v>5.4874999999999998</v>
      </c>
    </row>
    <row r="488" spans="1:2" x14ac:dyDescent="0.25">
      <c r="A488" s="1">
        <v>42321</v>
      </c>
      <c r="B488">
        <v>5.8925000000000001</v>
      </c>
    </row>
    <row r="489" spans="1:2" x14ac:dyDescent="0.25">
      <c r="A489" s="1">
        <v>42324</v>
      </c>
      <c r="B489">
        <v>5.9474999999999998</v>
      </c>
    </row>
    <row r="490" spans="1:2" x14ac:dyDescent="0.25">
      <c r="A490" s="1">
        <v>42325</v>
      </c>
      <c r="B490">
        <v>5.99</v>
      </c>
    </row>
    <row r="491" spans="1:2" x14ac:dyDescent="0.25">
      <c r="A491" s="1">
        <v>42326</v>
      </c>
      <c r="B491">
        <v>6.0425000000000004</v>
      </c>
    </row>
    <row r="492" spans="1:2" x14ac:dyDescent="0.25">
      <c r="A492" s="1">
        <v>42327</v>
      </c>
      <c r="B492">
        <v>6.0225</v>
      </c>
    </row>
    <row r="493" spans="1:2" x14ac:dyDescent="0.25">
      <c r="A493" s="1">
        <v>42328</v>
      </c>
      <c r="B493">
        <v>5.9424999999999999</v>
      </c>
    </row>
    <row r="494" spans="1:2" x14ac:dyDescent="0.25">
      <c r="A494" s="1">
        <v>42331</v>
      </c>
      <c r="B494">
        <v>6.28</v>
      </c>
    </row>
    <row r="495" spans="1:2" x14ac:dyDescent="0.25">
      <c r="A495" s="1">
        <v>42332</v>
      </c>
      <c r="B495">
        <v>6.35</v>
      </c>
    </row>
    <row r="496" spans="1:2" x14ac:dyDescent="0.25">
      <c r="A496" s="1">
        <v>42333</v>
      </c>
      <c r="B496">
        <v>6.375</v>
      </c>
    </row>
    <row r="497" spans="1:2" x14ac:dyDescent="0.25">
      <c r="A497" s="1">
        <v>42334</v>
      </c>
      <c r="B497">
        <v>6.39</v>
      </c>
    </row>
    <row r="498" spans="1:2" x14ac:dyDescent="0.25">
      <c r="A498" s="1">
        <v>42335</v>
      </c>
      <c r="B498">
        <v>6.8375000000000004</v>
      </c>
    </row>
    <row r="499" spans="1:2" x14ac:dyDescent="0.25">
      <c r="A499" s="1">
        <v>42338</v>
      </c>
      <c r="B499">
        <v>7.0075000000000003</v>
      </c>
    </row>
    <row r="500" spans="1:2" x14ac:dyDescent="0.25">
      <c r="A500" s="1">
        <v>42339</v>
      </c>
      <c r="B500">
        <v>6.6025</v>
      </c>
    </row>
    <row r="501" spans="1:2" x14ac:dyDescent="0.25">
      <c r="A501" s="1">
        <v>42340</v>
      </c>
      <c r="B501">
        <v>6.4850000000000003</v>
      </c>
    </row>
    <row r="502" spans="1:2" x14ac:dyDescent="0.25">
      <c r="A502" s="1">
        <v>42341</v>
      </c>
      <c r="B502">
        <v>6.3425000000000002</v>
      </c>
    </row>
    <row r="503" spans="1:2" x14ac:dyDescent="0.25">
      <c r="A503" s="1">
        <v>42342</v>
      </c>
      <c r="B503">
        <v>6.1825000000000001</v>
      </c>
    </row>
    <row r="504" spans="1:2" x14ac:dyDescent="0.25">
      <c r="A504" s="1">
        <v>42345</v>
      </c>
      <c r="B504">
        <v>6.3025000000000002</v>
      </c>
    </row>
    <row r="505" spans="1:2" x14ac:dyDescent="0.25">
      <c r="A505" s="1">
        <v>42346</v>
      </c>
      <c r="B505">
        <v>6.4175000000000004</v>
      </c>
    </row>
    <row r="506" spans="1:2" x14ac:dyDescent="0.25">
      <c r="A506" s="1">
        <v>42347</v>
      </c>
      <c r="B506">
        <v>6.31</v>
      </c>
    </row>
    <row r="507" spans="1:2" x14ac:dyDescent="0.25">
      <c r="A507" s="1">
        <v>42348</v>
      </c>
      <c r="B507">
        <v>6.87</v>
      </c>
    </row>
    <row r="508" spans="1:2" x14ac:dyDescent="0.25">
      <c r="A508" s="1">
        <v>42349</v>
      </c>
      <c r="B508">
        <v>6.9249999999999998</v>
      </c>
    </row>
    <row r="509" spans="1:2" x14ac:dyDescent="0.25">
      <c r="A509" s="1">
        <v>42352</v>
      </c>
      <c r="B509">
        <v>7.4574999999999996</v>
      </c>
    </row>
    <row r="510" spans="1:2" x14ac:dyDescent="0.25">
      <c r="A510" s="1">
        <v>42353</v>
      </c>
      <c r="B510">
        <v>6.9024999999999999</v>
      </c>
    </row>
    <row r="511" spans="1:2" x14ac:dyDescent="0.25">
      <c r="A511" s="1">
        <v>42354</v>
      </c>
      <c r="B511">
        <v>6.6</v>
      </c>
    </row>
    <row r="512" spans="1:2" x14ac:dyDescent="0.25">
      <c r="A512" s="1">
        <v>42355</v>
      </c>
      <c r="B512">
        <v>6.67</v>
      </c>
    </row>
    <row r="513" spans="1:2" x14ac:dyDescent="0.25">
      <c r="A513" s="1">
        <v>42356</v>
      </c>
      <c r="B513">
        <v>6.8250000000000002</v>
      </c>
    </row>
    <row r="514" spans="1:2" x14ac:dyDescent="0.25">
      <c r="A514" s="1">
        <v>42359</v>
      </c>
      <c r="B514">
        <v>6.7975000000000003</v>
      </c>
    </row>
    <row r="515" spans="1:2" x14ac:dyDescent="0.25">
      <c r="A515" s="1">
        <v>42360</v>
      </c>
      <c r="B515">
        <v>6.7374999999999998</v>
      </c>
    </row>
    <row r="516" spans="1:2" x14ac:dyDescent="0.25">
      <c r="A516" s="1">
        <v>42361</v>
      </c>
      <c r="B516">
        <v>6.69</v>
      </c>
    </row>
    <row r="517" spans="1:2" x14ac:dyDescent="0.25">
      <c r="A517" s="1">
        <v>42362</v>
      </c>
      <c r="B517">
        <v>6.7350000000000003</v>
      </c>
    </row>
    <row r="518" spans="1:2" x14ac:dyDescent="0.25">
      <c r="A518" s="1">
        <v>42363</v>
      </c>
      <c r="B518">
        <v>6.7474999999999996</v>
      </c>
    </row>
    <row r="519" spans="1:2" x14ac:dyDescent="0.25">
      <c r="A519" s="1">
        <v>42366</v>
      </c>
      <c r="B519">
        <v>6.8624999999999998</v>
      </c>
    </row>
    <row r="520" spans="1:2" x14ac:dyDescent="0.25">
      <c r="A520" s="1">
        <v>42367</v>
      </c>
      <c r="B520">
        <v>7.03</v>
      </c>
    </row>
    <row r="521" spans="1:2" x14ac:dyDescent="0.25">
      <c r="A521" s="1">
        <v>42368</v>
      </c>
      <c r="B521">
        <v>7.13</v>
      </c>
    </row>
    <row r="522" spans="1:2" x14ac:dyDescent="0.25">
      <c r="A522" s="1">
        <v>42369</v>
      </c>
      <c r="B522">
        <v>7.0650000000000004</v>
      </c>
    </row>
    <row r="523" spans="1:2" x14ac:dyDescent="0.25">
      <c r="A523" s="1">
        <v>42370</v>
      </c>
      <c r="B523">
        <v>7.0750000000000002</v>
      </c>
    </row>
    <row r="524" spans="1:2" x14ac:dyDescent="0.25">
      <c r="A524" s="1">
        <v>42373</v>
      </c>
      <c r="B524">
        <v>7.5075000000000003</v>
      </c>
    </row>
    <row r="525" spans="1:2" x14ac:dyDescent="0.25">
      <c r="A525" s="1">
        <v>42374</v>
      </c>
      <c r="B525">
        <v>7.4775</v>
      </c>
    </row>
    <row r="526" spans="1:2" x14ac:dyDescent="0.25">
      <c r="A526" s="1">
        <v>42375</v>
      </c>
      <c r="B526">
        <v>8.33</v>
      </c>
    </row>
    <row r="527" spans="1:2" x14ac:dyDescent="0.25">
      <c r="A527" s="1">
        <v>42376</v>
      </c>
      <c r="B527">
        <v>8.7624999999999993</v>
      </c>
    </row>
    <row r="528" spans="1:2" x14ac:dyDescent="0.25">
      <c r="A528" s="1">
        <v>42377</v>
      </c>
      <c r="B528">
        <v>8.8975000000000009</v>
      </c>
    </row>
    <row r="529" spans="1:2" x14ac:dyDescent="0.25">
      <c r="A529" s="1">
        <v>42380</v>
      </c>
      <c r="B529">
        <v>8.6074999999999999</v>
      </c>
    </row>
    <row r="530" spans="1:2" x14ac:dyDescent="0.25">
      <c r="A530" s="1">
        <v>42381</v>
      </c>
      <c r="B530">
        <v>9.1524999999999999</v>
      </c>
    </row>
    <row r="531" spans="1:2" x14ac:dyDescent="0.25">
      <c r="A531" s="1">
        <v>42382</v>
      </c>
      <c r="B531">
        <v>8.0374999999999996</v>
      </c>
    </row>
    <row r="532" spans="1:2" x14ac:dyDescent="0.25">
      <c r="A532" s="1">
        <v>42383</v>
      </c>
      <c r="B532">
        <v>8.4049999999999994</v>
      </c>
    </row>
    <row r="533" spans="1:2" x14ac:dyDescent="0.25">
      <c r="A533" s="1">
        <v>42384</v>
      </c>
      <c r="B533">
        <v>8.7424999999999997</v>
      </c>
    </row>
    <row r="534" spans="1:2" x14ac:dyDescent="0.25">
      <c r="A534" s="1">
        <v>42387</v>
      </c>
      <c r="B534">
        <v>8.7650000000000006</v>
      </c>
    </row>
    <row r="535" spans="1:2" x14ac:dyDescent="0.25">
      <c r="A535" s="1">
        <v>42388</v>
      </c>
      <c r="B535">
        <v>8.42</v>
      </c>
    </row>
    <row r="536" spans="1:2" x14ac:dyDescent="0.25">
      <c r="A536" s="1">
        <v>42389</v>
      </c>
      <c r="B536">
        <v>8.07</v>
      </c>
    </row>
    <row r="537" spans="1:2" x14ac:dyDescent="0.25">
      <c r="A537" s="1">
        <v>42390</v>
      </c>
      <c r="B537">
        <v>8.1750000000000007</v>
      </c>
    </row>
    <row r="538" spans="1:2" x14ac:dyDescent="0.25">
      <c r="A538" s="1">
        <v>42391</v>
      </c>
      <c r="B538">
        <v>8.0525000000000002</v>
      </c>
    </row>
    <row r="539" spans="1:2" x14ac:dyDescent="0.25">
      <c r="A539" s="1">
        <v>42394</v>
      </c>
      <c r="B539">
        <v>7.4124999999999996</v>
      </c>
    </row>
    <row r="540" spans="1:2" x14ac:dyDescent="0.25">
      <c r="A540" s="1">
        <v>42395</v>
      </c>
      <c r="B540">
        <v>7.165</v>
      </c>
    </row>
    <row r="541" spans="1:2" x14ac:dyDescent="0.25">
      <c r="A541" s="1">
        <v>42396</v>
      </c>
      <c r="B541">
        <v>6.8724999999999996</v>
      </c>
    </row>
    <row r="542" spans="1:2" x14ac:dyDescent="0.25">
      <c r="A542" s="1">
        <v>42397</v>
      </c>
      <c r="B542">
        <v>7.0575000000000001</v>
      </c>
    </row>
    <row r="543" spans="1:2" x14ac:dyDescent="0.25">
      <c r="A543" s="1">
        <v>42398</v>
      </c>
      <c r="B543">
        <v>7.2350000000000003</v>
      </c>
    </row>
    <row r="544" spans="1:2" x14ac:dyDescent="0.25">
      <c r="A544" s="1">
        <v>42401</v>
      </c>
      <c r="B544">
        <v>7.2575000000000003</v>
      </c>
    </row>
    <row r="545" spans="1:2" x14ac:dyDescent="0.25">
      <c r="A545" s="1">
        <v>42402</v>
      </c>
      <c r="B545">
        <v>8.2675000000000001</v>
      </c>
    </row>
    <row r="546" spans="1:2" x14ac:dyDescent="0.25">
      <c r="A546" s="1">
        <v>42403</v>
      </c>
      <c r="B546">
        <v>9.6875</v>
      </c>
    </row>
    <row r="547" spans="1:2" x14ac:dyDescent="0.25">
      <c r="A547" s="1">
        <v>42404</v>
      </c>
      <c r="B547">
        <v>8.9574999999999996</v>
      </c>
    </row>
    <row r="548" spans="1:2" x14ac:dyDescent="0.25">
      <c r="A548" s="1">
        <v>42405</v>
      </c>
      <c r="B548">
        <v>9.0975000000000001</v>
      </c>
    </row>
    <row r="549" spans="1:2" x14ac:dyDescent="0.25">
      <c r="A549" s="1">
        <v>42408</v>
      </c>
      <c r="B549">
        <v>9.2375000000000007</v>
      </c>
    </row>
    <row r="550" spans="1:2" x14ac:dyDescent="0.25">
      <c r="A550" s="1">
        <v>42409</v>
      </c>
      <c r="B550">
        <v>9.1074999999999999</v>
      </c>
    </row>
    <row r="551" spans="1:2" x14ac:dyDescent="0.25">
      <c r="A551" s="1">
        <v>42410</v>
      </c>
      <c r="B551">
        <v>9.1325000000000003</v>
      </c>
    </row>
    <row r="552" spans="1:2" x14ac:dyDescent="0.25">
      <c r="A552" s="1">
        <v>42411</v>
      </c>
      <c r="B552">
        <v>9.3175000000000008</v>
      </c>
    </row>
    <row r="553" spans="1:2" x14ac:dyDescent="0.25">
      <c r="A553" s="1">
        <v>42412</v>
      </c>
      <c r="B553">
        <v>10.1775</v>
      </c>
    </row>
    <row r="554" spans="1:2" x14ac:dyDescent="0.25">
      <c r="A554" s="1">
        <v>42415</v>
      </c>
      <c r="B554">
        <v>9.6575000000000006</v>
      </c>
    </row>
    <row r="555" spans="1:2" x14ac:dyDescent="0.25">
      <c r="A555" s="1">
        <v>42416</v>
      </c>
      <c r="B555">
        <v>8.6475000000000009</v>
      </c>
    </row>
    <row r="556" spans="1:2" x14ac:dyDescent="0.25">
      <c r="A556" s="1">
        <v>42417</v>
      </c>
      <c r="B556">
        <v>8.2025000000000006</v>
      </c>
    </row>
    <row r="557" spans="1:2" x14ac:dyDescent="0.25">
      <c r="A557" s="1">
        <v>42418</v>
      </c>
      <c r="B557">
        <v>7.86</v>
      </c>
    </row>
    <row r="558" spans="1:2" x14ac:dyDescent="0.25">
      <c r="A558" s="1">
        <v>42419</v>
      </c>
      <c r="B558">
        <v>7.96</v>
      </c>
    </row>
    <row r="559" spans="1:2" x14ac:dyDescent="0.25">
      <c r="A559" s="1">
        <v>42422</v>
      </c>
      <c r="B559">
        <v>7.8025000000000002</v>
      </c>
    </row>
    <row r="560" spans="1:2" x14ac:dyDescent="0.25">
      <c r="A560" s="1">
        <v>42423</v>
      </c>
      <c r="B560">
        <v>7.8624999999999998</v>
      </c>
    </row>
    <row r="561" spans="1:2" x14ac:dyDescent="0.25">
      <c r="A561" s="1">
        <v>42424</v>
      </c>
      <c r="B561">
        <v>7.835</v>
      </c>
    </row>
    <row r="562" spans="1:2" x14ac:dyDescent="0.25">
      <c r="A562" s="1">
        <v>42425</v>
      </c>
      <c r="B562">
        <v>7.7850000000000001</v>
      </c>
    </row>
    <row r="563" spans="1:2" x14ac:dyDescent="0.25">
      <c r="A563" s="1">
        <v>42426</v>
      </c>
      <c r="B563">
        <v>7.4625000000000004</v>
      </c>
    </row>
    <row r="564" spans="1:2" x14ac:dyDescent="0.25">
      <c r="A564" s="1">
        <v>42429</v>
      </c>
      <c r="B564">
        <v>7.2750000000000004</v>
      </c>
    </row>
    <row r="565" spans="1:2" x14ac:dyDescent="0.25">
      <c r="A565" s="1">
        <v>42430</v>
      </c>
      <c r="B565">
        <v>6.31</v>
      </c>
    </row>
    <row r="566" spans="1:2" x14ac:dyDescent="0.25">
      <c r="A566" s="1">
        <v>42431</v>
      </c>
      <c r="B566">
        <v>6.0049999999999999</v>
      </c>
    </row>
    <row r="567" spans="1:2" x14ac:dyDescent="0.25">
      <c r="A567" s="1">
        <v>42432</v>
      </c>
      <c r="B567">
        <v>5.85</v>
      </c>
    </row>
    <row r="568" spans="1:2" x14ac:dyDescent="0.25">
      <c r="A568" s="1">
        <v>42433</v>
      </c>
      <c r="B568">
        <v>6.0475000000000003</v>
      </c>
    </row>
    <row r="569" spans="1:2" x14ac:dyDescent="0.25">
      <c r="A569" s="1">
        <v>42436</v>
      </c>
      <c r="B569">
        <v>6.2850000000000001</v>
      </c>
    </row>
    <row r="570" spans="1:2" x14ac:dyDescent="0.25">
      <c r="A570" s="1">
        <v>42437</v>
      </c>
      <c r="B570">
        <v>6.1775000000000002</v>
      </c>
    </row>
    <row r="571" spans="1:2" x14ac:dyDescent="0.25">
      <c r="A571" s="1">
        <v>42438</v>
      </c>
      <c r="B571">
        <v>6.1624999999999996</v>
      </c>
    </row>
    <row r="572" spans="1:2" x14ac:dyDescent="0.25">
      <c r="A572" s="1">
        <v>42439</v>
      </c>
      <c r="B572">
        <v>6.12</v>
      </c>
    </row>
    <row r="573" spans="1:2" x14ac:dyDescent="0.25">
      <c r="A573" s="1">
        <v>42440</v>
      </c>
      <c r="B573">
        <v>6.1025</v>
      </c>
    </row>
    <row r="574" spans="1:2" x14ac:dyDescent="0.25">
      <c r="A574" s="1">
        <v>42443</v>
      </c>
      <c r="B574">
        <v>5.5374999999999996</v>
      </c>
    </row>
    <row r="575" spans="1:2" x14ac:dyDescent="0.25">
      <c r="A575" s="1">
        <v>42444</v>
      </c>
      <c r="B575">
        <v>5.1025</v>
      </c>
    </row>
    <row r="576" spans="1:2" x14ac:dyDescent="0.25">
      <c r="A576" s="1">
        <v>42445</v>
      </c>
      <c r="B576">
        <v>5.3624999999999998</v>
      </c>
    </row>
    <row r="577" spans="1:2" x14ac:dyDescent="0.25">
      <c r="A577" s="1">
        <v>42446</v>
      </c>
      <c r="B577">
        <v>5.3224999999999998</v>
      </c>
    </row>
    <row r="578" spans="1:2" x14ac:dyDescent="0.25">
      <c r="A578" s="1">
        <v>42447</v>
      </c>
      <c r="B578">
        <v>5.585</v>
      </c>
    </row>
    <row r="579" spans="1:2" x14ac:dyDescent="0.25">
      <c r="A579" s="1">
        <v>42450</v>
      </c>
      <c r="B579">
        <v>5.7350000000000003</v>
      </c>
    </row>
    <row r="580" spans="1:2" x14ac:dyDescent="0.25">
      <c r="A580" s="1">
        <v>42451</v>
      </c>
      <c r="B580">
        <v>5.9874999999999998</v>
      </c>
    </row>
    <row r="581" spans="1:2" x14ac:dyDescent="0.25">
      <c r="A581" s="1">
        <v>42452</v>
      </c>
      <c r="B581">
        <v>6.2050000000000001</v>
      </c>
    </row>
    <row r="582" spans="1:2" x14ac:dyDescent="0.25">
      <c r="A582" s="1">
        <v>42453</v>
      </c>
      <c r="B582">
        <v>6</v>
      </c>
    </row>
    <row r="583" spans="1:2" x14ac:dyDescent="0.25">
      <c r="A583" s="1">
        <v>42454</v>
      </c>
      <c r="B583">
        <v>5.9625000000000004</v>
      </c>
    </row>
    <row r="584" spans="1:2" x14ac:dyDescent="0.25">
      <c r="A584" s="1">
        <v>42457</v>
      </c>
      <c r="B584">
        <v>5.95</v>
      </c>
    </row>
    <row r="585" spans="1:2" x14ac:dyDescent="0.25">
      <c r="A585" s="1">
        <v>42458</v>
      </c>
      <c r="B585">
        <v>5.5650000000000004</v>
      </c>
    </row>
    <row r="586" spans="1:2" x14ac:dyDescent="0.25">
      <c r="A586" s="1">
        <v>42459</v>
      </c>
      <c r="B586">
        <v>5.35</v>
      </c>
    </row>
    <row r="587" spans="1:2" x14ac:dyDescent="0.25">
      <c r="A587" s="1">
        <v>42460</v>
      </c>
      <c r="B587">
        <v>5.26</v>
      </c>
    </row>
    <row r="588" spans="1:2" x14ac:dyDescent="0.25">
      <c r="A588" s="1">
        <v>42461</v>
      </c>
      <c r="B588">
        <v>5.27</v>
      </c>
    </row>
    <row r="589" spans="1:2" x14ac:dyDescent="0.25">
      <c r="A589" s="1">
        <v>42464</v>
      </c>
      <c r="B589">
        <v>5.2750000000000004</v>
      </c>
    </row>
    <row r="590" spans="1:2" x14ac:dyDescent="0.25">
      <c r="A590" s="1">
        <v>42465</v>
      </c>
      <c r="B590">
        <v>5.2149999999999999</v>
      </c>
    </row>
    <row r="591" spans="1:2" x14ac:dyDescent="0.25">
      <c r="A591" s="1">
        <v>42466</v>
      </c>
      <c r="B591">
        <v>5.13</v>
      </c>
    </row>
    <row r="592" spans="1:2" x14ac:dyDescent="0.25">
      <c r="A592" s="1">
        <v>42467</v>
      </c>
      <c r="B592">
        <v>4.9050000000000002</v>
      </c>
    </row>
    <row r="593" spans="1:2" x14ac:dyDescent="0.25">
      <c r="A593" s="1">
        <v>42468</v>
      </c>
      <c r="B593">
        <v>4.72</v>
      </c>
    </row>
    <row r="594" spans="1:2" x14ac:dyDescent="0.25">
      <c r="A594" s="1">
        <v>42471</v>
      </c>
      <c r="B594">
        <v>4.7050000000000001</v>
      </c>
    </row>
    <row r="595" spans="1:2" x14ac:dyDescent="0.25">
      <c r="A595" s="1">
        <v>42472</v>
      </c>
      <c r="B595">
        <v>4.4074999999999998</v>
      </c>
    </row>
    <row r="596" spans="1:2" x14ac:dyDescent="0.25">
      <c r="A596" s="1">
        <v>42473</v>
      </c>
      <c r="B596">
        <v>4.3600000000000003</v>
      </c>
    </row>
    <row r="597" spans="1:2" x14ac:dyDescent="0.25">
      <c r="A597" s="1">
        <v>42474</v>
      </c>
      <c r="B597">
        <v>4.49</v>
      </c>
    </row>
    <row r="598" spans="1:2" x14ac:dyDescent="0.25">
      <c r="A598" s="1">
        <v>42475</v>
      </c>
      <c r="B598">
        <v>4.5049999999999999</v>
      </c>
    </row>
    <row r="599" spans="1:2" x14ac:dyDescent="0.25">
      <c r="A599" s="1">
        <v>42478</v>
      </c>
      <c r="B599">
        <v>4.37</v>
      </c>
    </row>
    <row r="600" spans="1:2" x14ac:dyDescent="0.25">
      <c r="A600" s="1">
        <v>42479</v>
      </c>
      <c r="B600">
        <v>3.92</v>
      </c>
    </row>
    <row r="601" spans="1:2" x14ac:dyDescent="0.25">
      <c r="A601" s="1">
        <v>42480</v>
      </c>
      <c r="B601">
        <v>4.1825000000000001</v>
      </c>
    </row>
    <row r="602" spans="1:2" x14ac:dyDescent="0.25">
      <c r="A602" s="1">
        <v>42481</v>
      </c>
      <c r="B602">
        <v>4.1449999999999996</v>
      </c>
    </row>
    <row r="603" spans="1:2" x14ac:dyDescent="0.25">
      <c r="A603" s="1">
        <v>42482</v>
      </c>
      <c r="B603">
        <v>4.0149999999999997</v>
      </c>
    </row>
    <row r="604" spans="1:2" x14ac:dyDescent="0.25">
      <c r="A604" s="1">
        <v>42485</v>
      </c>
      <c r="B604">
        <v>4.5949999999999998</v>
      </c>
    </row>
    <row r="605" spans="1:2" x14ac:dyDescent="0.25">
      <c r="A605" s="1">
        <v>42486</v>
      </c>
      <c r="B605">
        <v>4.5374999999999996</v>
      </c>
    </row>
    <row r="606" spans="1:2" x14ac:dyDescent="0.25">
      <c r="A606" s="1">
        <v>42487</v>
      </c>
      <c r="B606">
        <v>4.4400000000000004</v>
      </c>
    </row>
    <row r="607" spans="1:2" x14ac:dyDescent="0.25">
      <c r="A607" s="1">
        <v>42488</v>
      </c>
      <c r="B607">
        <v>4.3849999999999998</v>
      </c>
    </row>
    <row r="608" spans="1:2" x14ac:dyDescent="0.25">
      <c r="A608" s="1">
        <v>42489</v>
      </c>
      <c r="B608">
        <v>4.29</v>
      </c>
    </row>
    <row r="609" spans="1:2" x14ac:dyDescent="0.25">
      <c r="A609" s="1">
        <v>42492</v>
      </c>
      <c r="B609">
        <v>4.3049999999999997</v>
      </c>
    </row>
    <row r="610" spans="1:2" x14ac:dyDescent="0.25">
      <c r="A610" s="1">
        <v>42493</v>
      </c>
      <c r="B610">
        <v>4.04</v>
      </c>
    </row>
    <row r="611" spans="1:2" x14ac:dyDescent="0.25">
      <c r="A611" s="1">
        <v>42494</v>
      </c>
      <c r="B611">
        <v>4.2549999999999999</v>
      </c>
    </row>
    <row r="612" spans="1:2" x14ac:dyDescent="0.25">
      <c r="A612" s="1">
        <v>42495</v>
      </c>
      <c r="B612">
        <v>4.5199999999999996</v>
      </c>
    </row>
    <row r="613" spans="1:2" x14ac:dyDescent="0.25">
      <c r="A613" s="1">
        <v>42496</v>
      </c>
      <c r="B613">
        <v>4.6399999999999997</v>
      </c>
    </row>
    <row r="614" spans="1:2" x14ac:dyDescent="0.25">
      <c r="A614" s="1">
        <v>42499</v>
      </c>
      <c r="B614">
        <v>4.2949999999999999</v>
      </c>
    </row>
    <row r="615" spans="1:2" x14ac:dyDescent="0.25">
      <c r="A615" s="1">
        <v>42500</v>
      </c>
      <c r="B615">
        <v>4.5</v>
      </c>
    </row>
    <row r="616" spans="1:2" x14ac:dyDescent="0.25">
      <c r="A616" s="1">
        <v>42501</v>
      </c>
      <c r="B616">
        <v>4.4400000000000004</v>
      </c>
    </row>
    <row r="617" spans="1:2" x14ac:dyDescent="0.25">
      <c r="A617" s="1">
        <v>42502</v>
      </c>
      <c r="B617">
        <v>4.32</v>
      </c>
    </row>
    <row r="618" spans="1:2" x14ac:dyDescent="0.25">
      <c r="A618" s="1">
        <v>42503</v>
      </c>
      <c r="B618">
        <v>4.5250000000000004</v>
      </c>
    </row>
    <row r="619" spans="1:2" x14ac:dyDescent="0.25">
      <c r="A619" s="1">
        <v>42506</v>
      </c>
      <c r="B619">
        <v>4.8025000000000002</v>
      </c>
    </row>
    <row r="620" spans="1:2" x14ac:dyDescent="0.25">
      <c r="A620" s="1">
        <v>42507</v>
      </c>
      <c r="B620">
        <v>4.7149999999999999</v>
      </c>
    </row>
    <row r="621" spans="1:2" x14ac:dyDescent="0.25">
      <c r="A621" s="1">
        <v>42508</v>
      </c>
      <c r="B621">
        <v>4.8049999999999997</v>
      </c>
    </row>
    <row r="622" spans="1:2" x14ac:dyDescent="0.25">
      <c r="A622" s="1">
        <v>42509</v>
      </c>
      <c r="B622">
        <v>4.95</v>
      </c>
    </row>
    <row r="623" spans="1:2" x14ac:dyDescent="0.25">
      <c r="A623" s="1">
        <v>42510</v>
      </c>
      <c r="B623">
        <v>4.585</v>
      </c>
    </row>
    <row r="624" spans="1:2" x14ac:dyDescent="0.25">
      <c r="A624" s="1">
        <v>42513</v>
      </c>
      <c r="B624">
        <v>4.32</v>
      </c>
    </row>
    <row r="625" spans="1:2" x14ac:dyDescent="0.25">
      <c r="A625" s="1">
        <v>42514</v>
      </c>
      <c r="B625">
        <v>4.28</v>
      </c>
    </row>
    <row r="626" spans="1:2" x14ac:dyDescent="0.25">
      <c r="A626" s="1">
        <v>42515</v>
      </c>
      <c r="B626">
        <v>4.16</v>
      </c>
    </row>
    <row r="627" spans="1:2" x14ac:dyDescent="0.25">
      <c r="A627" s="1">
        <v>42516</v>
      </c>
      <c r="B627">
        <v>4.2549999999999999</v>
      </c>
    </row>
    <row r="628" spans="1:2" x14ac:dyDescent="0.25">
      <c r="A628" s="1">
        <v>42517</v>
      </c>
      <c r="B628">
        <v>4.1550000000000002</v>
      </c>
    </row>
    <row r="629" spans="1:2" x14ac:dyDescent="0.25">
      <c r="A629" s="1">
        <v>42520</v>
      </c>
      <c r="B629">
        <v>4.5</v>
      </c>
    </row>
    <row r="630" spans="1:2" x14ac:dyDescent="0.25">
      <c r="A630" s="1">
        <v>42521</v>
      </c>
      <c r="B630">
        <v>4.43</v>
      </c>
    </row>
    <row r="631" spans="1:2" x14ac:dyDescent="0.25">
      <c r="A631" s="1">
        <v>42522</v>
      </c>
      <c r="B631">
        <v>4.47</v>
      </c>
    </row>
    <row r="632" spans="1:2" x14ac:dyDescent="0.25">
      <c r="A632" s="1">
        <v>42523</v>
      </c>
      <c r="B632">
        <v>4.4050000000000002</v>
      </c>
    </row>
    <row r="633" spans="1:2" x14ac:dyDescent="0.25">
      <c r="A633" s="1">
        <v>42524</v>
      </c>
      <c r="B633">
        <v>4.3075000000000001</v>
      </c>
    </row>
    <row r="634" spans="1:2" x14ac:dyDescent="0.25">
      <c r="A634" s="1">
        <v>42527</v>
      </c>
      <c r="B634">
        <v>4.2699999999999996</v>
      </c>
    </row>
    <row r="635" spans="1:2" x14ac:dyDescent="0.25">
      <c r="A635" s="1">
        <v>42528</v>
      </c>
      <c r="B635">
        <v>4.0350000000000001</v>
      </c>
    </row>
    <row r="636" spans="1:2" x14ac:dyDescent="0.25">
      <c r="A636" s="1">
        <v>42529</v>
      </c>
      <c r="B636">
        <v>3.9550000000000001</v>
      </c>
    </row>
    <row r="637" spans="1:2" x14ac:dyDescent="0.25">
      <c r="A637" s="1">
        <v>42530</v>
      </c>
      <c r="B637">
        <v>4.0350000000000001</v>
      </c>
    </row>
    <row r="638" spans="1:2" x14ac:dyDescent="0.25">
      <c r="A638" s="1">
        <v>42531</v>
      </c>
      <c r="B638">
        <v>4.54</v>
      </c>
    </row>
    <row r="639" spans="1:2" x14ac:dyDescent="0.25">
      <c r="A639" s="1">
        <v>42534</v>
      </c>
      <c r="B639">
        <v>4.8849999999999998</v>
      </c>
    </row>
    <row r="640" spans="1:2" x14ac:dyDescent="0.25">
      <c r="A640" s="1">
        <v>42535</v>
      </c>
      <c r="B640">
        <v>5.3449999999999998</v>
      </c>
    </row>
    <row r="641" spans="1:2" x14ac:dyDescent="0.25">
      <c r="A641" s="1">
        <v>42536</v>
      </c>
      <c r="B641">
        <v>5.6775000000000002</v>
      </c>
    </row>
    <row r="642" spans="1:2" x14ac:dyDescent="0.25">
      <c r="A642" s="1">
        <v>42537</v>
      </c>
      <c r="B642">
        <v>5.5425000000000004</v>
      </c>
    </row>
    <row r="643" spans="1:2" x14ac:dyDescent="0.25">
      <c r="A643" s="1">
        <v>42538</v>
      </c>
      <c r="B643">
        <v>5.57</v>
      </c>
    </row>
    <row r="644" spans="1:2" x14ac:dyDescent="0.25">
      <c r="A644" s="1">
        <v>42541</v>
      </c>
      <c r="B644">
        <v>5.47</v>
      </c>
    </row>
    <row r="645" spans="1:2" x14ac:dyDescent="0.25">
      <c r="A645" s="1">
        <v>42542</v>
      </c>
      <c r="B645">
        <v>5.1050000000000004</v>
      </c>
    </row>
    <row r="646" spans="1:2" x14ac:dyDescent="0.25">
      <c r="A646" s="1">
        <v>42543</v>
      </c>
      <c r="B646">
        <v>5.0875000000000004</v>
      </c>
    </row>
    <row r="647" spans="1:2" x14ac:dyDescent="0.25">
      <c r="A647" s="1">
        <v>42544</v>
      </c>
      <c r="B647">
        <v>5.1050000000000004</v>
      </c>
    </row>
    <row r="648" spans="1:2" x14ac:dyDescent="0.25">
      <c r="A648" s="1">
        <v>42545</v>
      </c>
      <c r="B648">
        <v>5.5449999999999999</v>
      </c>
    </row>
    <row r="649" spans="1:2" x14ac:dyDescent="0.25">
      <c r="A649" s="1">
        <v>42548</v>
      </c>
      <c r="B649">
        <v>6.02</v>
      </c>
    </row>
    <row r="650" spans="1:2" x14ac:dyDescent="0.25">
      <c r="A650" s="1">
        <v>42549</v>
      </c>
      <c r="B650">
        <v>5.49</v>
      </c>
    </row>
    <row r="651" spans="1:2" x14ac:dyDescent="0.25">
      <c r="A651" s="1">
        <v>42550</v>
      </c>
      <c r="B651">
        <v>5.0125000000000002</v>
      </c>
    </row>
    <row r="652" spans="1:2" x14ac:dyDescent="0.25">
      <c r="A652" s="1">
        <v>42551</v>
      </c>
      <c r="B652">
        <v>5.2050000000000001</v>
      </c>
    </row>
    <row r="653" spans="1:2" x14ac:dyDescent="0.25">
      <c r="A653" s="1">
        <v>42552</v>
      </c>
      <c r="B653">
        <v>4.93</v>
      </c>
    </row>
    <row r="654" spans="1:2" x14ac:dyDescent="0.25">
      <c r="A654" s="1">
        <v>42555</v>
      </c>
      <c r="B654">
        <v>4.8499999999999996</v>
      </c>
    </row>
    <row r="655" spans="1:2" x14ac:dyDescent="0.25">
      <c r="A655" s="1">
        <v>42556</v>
      </c>
      <c r="B655">
        <v>4.4850000000000003</v>
      </c>
    </row>
    <row r="656" spans="1:2" x14ac:dyDescent="0.25">
      <c r="A656" s="1">
        <v>42557</v>
      </c>
      <c r="B656">
        <v>4.6825000000000001</v>
      </c>
    </row>
    <row r="657" spans="1:2" x14ac:dyDescent="0.25">
      <c r="A657" s="1">
        <v>42558</v>
      </c>
      <c r="B657">
        <v>4.7050000000000001</v>
      </c>
    </row>
    <row r="658" spans="1:2" x14ac:dyDescent="0.25">
      <c r="A658" s="1">
        <v>42559</v>
      </c>
      <c r="B658">
        <v>4.7350000000000003</v>
      </c>
    </row>
    <row r="659" spans="1:2" x14ac:dyDescent="0.25">
      <c r="A659" s="1">
        <v>42562</v>
      </c>
      <c r="B659">
        <v>4.4749999999999996</v>
      </c>
    </row>
    <row r="660" spans="1:2" x14ac:dyDescent="0.25">
      <c r="A660" s="1">
        <v>42563</v>
      </c>
      <c r="B660">
        <v>4.4550000000000001</v>
      </c>
    </row>
    <row r="661" spans="1:2" x14ac:dyDescent="0.25">
      <c r="A661" s="1">
        <v>42564</v>
      </c>
      <c r="B661">
        <v>4.5</v>
      </c>
    </row>
    <row r="662" spans="1:2" x14ac:dyDescent="0.25">
      <c r="A662" s="1">
        <v>42565</v>
      </c>
      <c r="B662">
        <v>4.3925000000000001</v>
      </c>
    </row>
    <row r="663" spans="1:2" x14ac:dyDescent="0.25">
      <c r="A663" s="1">
        <v>42566</v>
      </c>
      <c r="B663">
        <v>4.3499999999999996</v>
      </c>
    </row>
    <row r="664" spans="1:2" x14ac:dyDescent="0.25">
      <c r="A664" s="1">
        <v>42569</v>
      </c>
      <c r="B664">
        <v>4.49</v>
      </c>
    </row>
    <row r="665" spans="1:2" x14ac:dyDescent="0.25">
      <c r="A665" s="1">
        <v>42570</v>
      </c>
      <c r="B665">
        <v>4.3975</v>
      </c>
    </row>
    <row r="666" spans="1:2" x14ac:dyDescent="0.25">
      <c r="A666" s="1">
        <v>42571</v>
      </c>
      <c r="B666">
        <v>4.4775</v>
      </c>
    </row>
    <row r="667" spans="1:2" x14ac:dyDescent="0.25">
      <c r="A667" s="1">
        <v>42572</v>
      </c>
      <c r="B667">
        <v>4.6425000000000001</v>
      </c>
    </row>
    <row r="668" spans="1:2" x14ac:dyDescent="0.25">
      <c r="A668" s="1">
        <v>42573</v>
      </c>
      <c r="B668">
        <v>4.7549999999999999</v>
      </c>
    </row>
    <row r="669" spans="1:2" x14ac:dyDescent="0.25">
      <c r="A669" s="1">
        <v>42576</v>
      </c>
      <c r="B669">
        <v>4.835</v>
      </c>
    </row>
    <row r="670" spans="1:2" x14ac:dyDescent="0.25">
      <c r="A670" s="1">
        <v>42577</v>
      </c>
      <c r="B670">
        <v>4.875</v>
      </c>
    </row>
    <row r="671" spans="1:2" x14ac:dyDescent="0.25">
      <c r="A671" s="1">
        <v>42578</v>
      </c>
      <c r="B671">
        <v>4.4175000000000004</v>
      </c>
    </row>
    <row r="672" spans="1:2" x14ac:dyDescent="0.25">
      <c r="A672" s="1">
        <v>42579</v>
      </c>
      <c r="B672">
        <v>4.3099999999999996</v>
      </c>
    </row>
    <row r="673" spans="1:2" x14ac:dyDescent="0.25">
      <c r="A673" s="1">
        <v>42580</v>
      </c>
      <c r="B673">
        <v>4.0599999999999996</v>
      </c>
    </row>
    <row r="674" spans="1:2" x14ac:dyDescent="0.25">
      <c r="A674" s="1">
        <v>42583</v>
      </c>
      <c r="B674">
        <v>4.4649999999999999</v>
      </c>
    </row>
    <row r="675" spans="1:2" x14ac:dyDescent="0.25">
      <c r="A675" s="1">
        <v>42584</v>
      </c>
      <c r="B675">
        <v>4.3574999999999999</v>
      </c>
    </row>
    <row r="676" spans="1:2" x14ac:dyDescent="0.25">
      <c r="A676" s="1">
        <v>42585</v>
      </c>
      <c r="B676">
        <v>4.3899999999999997</v>
      </c>
    </row>
    <row r="677" spans="1:2" x14ac:dyDescent="0.25">
      <c r="A677" s="1">
        <v>42586</v>
      </c>
      <c r="B677">
        <v>4.33</v>
      </c>
    </row>
    <row r="678" spans="1:2" x14ac:dyDescent="0.25">
      <c r="A678" s="1">
        <v>42587</v>
      </c>
      <c r="B678">
        <v>4.2949999999999999</v>
      </c>
    </row>
    <row r="679" spans="1:2" x14ac:dyDescent="0.25">
      <c r="A679" s="1">
        <v>42590</v>
      </c>
      <c r="B679">
        <v>4.3250000000000002</v>
      </c>
    </row>
    <row r="680" spans="1:2" x14ac:dyDescent="0.25">
      <c r="A680" s="1">
        <v>42591</v>
      </c>
      <c r="B680">
        <v>4.22</v>
      </c>
    </row>
    <row r="681" spans="1:2" x14ac:dyDescent="0.25">
      <c r="A681" s="1">
        <v>42592</v>
      </c>
      <c r="B681">
        <v>4.085</v>
      </c>
    </row>
    <row r="682" spans="1:2" x14ac:dyDescent="0.25">
      <c r="A682" s="1">
        <v>42593</v>
      </c>
      <c r="B682">
        <v>4.18</v>
      </c>
    </row>
    <row r="683" spans="1:2" x14ac:dyDescent="0.25">
      <c r="A683" s="1">
        <v>42594</v>
      </c>
      <c r="B683">
        <v>4.1849999999999996</v>
      </c>
    </row>
    <row r="684" spans="1:2" x14ac:dyDescent="0.25">
      <c r="A684" s="1">
        <v>42597</v>
      </c>
      <c r="B684">
        <v>4.0199999999999996</v>
      </c>
    </row>
    <row r="685" spans="1:2" x14ac:dyDescent="0.25">
      <c r="A685" s="1">
        <v>42598</v>
      </c>
      <c r="B685">
        <v>3.7349999999999999</v>
      </c>
    </row>
    <row r="686" spans="1:2" x14ac:dyDescent="0.25">
      <c r="A686" s="1">
        <v>42599</v>
      </c>
      <c r="B686">
        <v>3.81</v>
      </c>
    </row>
    <row r="687" spans="1:2" x14ac:dyDescent="0.25">
      <c r="A687" s="1">
        <v>42600</v>
      </c>
      <c r="B687">
        <v>3.84</v>
      </c>
    </row>
    <row r="688" spans="1:2" x14ac:dyDescent="0.25">
      <c r="A688" s="1">
        <v>42601</v>
      </c>
      <c r="B688">
        <v>4.125</v>
      </c>
    </row>
    <row r="689" spans="1:2" x14ac:dyDescent="0.25">
      <c r="A689" s="1">
        <v>42604</v>
      </c>
      <c r="B689">
        <v>4.5824999999999996</v>
      </c>
    </row>
    <row r="690" spans="1:2" x14ac:dyDescent="0.25">
      <c r="A690" s="1">
        <v>42605</v>
      </c>
      <c r="B690">
        <v>4.4550000000000001</v>
      </c>
    </row>
    <row r="691" spans="1:2" x14ac:dyDescent="0.25">
      <c r="A691" s="1">
        <v>42606</v>
      </c>
      <c r="B691">
        <v>4.5475000000000003</v>
      </c>
    </row>
    <row r="692" spans="1:2" x14ac:dyDescent="0.25">
      <c r="A692" s="1">
        <v>42607</v>
      </c>
      <c r="B692">
        <v>4.6475</v>
      </c>
    </row>
    <row r="693" spans="1:2" x14ac:dyDescent="0.25">
      <c r="A693" s="1">
        <v>42608</v>
      </c>
      <c r="B693">
        <v>4.7774999999999999</v>
      </c>
    </row>
    <row r="694" spans="1:2" x14ac:dyDescent="0.25">
      <c r="A694" s="1">
        <v>42611</v>
      </c>
      <c r="B694">
        <v>4.7549999999999999</v>
      </c>
    </row>
    <row r="695" spans="1:2" x14ac:dyDescent="0.25">
      <c r="A695" s="1">
        <v>42612</v>
      </c>
      <c r="B695">
        <v>4.585</v>
      </c>
    </row>
    <row r="696" spans="1:2" x14ac:dyDescent="0.25">
      <c r="A696" s="1">
        <v>42613</v>
      </c>
      <c r="B696">
        <v>4.57</v>
      </c>
    </row>
    <row r="697" spans="1:2" x14ac:dyDescent="0.25">
      <c r="A697" s="1">
        <v>42614</v>
      </c>
      <c r="B697">
        <v>4.4749999999999996</v>
      </c>
    </row>
    <row r="698" spans="1:2" x14ac:dyDescent="0.25">
      <c r="A698" s="1">
        <v>42615</v>
      </c>
      <c r="B698">
        <v>4.4050000000000002</v>
      </c>
    </row>
    <row r="699" spans="1:2" x14ac:dyDescent="0.25">
      <c r="A699" s="1">
        <v>42618</v>
      </c>
      <c r="B699">
        <v>4.2949999999999999</v>
      </c>
    </row>
    <row r="700" spans="1:2" x14ac:dyDescent="0.25">
      <c r="A700" s="1">
        <v>42619</v>
      </c>
      <c r="B700">
        <v>4.0599999999999996</v>
      </c>
    </row>
    <row r="701" spans="1:2" x14ac:dyDescent="0.25">
      <c r="A701" s="1">
        <v>42620</v>
      </c>
      <c r="B701">
        <v>4.125</v>
      </c>
    </row>
    <row r="702" spans="1:2" x14ac:dyDescent="0.25">
      <c r="A702" s="1">
        <v>42621</v>
      </c>
      <c r="B702">
        <v>4</v>
      </c>
    </row>
    <row r="703" spans="1:2" x14ac:dyDescent="0.25">
      <c r="A703" s="1">
        <v>42622</v>
      </c>
      <c r="B703">
        <v>4.2774999999999999</v>
      </c>
    </row>
    <row r="704" spans="1:2" x14ac:dyDescent="0.25">
      <c r="A704" s="1">
        <v>42625</v>
      </c>
      <c r="B704">
        <v>4.7350000000000003</v>
      </c>
    </row>
    <row r="705" spans="1:2" x14ac:dyDescent="0.25">
      <c r="A705" s="1">
        <v>42626</v>
      </c>
      <c r="B705">
        <v>4.7125000000000004</v>
      </c>
    </row>
    <row r="706" spans="1:2" x14ac:dyDescent="0.25">
      <c r="A706" s="1">
        <v>42627</v>
      </c>
      <c r="B706">
        <v>5.0575000000000001</v>
      </c>
    </row>
    <row r="707" spans="1:2" x14ac:dyDescent="0.25">
      <c r="A707" s="1">
        <v>42628</v>
      </c>
      <c r="B707">
        <v>4.915</v>
      </c>
    </row>
    <row r="708" spans="1:2" x14ac:dyDescent="0.25">
      <c r="A708" s="1">
        <v>42629</v>
      </c>
      <c r="B708">
        <v>4.9649999999999999</v>
      </c>
    </row>
    <row r="709" spans="1:2" x14ac:dyDescent="0.25">
      <c r="A709" s="1">
        <v>42632</v>
      </c>
      <c r="B709">
        <v>4.9924999999999997</v>
      </c>
    </row>
    <row r="710" spans="1:2" x14ac:dyDescent="0.25">
      <c r="A710" s="1">
        <v>42633</v>
      </c>
      <c r="B710">
        <v>4.4649999999999999</v>
      </c>
    </row>
    <row r="711" spans="1:2" x14ac:dyDescent="0.25">
      <c r="A711" s="1">
        <v>42634</v>
      </c>
      <c r="B711">
        <v>4.3049999999999997</v>
      </c>
    </row>
    <row r="712" spans="1:2" x14ac:dyDescent="0.25">
      <c r="A712" s="1">
        <v>42635</v>
      </c>
      <c r="B712">
        <v>3.8325</v>
      </c>
    </row>
    <row r="713" spans="1:2" x14ac:dyDescent="0.25">
      <c r="A713" s="1">
        <v>42636</v>
      </c>
      <c r="B713">
        <v>3.95</v>
      </c>
    </row>
    <row r="714" spans="1:2" x14ac:dyDescent="0.25">
      <c r="A714" s="1">
        <v>42639</v>
      </c>
      <c r="B714">
        <v>3.96</v>
      </c>
    </row>
    <row r="715" spans="1:2" x14ac:dyDescent="0.25">
      <c r="A715" s="1">
        <v>42640</v>
      </c>
      <c r="B715">
        <v>3.8149999999999999</v>
      </c>
    </row>
    <row r="716" spans="1:2" x14ac:dyDescent="0.25">
      <c r="A716" s="1">
        <v>42641</v>
      </c>
      <c r="B716">
        <v>3.7374999999999998</v>
      </c>
    </row>
    <row r="717" spans="1:2" x14ac:dyDescent="0.25">
      <c r="A717" s="1">
        <v>42642</v>
      </c>
      <c r="B717">
        <v>4.8274999999999997</v>
      </c>
    </row>
    <row r="718" spans="1:2" x14ac:dyDescent="0.25">
      <c r="A718" s="1">
        <v>42643</v>
      </c>
      <c r="B718">
        <v>4.7575000000000003</v>
      </c>
    </row>
    <row r="719" spans="1:2" x14ac:dyDescent="0.25">
      <c r="A719" s="1">
        <v>42646</v>
      </c>
      <c r="B719">
        <v>4.75</v>
      </c>
    </row>
    <row r="720" spans="1:2" x14ac:dyDescent="0.25">
      <c r="A720" s="1">
        <v>42647</v>
      </c>
      <c r="B720">
        <v>4.72</v>
      </c>
    </row>
    <row r="721" spans="1:2" x14ac:dyDescent="0.25">
      <c r="A721" s="1">
        <v>42648</v>
      </c>
      <c r="B721">
        <v>4.74</v>
      </c>
    </row>
    <row r="722" spans="1:2" x14ac:dyDescent="0.25">
      <c r="A722" s="1">
        <v>42649</v>
      </c>
      <c r="B722">
        <v>5.1074999999999999</v>
      </c>
    </row>
    <row r="723" spans="1:2" x14ac:dyDescent="0.25">
      <c r="A723" s="1">
        <v>42650</v>
      </c>
      <c r="B723">
        <v>5.0999999999999996</v>
      </c>
    </row>
    <row r="724" spans="1:2" x14ac:dyDescent="0.25">
      <c r="A724" s="1">
        <v>42653</v>
      </c>
      <c r="B724">
        <v>4.9524999999999997</v>
      </c>
    </row>
    <row r="725" spans="1:2" x14ac:dyDescent="0.25">
      <c r="A725" s="1">
        <v>42654</v>
      </c>
      <c r="B725">
        <v>4.835</v>
      </c>
    </row>
    <row r="726" spans="1:2" x14ac:dyDescent="0.25">
      <c r="A726" s="1">
        <v>42655</v>
      </c>
      <c r="B726">
        <v>4.6050000000000004</v>
      </c>
    </row>
    <row r="727" spans="1:2" x14ac:dyDescent="0.25">
      <c r="A727" s="1">
        <v>42656</v>
      </c>
      <c r="B727">
        <v>4.53</v>
      </c>
    </row>
    <row r="728" spans="1:2" x14ac:dyDescent="0.25">
      <c r="A728" s="1">
        <v>42657</v>
      </c>
      <c r="B728">
        <v>4.3849999999999998</v>
      </c>
    </row>
    <row r="729" spans="1:2" x14ac:dyDescent="0.25">
      <c r="A729" s="1">
        <v>42660</v>
      </c>
      <c r="B729">
        <v>4.2750000000000004</v>
      </c>
    </row>
    <row r="730" spans="1:2" x14ac:dyDescent="0.25">
      <c r="A730" s="1">
        <v>42661</v>
      </c>
      <c r="B730">
        <v>3.8574999999999999</v>
      </c>
    </row>
    <row r="731" spans="1:2" x14ac:dyDescent="0.25">
      <c r="A731" s="1">
        <v>42662</v>
      </c>
      <c r="B731">
        <v>3.8174999999999999</v>
      </c>
    </row>
    <row r="732" spans="1:2" x14ac:dyDescent="0.25">
      <c r="A732" s="1">
        <v>42663</v>
      </c>
      <c r="B732">
        <v>3.8025000000000002</v>
      </c>
    </row>
    <row r="733" spans="1:2" x14ac:dyDescent="0.25">
      <c r="A733" s="1">
        <v>42664</v>
      </c>
      <c r="B733">
        <v>4.0449999999999999</v>
      </c>
    </row>
    <row r="734" spans="1:2" x14ac:dyDescent="0.25">
      <c r="A734" s="1">
        <v>42667</v>
      </c>
      <c r="B734">
        <v>4.12</v>
      </c>
    </row>
    <row r="735" spans="1:2" x14ac:dyDescent="0.25">
      <c r="A735" s="1">
        <v>42668</v>
      </c>
      <c r="B735">
        <v>3.9</v>
      </c>
    </row>
    <row r="736" spans="1:2" x14ac:dyDescent="0.25">
      <c r="A736" s="1">
        <v>42669</v>
      </c>
      <c r="B736">
        <v>3.7450000000000001</v>
      </c>
    </row>
    <row r="737" spans="1:2" x14ac:dyDescent="0.25">
      <c r="A737" s="1">
        <v>42670</v>
      </c>
      <c r="B737">
        <v>3.4975000000000001</v>
      </c>
    </row>
    <row r="738" spans="1:2" x14ac:dyDescent="0.25">
      <c r="A738" s="1">
        <v>42671</v>
      </c>
      <c r="B738">
        <v>3.7625000000000002</v>
      </c>
    </row>
    <row r="739" spans="1:2" x14ac:dyDescent="0.25">
      <c r="A739" s="1">
        <v>42674</v>
      </c>
      <c r="B739">
        <v>3.7974999999999999</v>
      </c>
    </row>
    <row r="740" spans="1:2" x14ac:dyDescent="0.25">
      <c r="A740" s="1">
        <v>42675</v>
      </c>
      <c r="B740">
        <v>3.7549999999999999</v>
      </c>
    </row>
    <row r="741" spans="1:2" x14ac:dyDescent="0.25">
      <c r="A741" s="1">
        <v>42676</v>
      </c>
      <c r="B741">
        <v>3.9575</v>
      </c>
    </row>
    <row r="742" spans="1:2" x14ac:dyDescent="0.25">
      <c r="A742" s="1">
        <v>42677</v>
      </c>
      <c r="B742">
        <v>4.0324999999999998</v>
      </c>
    </row>
    <row r="743" spans="1:2" x14ac:dyDescent="0.25">
      <c r="A743" s="1">
        <v>42678</v>
      </c>
      <c r="B743">
        <v>4.0674999999999999</v>
      </c>
    </row>
    <row r="744" spans="1:2" x14ac:dyDescent="0.25">
      <c r="A744" s="1">
        <v>42681</v>
      </c>
      <c r="B744">
        <v>3.7875000000000001</v>
      </c>
    </row>
    <row r="745" spans="1:2" x14ac:dyDescent="0.25">
      <c r="A745" s="1">
        <v>42682</v>
      </c>
      <c r="B745">
        <v>3.6375000000000002</v>
      </c>
    </row>
    <row r="746" spans="1:2" x14ac:dyDescent="0.25">
      <c r="A746" s="1">
        <v>42683</v>
      </c>
      <c r="B746">
        <v>3.89</v>
      </c>
    </row>
    <row r="747" spans="1:2" x14ac:dyDescent="0.25">
      <c r="A747" s="1">
        <v>42684</v>
      </c>
      <c r="B747">
        <v>3.95</v>
      </c>
    </row>
    <row r="748" spans="1:2" x14ac:dyDescent="0.25">
      <c r="A748" s="1">
        <v>42685</v>
      </c>
      <c r="B748">
        <v>4.7474999999999996</v>
      </c>
    </row>
    <row r="749" spans="1:2" x14ac:dyDescent="0.25">
      <c r="A749" s="1">
        <v>42688</v>
      </c>
      <c r="B749">
        <v>5.1050000000000004</v>
      </c>
    </row>
    <row r="750" spans="1:2" x14ac:dyDescent="0.25">
      <c r="A750" s="1">
        <v>42689</v>
      </c>
      <c r="B750">
        <v>5.07</v>
      </c>
    </row>
    <row r="751" spans="1:2" x14ac:dyDescent="0.25">
      <c r="A751" s="1">
        <v>42690</v>
      </c>
      <c r="B751">
        <v>4.9349999999999996</v>
      </c>
    </row>
    <row r="752" spans="1:2" x14ac:dyDescent="0.25">
      <c r="A752" s="1">
        <v>42691</v>
      </c>
      <c r="B752">
        <v>4.7300000000000004</v>
      </c>
    </row>
    <row r="753" spans="1:2" x14ac:dyDescent="0.25">
      <c r="A753" s="1">
        <v>42692</v>
      </c>
      <c r="B753">
        <v>5.36</v>
      </c>
    </row>
    <row r="754" spans="1:2" x14ac:dyDescent="0.25">
      <c r="A754" s="1">
        <v>42695</v>
      </c>
      <c r="B754">
        <v>5.4424999999999999</v>
      </c>
    </row>
    <row r="755" spans="1:2" x14ac:dyDescent="0.25">
      <c r="A755" s="1">
        <v>42696</v>
      </c>
      <c r="B755">
        <v>5.0824999999999996</v>
      </c>
    </row>
    <row r="756" spans="1:2" x14ac:dyDescent="0.25">
      <c r="A756" s="1">
        <v>42697</v>
      </c>
      <c r="B756">
        <v>5.2275</v>
      </c>
    </row>
    <row r="757" spans="1:2" x14ac:dyDescent="0.25">
      <c r="A757" s="1">
        <v>42698</v>
      </c>
      <c r="B757">
        <v>5.5</v>
      </c>
    </row>
    <row r="758" spans="1:2" x14ac:dyDescent="0.25">
      <c r="A758" s="1">
        <v>42699</v>
      </c>
      <c r="B758">
        <v>5.4424999999999999</v>
      </c>
    </row>
    <row r="759" spans="1:2" x14ac:dyDescent="0.25">
      <c r="A759" s="1">
        <v>42702</v>
      </c>
      <c r="B759">
        <v>5.0949999999999998</v>
      </c>
    </row>
    <row r="760" spans="1:2" x14ac:dyDescent="0.25">
      <c r="A760" s="1">
        <v>42703</v>
      </c>
      <c r="B760">
        <v>4.915</v>
      </c>
    </row>
    <row r="761" spans="1:2" x14ac:dyDescent="0.25">
      <c r="A761" s="1">
        <v>42704</v>
      </c>
      <c r="B761">
        <v>4.7450000000000001</v>
      </c>
    </row>
    <row r="762" spans="1:2" x14ac:dyDescent="0.25">
      <c r="A762" s="1">
        <v>42705</v>
      </c>
      <c r="B762">
        <v>4.8224999999999998</v>
      </c>
    </row>
    <row r="763" spans="1:2" x14ac:dyDescent="0.25">
      <c r="A763" s="1">
        <v>42706</v>
      </c>
      <c r="B763">
        <v>4.9249999999999998</v>
      </c>
    </row>
    <row r="764" spans="1:2" x14ac:dyDescent="0.25">
      <c r="A764" s="1">
        <v>42709</v>
      </c>
      <c r="B764">
        <v>5.0549999999999997</v>
      </c>
    </row>
    <row r="765" spans="1:2" x14ac:dyDescent="0.25">
      <c r="A765" s="1">
        <v>42710</v>
      </c>
      <c r="B765">
        <v>5.16</v>
      </c>
    </row>
    <row r="766" spans="1:2" x14ac:dyDescent="0.25">
      <c r="A766" s="1">
        <v>42711</v>
      </c>
      <c r="B766">
        <v>5.4074999999999998</v>
      </c>
    </row>
    <row r="767" spans="1:2" x14ac:dyDescent="0.25">
      <c r="A767" s="1">
        <v>42712</v>
      </c>
      <c r="B767">
        <v>5.5674999999999999</v>
      </c>
    </row>
    <row r="768" spans="1:2" x14ac:dyDescent="0.25">
      <c r="A768" s="1">
        <v>42713</v>
      </c>
      <c r="B768">
        <v>5.96</v>
      </c>
    </row>
    <row r="769" spans="1:2" x14ac:dyDescent="0.25">
      <c r="A769" s="1">
        <v>42716</v>
      </c>
      <c r="B769">
        <v>6.6475</v>
      </c>
    </row>
    <row r="770" spans="1:2" x14ac:dyDescent="0.25">
      <c r="A770" s="1">
        <v>42717</v>
      </c>
      <c r="B770">
        <v>6.02</v>
      </c>
    </row>
    <row r="771" spans="1:2" x14ac:dyDescent="0.25">
      <c r="A771" s="1">
        <v>42718</v>
      </c>
      <c r="B771">
        <v>5.8724999999999996</v>
      </c>
    </row>
    <row r="772" spans="1:2" x14ac:dyDescent="0.25">
      <c r="A772" s="1">
        <v>42719</v>
      </c>
      <c r="B772">
        <v>6.1924999999999999</v>
      </c>
    </row>
    <row r="773" spans="1:2" x14ac:dyDescent="0.25">
      <c r="A773" s="1">
        <v>42720</v>
      </c>
      <c r="B773">
        <v>5.835</v>
      </c>
    </row>
    <row r="774" spans="1:2" x14ac:dyDescent="0.25">
      <c r="A774" s="1">
        <v>42723</v>
      </c>
      <c r="B774">
        <v>5.915</v>
      </c>
    </row>
    <row r="775" spans="1:2" x14ac:dyDescent="0.25">
      <c r="A775" s="1">
        <v>42724</v>
      </c>
      <c r="B775">
        <v>5.8075000000000001</v>
      </c>
    </row>
    <row r="776" spans="1:2" x14ac:dyDescent="0.25">
      <c r="A776" s="1">
        <v>42725</v>
      </c>
      <c r="B776">
        <v>5.8025000000000002</v>
      </c>
    </row>
    <row r="777" spans="1:2" x14ac:dyDescent="0.25">
      <c r="A777" s="1">
        <v>42726</v>
      </c>
      <c r="B777">
        <v>6.0225</v>
      </c>
    </row>
    <row r="778" spans="1:2" x14ac:dyDescent="0.25">
      <c r="A778" s="1">
        <v>42727</v>
      </c>
      <c r="B778">
        <v>5.98</v>
      </c>
    </row>
    <row r="779" spans="1:2" x14ac:dyDescent="0.25">
      <c r="A779" s="1">
        <v>42730</v>
      </c>
      <c r="B779">
        <v>6.05</v>
      </c>
    </row>
    <row r="780" spans="1:2" x14ac:dyDescent="0.25">
      <c r="A780" s="1">
        <v>42731</v>
      </c>
      <c r="B780">
        <v>6.0575000000000001</v>
      </c>
    </row>
    <row r="781" spans="1:2" x14ac:dyDescent="0.25">
      <c r="A781" s="1">
        <v>42732</v>
      </c>
      <c r="B781">
        <v>6.0250000000000004</v>
      </c>
    </row>
    <row r="782" spans="1:2" x14ac:dyDescent="0.25">
      <c r="A782" s="1">
        <v>42733</v>
      </c>
      <c r="B782">
        <v>6.1475</v>
      </c>
    </row>
    <row r="783" spans="1:2" x14ac:dyDescent="0.25">
      <c r="A783" s="1">
        <v>42734</v>
      </c>
      <c r="B783">
        <v>6.335</v>
      </c>
    </row>
    <row r="784" spans="1:2" x14ac:dyDescent="0.25">
      <c r="A784" s="1">
        <v>42737</v>
      </c>
      <c r="B784">
        <v>6.3674999999999997</v>
      </c>
    </row>
    <row r="785" spans="1:2" x14ac:dyDescent="0.25">
      <c r="A785" s="1">
        <v>42738</v>
      </c>
      <c r="B785">
        <v>5.9675000000000002</v>
      </c>
    </row>
    <row r="786" spans="1:2" x14ac:dyDescent="0.25">
      <c r="A786" s="1">
        <v>42739</v>
      </c>
      <c r="B786">
        <v>6.02</v>
      </c>
    </row>
    <row r="787" spans="1:2" x14ac:dyDescent="0.25">
      <c r="A787" s="1">
        <v>42740</v>
      </c>
      <c r="B787">
        <v>7.73</v>
      </c>
    </row>
    <row r="788" spans="1:2" x14ac:dyDescent="0.25">
      <c r="A788" s="1">
        <v>42741</v>
      </c>
      <c r="B788">
        <v>7.55</v>
      </c>
    </row>
    <row r="789" spans="1:2" x14ac:dyDescent="0.25">
      <c r="A789" s="1">
        <v>42744</v>
      </c>
      <c r="B789">
        <v>6.7725</v>
      </c>
    </row>
    <row r="790" spans="1:2" x14ac:dyDescent="0.25">
      <c r="A790" s="1">
        <v>42745</v>
      </c>
      <c r="B790">
        <v>5.835</v>
      </c>
    </row>
    <row r="791" spans="1:2" x14ac:dyDescent="0.25">
      <c r="A791" s="1">
        <v>42746</v>
      </c>
      <c r="B791">
        <v>5.9675000000000002</v>
      </c>
    </row>
    <row r="792" spans="1:2" x14ac:dyDescent="0.25">
      <c r="A792" s="1">
        <v>42747</v>
      </c>
      <c r="B792">
        <v>6.3624999999999998</v>
      </c>
    </row>
    <row r="793" spans="1:2" x14ac:dyDescent="0.25">
      <c r="A793" s="1">
        <v>42748</v>
      </c>
      <c r="B793">
        <v>6.2975000000000003</v>
      </c>
    </row>
    <row r="794" spans="1:2" x14ac:dyDescent="0.25">
      <c r="A794" s="1">
        <v>42751</v>
      </c>
      <c r="B794">
        <v>6.35</v>
      </c>
    </row>
    <row r="795" spans="1:2" x14ac:dyDescent="0.25">
      <c r="A795" s="1">
        <v>42752</v>
      </c>
      <c r="B795">
        <v>6.2975000000000003</v>
      </c>
    </row>
    <row r="796" spans="1:2" x14ac:dyDescent="0.25">
      <c r="A796" s="1">
        <v>42753</v>
      </c>
      <c r="B796">
        <v>6.2374999999999998</v>
      </c>
    </row>
    <row r="797" spans="1:2" x14ac:dyDescent="0.25">
      <c r="A797" s="1">
        <v>42754</v>
      </c>
      <c r="B797">
        <v>6.13</v>
      </c>
    </row>
    <row r="798" spans="1:2" x14ac:dyDescent="0.25">
      <c r="A798" s="1">
        <v>42755</v>
      </c>
      <c r="B798">
        <v>6.0549999999999997</v>
      </c>
    </row>
    <row r="799" spans="1:2" x14ac:dyDescent="0.25">
      <c r="A799" s="1">
        <v>42758</v>
      </c>
      <c r="B799">
        <v>5.875</v>
      </c>
    </row>
    <row r="800" spans="1:2" x14ac:dyDescent="0.25">
      <c r="A800" s="1">
        <v>42759</v>
      </c>
      <c r="B800">
        <v>5.51</v>
      </c>
    </row>
    <row r="801" spans="1:2" x14ac:dyDescent="0.25">
      <c r="A801" s="1">
        <v>42760</v>
      </c>
      <c r="B801">
        <v>5.6150000000000002</v>
      </c>
    </row>
    <row r="802" spans="1:2" x14ac:dyDescent="0.25">
      <c r="A802" s="1">
        <v>42761</v>
      </c>
      <c r="B802">
        <v>5.4850000000000003</v>
      </c>
    </row>
    <row r="803" spans="1:2" x14ac:dyDescent="0.25">
      <c r="A803" s="1">
        <v>42762</v>
      </c>
      <c r="B803">
        <v>5.8150000000000004</v>
      </c>
    </row>
    <row r="804" spans="1:2" x14ac:dyDescent="0.25">
      <c r="A804" s="1">
        <v>42765</v>
      </c>
      <c r="B804">
        <v>5.8975</v>
      </c>
    </row>
    <row r="805" spans="1:2" x14ac:dyDescent="0.25">
      <c r="A805" s="1">
        <v>42766</v>
      </c>
      <c r="B805">
        <v>5.8650000000000002</v>
      </c>
    </row>
    <row r="806" spans="1:2" x14ac:dyDescent="0.25">
      <c r="A806" s="1">
        <v>42767</v>
      </c>
      <c r="B806">
        <v>5.7949999999999999</v>
      </c>
    </row>
    <row r="807" spans="1:2" x14ac:dyDescent="0.25">
      <c r="A807" s="1">
        <v>42768</v>
      </c>
      <c r="B807">
        <v>5.7275</v>
      </c>
    </row>
    <row r="808" spans="1:2" x14ac:dyDescent="0.25">
      <c r="A808" s="1">
        <v>42769</v>
      </c>
      <c r="B808">
        <v>6.04</v>
      </c>
    </row>
    <row r="809" spans="1:2" x14ac:dyDescent="0.25">
      <c r="A809" s="1">
        <v>42772</v>
      </c>
      <c r="B809">
        <v>5.77</v>
      </c>
    </row>
    <row r="810" spans="1:2" x14ac:dyDescent="0.25">
      <c r="A810" s="1">
        <v>42773</v>
      </c>
      <c r="B810">
        <v>5.3875000000000002</v>
      </c>
    </row>
    <row r="811" spans="1:2" x14ac:dyDescent="0.25">
      <c r="A811" s="1">
        <v>42774</v>
      </c>
      <c r="B811">
        <v>5.6074999999999999</v>
      </c>
    </row>
    <row r="812" spans="1:2" x14ac:dyDescent="0.25">
      <c r="A812" s="1">
        <v>42775</v>
      </c>
      <c r="B812">
        <v>5.4074999999999998</v>
      </c>
    </row>
    <row r="813" spans="1:2" x14ac:dyDescent="0.25">
      <c r="A813" s="1">
        <v>42776</v>
      </c>
      <c r="B813">
        <v>5.3724999999999996</v>
      </c>
    </row>
    <row r="814" spans="1:2" x14ac:dyDescent="0.25">
      <c r="A814" s="1">
        <v>42779</v>
      </c>
      <c r="B814">
        <v>5.03</v>
      </c>
    </row>
    <row r="815" spans="1:2" x14ac:dyDescent="0.25">
      <c r="A815" s="1">
        <v>42780</v>
      </c>
      <c r="B815">
        <v>4.4524999999999997</v>
      </c>
    </row>
    <row r="816" spans="1:2" x14ac:dyDescent="0.25">
      <c r="A816" s="1">
        <v>42781</v>
      </c>
      <c r="B816">
        <v>4.3250000000000002</v>
      </c>
    </row>
    <row r="817" spans="1:2" x14ac:dyDescent="0.25">
      <c r="A817" s="1">
        <v>42782</v>
      </c>
      <c r="B817">
        <v>4.3499999999999996</v>
      </c>
    </row>
    <row r="818" spans="1:2" x14ac:dyDescent="0.25">
      <c r="A818" s="1">
        <v>42783</v>
      </c>
      <c r="B818">
        <v>4.3449999999999998</v>
      </c>
    </row>
    <row r="819" spans="1:2" x14ac:dyDescent="0.25">
      <c r="A819" s="1">
        <v>42786</v>
      </c>
      <c r="B819">
        <v>4.3650000000000002</v>
      </c>
    </row>
    <row r="820" spans="1:2" x14ac:dyDescent="0.25">
      <c r="A820" s="1">
        <v>42787</v>
      </c>
      <c r="B820">
        <v>4.26</v>
      </c>
    </row>
    <row r="821" spans="1:2" x14ac:dyDescent="0.25">
      <c r="A821" s="1">
        <v>42788</v>
      </c>
      <c r="B821">
        <v>4.2050000000000001</v>
      </c>
    </row>
    <row r="822" spans="1:2" x14ac:dyDescent="0.25">
      <c r="A822" s="1">
        <v>42789</v>
      </c>
      <c r="B822">
        <v>4.03</v>
      </c>
    </row>
    <row r="823" spans="1:2" x14ac:dyDescent="0.25">
      <c r="A823" s="1">
        <v>42790</v>
      </c>
      <c r="B823">
        <v>3.9525000000000001</v>
      </c>
    </row>
    <row r="824" spans="1:2" x14ac:dyDescent="0.25">
      <c r="A824" s="1">
        <v>42793</v>
      </c>
      <c r="B824">
        <v>3.68</v>
      </c>
    </row>
    <row r="825" spans="1:2" x14ac:dyDescent="0.25">
      <c r="A825" s="1">
        <v>42794</v>
      </c>
      <c r="B825">
        <v>3.65</v>
      </c>
    </row>
    <row r="826" spans="1:2" x14ac:dyDescent="0.25">
      <c r="A826" s="1">
        <v>42795</v>
      </c>
      <c r="B826">
        <v>3.88</v>
      </c>
    </row>
    <row r="827" spans="1:2" x14ac:dyDescent="0.25">
      <c r="A827" s="1">
        <v>42796</v>
      </c>
      <c r="B827">
        <v>3.6375000000000002</v>
      </c>
    </row>
    <row r="828" spans="1:2" x14ac:dyDescent="0.25">
      <c r="A828" s="1">
        <v>42797</v>
      </c>
      <c r="B828">
        <v>3.9224999999999999</v>
      </c>
    </row>
    <row r="829" spans="1:2" x14ac:dyDescent="0.25">
      <c r="A829" s="1">
        <v>42800</v>
      </c>
      <c r="B829">
        <v>3.8050000000000002</v>
      </c>
    </row>
    <row r="830" spans="1:2" x14ac:dyDescent="0.25">
      <c r="A830" s="1">
        <v>42801</v>
      </c>
      <c r="B830">
        <v>3.5449999999999999</v>
      </c>
    </row>
    <row r="831" spans="1:2" x14ac:dyDescent="0.25">
      <c r="A831" s="1">
        <v>42802</v>
      </c>
      <c r="B831">
        <v>3.88</v>
      </c>
    </row>
    <row r="832" spans="1:2" x14ac:dyDescent="0.25">
      <c r="A832" s="1">
        <v>42803</v>
      </c>
      <c r="B832">
        <v>4.6500000000000004</v>
      </c>
    </row>
    <row r="833" spans="1:2" x14ac:dyDescent="0.25">
      <c r="A833" s="1">
        <v>42804</v>
      </c>
      <c r="B833">
        <v>4.17</v>
      </c>
    </row>
    <row r="834" spans="1:2" x14ac:dyDescent="0.25">
      <c r="A834" s="1">
        <v>42807</v>
      </c>
      <c r="B834">
        <v>3.6475</v>
      </c>
    </row>
    <row r="835" spans="1:2" x14ac:dyDescent="0.25">
      <c r="A835" s="1">
        <v>42808</v>
      </c>
      <c r="B835">
        <v>3.7650000000000001</v>
      </c>
    </row>
    <row r="836" spans="1:2" x14ac:dyDescent="0.25">
      <c r="A836" s="1">
        <v>42809</v>
      </c>
      <c r="B836">
        <v>3.7025000000000001</v>
      </c>
    </row>
    <row r="837" spans="1:2" x14ac:dyDescent="0.25">
      <c r="A837" s="1">
        <v>42810</v>
      </c>
      <c r="B837">
        <v>3.7475000000000001</v>
      </c>
    </row>
    <row r="838" spans="1:2" x14ac:dyDescent="0.25">
      <c r="A838" s="1">
        <v>42811</v>
      </c>
      <c r="B838">
        <v>3.7275</v>
      </c>
    </row>
    <row r="839" spans="1:2" x14ac:dyDescent="0.25">
      <c r="A839" s="1">
        <v>42814</v>
      </c>
      <c r="B839">
        <v>3.6949999999999998</v>
      </c>
    </row>
    <row r="840" spans="1:2" x14ac:dyDescent="0.25">
      <c r="A840" s="1">
        <v>42815</v>
      </c>
      <c r="B840">
        <v>3.665</v>
      </c>
    </row>
    <row r="841" spans="1:2" x14ac:dyDescent="0.25">
      <c r="A841" s="1">
        <v>42816</v>
      </c>
      <c r="B841">
        <v>3.7524999999999999</v>
      </c>
    </row>
    <row r="842" spans="1:2" x14ac:dyDescent="0.25">
      <c r="A842" s="1">
        <v>42817</v>
      </c>
      <c r="B842">
        <v>3.7450000000000001</v>
      </c>
    </row>
    <row r="843" spans="1:2" x14ac:dyDescent="0.25">
      <c r="A843" s="1">
        <v>42818</v>
      </c>
      <c r="B843">
        <v>3.7275</v>
      </c>
    </row>
    <row r="844" spans="1:2" x14ac:dyDescent="0.25">
      <c r="A844" s="1">
        <v>42821</v>
      </c>
      <c r="B844">
        <v>3.8149999999999999</v>
      </c>
    </row>
    <row r="845" spans="1:2" x14ac:dyDescent="0.25">
      <c r="A845" s="1">
        <v>42822</v>
      </c>
      <c r="B845">
        <v>3.83</v>
      </c>
    </row>
    <row r="846" spans="1:2" x14ac:dyDescent="0.25">
      <c r="A846" s="1">
        <v>42823</v>
      </c>
      <c r="B846">
        <v>3.89</v>
      </c>
    </row>
    <row r="847" spans="1:2" x14ac:dyDescent="0.25">
      <c r="A847" s="1">
        <v>42824</v>
      </c>
      <c r="B847">
        <v>3.87</v>
      </c>
    </row>
    <row r="848" spans="1:2" x14ac:dyDescent="0.25">
      <c r="A848" s="1">
        <v>42825</v>
      </c>
      <c r="B848">
        <v>3.7875000000000001</v>
      </c>
    </row>
    <row r="849" spans="1:2" x14ac:dyDescent="0.25">
      <c r="A849" s="1">
        <v>42828</v>
      </c>
      <c r="B849">
        <v>3.8374999999999999</v>
      </c>
    </row>
    <row r="850" spans="1:2" x14ac:dyDescent="0.25">
      <c r="A850" s="1">
        <v>42829</v>
      </c>
      <c r="B850">
        <v>3.86</v>
      </c>
    </row>
    <row r="851" spans="1:2" x14ac:dyDescent="0.25">
      <c r="A851" s="1">
        <v>42830</v>
      </c>
      <c r="B851">
        <v>3.875</v>
      </c>
    </row>
    <row r="852" spans="1:2" x14ac:dyDescent="0.25">
      <c r="A852" s="1">
        <v>42831</v>
      </c>
      <c r="B852">
        <v>4.1050000000000004</v>
      </c>
    </row>
    <row r="853" spans="1:2" x14ac:dyDescent="0.25">
      <c r="A853" s="1">
        <v>42832</v>
      </c>
      <c r="B853">
        <v>4.375</v>
      </c>
    </row>
    <row r="854" spans="1:2" x14ac:dyDescent="0.25">
      <c r="A854" s="1">
        <v>42835</v>
      </c>
      <c r="B854">
        <v>4.2699999999999996</v>
      </c>
    </row>
    <row r="855" spans="1:2" x14ac:dyDescent="0.25">
      <c r="A855" s="1">
        <v>42836</v>
      </c>
      <c r="B855">
        <v>3.9849999999999999</v>
      </c>
    </row>
    <row r="856" spans="1:2" x14ac:dyDescent="0.25">
      <c r="A856" s="1">
        <v>42837</v>
      </c>
      <c r="B856">
        <v>3.6749999999999998</v>
      </c>
    </row>
    <row r="857" spans="1:2" x14ac:dyDescent="0.25">
      <c r="A857" s="1">
        <v>42838</v>
      </c>
      <c r="B857">
        <v>3.95</v>
      </c>
    </row>
    <row r="858" spans="1:2" x14ac:dyDescent="0.25">
      <c r="A858" s="1">
        <v>42839</v>
      </c>
      <c r="B858">
        <v>4.01</v>
      </c>
    </row>
    <row r="859" spans="1:2" x14ac:dyDescent="0.25">
      <c r="A859" s="1">
        <v>42842</v>
      </c>
      <c r="B859">
        <v>3.92</v>
      </c>
    </row>
    <row r="860" spans="1:2" x14ac:dyDescent="0.25">
      <c r="A860" s="1">
        <v>42843</v>
      </c>
      <c r="B860">
        <v>3.9049999999999998</v>
      </c>
    </row>
    <row r="861" spans="1:2" x14ac:dyDescent="0.25">
      <c r="A861" s="1">
        <v>42844</v>
      </c>
      <c r="B861">
        <v>3.8125</v>
      </c>
    </row>
    <row r="862" spans="1:2" x14ac:dyDescent="0.25">
      <c r="A862" s="1">
        <v>42845</v>
      </c>
      <c r="B862">
        <v>3.6375000000000002</v>
      </c>
    </row>
    <row r="863" spans="1:2" x14ac:dyDescent="0.25">
      <c r="A863" s="1">
        <v>42846</v>
      </c>
      <c r="B863">
        <v>3.5950000000000002</v>
      </c>
    </row>
    <row r="864" spans="1:2" x14ac:dyDescent="0.25">
      <c r="A864" s="1">
        <v>42849</v>
      </c>
      <c r="B864">
        <v>3.3</v>
      </c>
    </row>
    <row r="865" spans="1:2" x14ac:dyDescent="0.25">
      <c r="A865" s="1">
        <v>42850</v>
      </c>
      <c r="B865">
        <v>3.0425</v>
      </c>
    </row>
    <row r="866" spans="1:2" x14ac:dyDescent="0.25">
      <c r="A866" s="1">
        <v>42851</v>
      </c>
      <c r="B866">
        <v>3.0249999999999999</v>
      </c>
    </row>
    <row r="867" spans="1:2" x14ac:dyDescent="0.25">
      <c r="A867" s="1">
        <v>42852</v>
      </c>
      <c r="B867">
        <v>3.02</v>
      </c>
    </row>
    <row r="868" spans="1:2" x14ac:dyDescent="0.25">
      <c r="A868" s="1">
        <v>42853</v>
      </c>
      <c r="B868">
        <v>2.88</v>
      </c>
    </row>
    <row r="869" spans="1:2" x14ac:dyDescent="0.25">
      <c r="A869" s="1">
        <v>42856</v>
      </c>
      <c r="B869">
        <v>2.8450000000000002</v>
      </c>
    </row>
    <row r="870" spans="1:2" x14ac:dyDescent="0.25">
      <c r="A870" s="1">
        <v>42857</v>
      </c>
      <c r="B870">
        <v>2.7349999999999999</v>
      </c>
    </row>
    <row r="871" spans="1:2" x14ac:dyDescent="0.25">
      <c r="A871" s="1">
        <v>42858</v>
      </c>
      <c r="B871">
        <v>2.665</v>
      </c>
    </row>
    <row r="872" spans="1:2" x14ac:dyDescent="0.25">
      <c r="A872" s="1">
        <v>42859</v>
      </c>
      <c r="B872">
        <v>2.7025000000000001</v>
      </c>
    </row>
    <row r="873" spans="1:2" x14ac:dyDescent="0.25">
      <c r="A873" s="1">
        <v>42860</v>
      </c>
      <c r="B873">
        <v>2.8450000000000002</v>
      </c>
    </row>
    <row r="874" spans="1:2" x14ac:dyDescent="0.25">
      <c r="A874" s="1">
        <v>42863</v>
      </c>
      <c r="B874">
        <v>2.7275</v>
      </c>
    </row>
    <row r="875" spans="1:2" x14ac:dyDescent="0.25">
      <c r="A875" s="1">
        <v>42864</v>
      </c>
      <c r="B875">
        <v>2.59</v>
      </c>
    </row>
    <row r="876" spans="1:2" x14ac:dyDescent="0.25">
      <c r="A876" s="1">
        <v>42865</v>
      </c>
      <c r="B876">
        <v>2.5499999999999998</v>
      </c>
    </row>
    <row r="877" spans="1:2" x14ac:dyDescent="0.25">
      <c r="A877" s="1">
        <v>42866</v>
      </c>
      <c r="B877">
        <v>2.4975000000000001</v>
      </c>
    </row>
    <row r="878" spans="1:2" x14ac:dyDescent="0.25">
      <c r="A878" s="1">
        <v>42867</v>
      </c>
      <c r="B878">
        <v>2.4175</v>
      </c>
    </row>
    <row r="879" spans="1:2" x14ac:dyDescent="0.25">
      <c r="A879" s="1">
        <v>42870</v>
      </c>
      <c r="B879">
        <v>2.4049999999999998</v>
      </c>
    </row>
    <row r="880" spans="1:2" x14ac:dyDescent="0.25">
      <c r="A880" s="1">
        <v>42871</v>
      </c>
      <c r="B880">
        <v>2.3025000000000002</v>
      </c>
    </row>
    <row r="881" spans="1:2" x14ac:dyDescent="0.25">
      <c r="A881" s="1">
        <v>42872</v>
      </c>
      <c r="B881">
        <v>2.605</v>
      </c>
    </row>
    <row r="882" spans="1:2" x14ac:dyDescent="0.25">
      <c r="A882" s="1">
        <v>42873</v>
      </c>
      <c r="B882">
        <v>2.65</v>
      </c>
    </row>
    <row r="883" spans="1:2" x14ac:dyDescent="0.25">
      <c r="A883" s="1">
        <v>42874</v>
      </c>
      <c r="B883">
        <v>2.5950000000000002</v>
      </c>
    </row>
    <row r="884" spans="1:2" x14ac:dyDescent="0.25">
      <c r="A884" s="1">
        <v>42877</v>
      </c>
      <c r="B884">
        <v>2.5874999999999999</v>
      </c>
    </row>
    <row r="885" spans="1:2" x14ac:dyDescent="0.25">
      <c r="A885" s="1">
        <v>42878</v>
      </c>
      <c r="B885">
        <v>2.4975000000000001</v>
      </c>
    </row>
    <row r="886" spans="1:2" x14ac:dyDescent="0.25">
      <c r="A886" s="1">
        <v>42879</v>
      </c>
      <c r="B886">
        <v>2.4049999999999998</v>
      </c>
    </row>
    <row r="887" spans="1:2" x14ac:dyDescent="0.25">
      <c r="A887" s="1">
        <v>42880</v>
      </c>
      <c r="B887">
        <v>2.9175</v>
      </c>
    </row>
    <row r="888" spans="1:2" x14ac:dyDescent="0.25">
      <c r="A888" s="1">
        <v>42881</v>
      </c>
      <c r="B888">
        <v>3.28</v>
      </c>
    </row>
    <row r="889" spans="1:2" x14ac:dyDescent="0.25">
      <c r="A889" s="1">
        <v>42884</v>
      </c>
      <c r="B889">
        <v>3.3</v>
      </c>
    </row>
    <row r="890" spans="1:2" x14ac:dyDescent="0.25">
      <c r="A890" s="1">
        <v>42885</v>
      </c>
      <c r="B890">
        <v>3.1949999999999998</v>
      </c>
    </row>
    <row r="891" spans="1:2" x14ac:dyDescent="0.25">
      <c r="A891" s="1">
        <v>42886</v>
      </c>
      <c r="B891">
        <v>4.05</v>
      </c>
    </row>
    <row r="892" spans="1:2" x14ac:dyDescent="0.25">
      <c r="A892" s="1">
        <v>42887</v>
      </c>
      <c r="B892">
        <v>3.8975</v>
      </c>
    </row>
    <row r="893" spans="1:2" x14ac:dyDescent="0.25">
      <c r="A893" s="1">
        <v>42888</v>
      </c>
      <c r="B893">
        <v>3.5449999999999999</v>
      </c>
    </row>
    <row r="894" spans="1:2" x14ac:dyDescent="0.25">
      <c r="A894" s="1">
        <v>42891</v>
      </c>
      <c r="B894">
        <v>3.3275000000000001</v>
      </c>
    </row>
    <row r="895" spans="1:2" x14ac:dyDescent="0.25">
      <c r="A895" s="1">
        <v>42892</v>
      </c>
      <c r="B895">
        <v>3.5175000000000001</v>
      </c>
    </row>
    <row r="896" spans="1:2" x14ac:dyDescent="0.25">
      <c r="A896" s="1">
        <v>42893</v>
      </c>
      <c r="B896">
        <v>3.9325000000000001</v>
      </c>
    </row>
    <row r="897" spans="1:2" x14ac:dyDescent="0.25">
      <c r="A897" s="1">
        <v>42894</v>
      </c>
      <c r="B897">
        <v>3.6375000000000002</v>
      </c>
    </row>
    <row r="898" spans="1:2" x14ac:dyDescent="0.25">
      <c r="A898" s="1">
        <v>42895</v>
      </c>
      <c r="B898">
        <v>3.69</v>
      </c>
    </row>
    <row r="899" spans="1:2" x14ac:dyDescent="0.25">
      <c r="A899" s="1">
        <v>42898</v>
      </c>
      <c r="B899">
        <v>3.6549999999999998</v>
      </c>
    </row>
    <row r="900" spans="1:2" x14ac:dyDescent="0.25">
      <c r="A900" s="1">
        <v>42899</v>
      </c>
      <c r="B900">
        <v>3.6475</v>
      </c>
    </row>
    <row r="901" spans="1:2" x14ac:dyDescent="0.25">
      <c r="A901" s="1">
        <v>42900</v>
      </c>
      <c r="B901">
        <v>3.6425000000000001</v>
      </c>
    </row>
    <row r="902" spans="1:2" x14ac:dyDescent="0.25">
      <c r="A902" s="1">
        <v>42901</v>
      </c>
      <c r="B902">
        <v>3.6124999999999998</v>
      </c>
    </row>
    <row r="903" spans="1:2" x14ac:dyDescent="0.25">
      <c r="A903" s="1">
        <v>42902</v>
      </c>
      <c r="B903">
        <v>3.7925</v>
      </c>
    </row>
    <row r="904" spans="1:2" x14ac:dyDescent="0.25">
      <c r="A904" s="1">
        <v>42905</v>
      </c>
      <c r="B904">
        <v>3.6274999999999999</v>
      </c>
    </row>
    <row r="905" spans="1:2" x14ac:dyDescent="0.25">
      <c r="A905" s="1">
        <v>42906</v>
      </c>
      <c r="B905">
        <v>3.5350000000000001</v>
      </c>
    </row>
    <row r="906" spans="1:2" x14ac:dyDescent="0.25">
      <c r="A906" s="1">
        <v>42907</v>
      </c>
      <c r="B906">
        <v>3.5525000000000002</v>
      </c>
    </row>
    <row r="907" spans="1:2" x14ac:dyDescent="0.25">
      <c r="A907" s="1">
        <v>42908</v>
      </c>
      <c r="B907">
        <v>3.2250000000000001</v>
      </c>
    </row>
    <row r="908" spans="1:2" x14ac:dyDescent="0.25">
      <c r="A908" s="1">
        <v>42909</v>
      </c>
      <c r="B908">
        <v>3.08</v>
      </c>
    </row>
    <row r="909" spans="1:2" x14ac:dyDescent="0.25">
      <c r="A909" s="1">
        <v>42912</v>
      </c>
      <c r="B909">
        <v>3.06</v>
      </c>
    </row>
    <row r="910" spans="1:2" x14ac:dyDescent="0.25">
      <c r="A910" s="1">
        <v>42913</v>
      </c>
      <c r="B910">
        <v>3.26</v>
      </c>
    </row>
    <row r="911" spans="1:2" x14ac:dyDescent="0.25">
      <c r="A911" s="1">
        <v>42914</v>
      </c>
      <c r="B911">
        <v>3.56</v>
      </c>
    </row>
    <row r="912" spans="1:2" x14ac:dyDescent="0.25">
      <c r="A912" s="1">
        <v>42915</v>
      </c>
      <c r="B912">
        <v>3.5474999999999999</v>
      </c>
    </row>
    <row r="913" spans="1:2" x14ac:dyDescent="0.25">
      <c r="A913" s="1">
        <v>42916</v>
      </c>
      <c r="B913">
        <v>3.665</v>
      </c>
    </row>
    <row r="914" spans="1:2" x14ac:dyDescent="0.25">
      <c r="A914" s="1">
        <v>42919</v>
      </c>
      <c r="B914">
        <v>3.395</v>
      </c>
    </row>
    <row r="915" spans="1:2" x14ac:dyDescent="0.25">
      <c r="A915" s="1">
        <v>42920</v>
      </c>
      <c r="B915">
        <v>3.375</v>
      </c>
    </row>
    <row r="916" spans="1:2" x14ac:dyDescent="0.25">
      <c r="A916" s="1">
        <v>42921</v>
      </c>
      <c r="B916">
        <v>3.3824999999999998</v>
      </c>
    </row>
    <row r="917" spans="1:2" x14ac:dyDescent="0.25">
      <c r="A917" s="1">
        <v>42922</v>
      </c>
      <c r="B917">
        <v>3.2774999999999999</v>
      </c>
    </row>
    <row r="918" spans="1:2" x14ac:dyDescent="0.25">
      <c r="A918" s="1">
        <v>42923</v>
      </c>
      <c r="B918">
        <v>3.2875000000000001</v>
      </c>
    </row>
    <row r="919" spans="1:2" x14ac:dyDescent="0.25">
      <c r="A919" s="1">
        <v>42926</v>
      </c>
      <c r="B919">
        <v>3.2124999999999999</v>
      </c>
    </row>
    <row r="920" spans="1:2" x14ac:dyDescent="0.25">
      <c r="A920" s="1">
        <v>42927</v>
      </c>
      <c r="B920">
        <v>3.145</v>
      </c>
    </row>
    <row r="921" spans="1:2" x14ac:dyDescent="0.25">
      <c r="A921" s="1">
        <v>42928</v>
      </c>
      <c r="B921">
        <v>3.2749999999999999</v>
      </c>
    </row>
    <row r="922" spans="1:2" x14ac:dyDescent="0.25">
      <c r="A922" s="1">
        <v>42929</v>
      </c>
      <c r="B922">
        <v>3.3250000000000002</v>
      </c>
    </row>
    <row r="923" spans="1:2" x14ac:dyDescent="0.25">
      <c r="A923" s="1">
        <v>42930</v>
      </c>
      <c r="B923">
        <v>3.3525</v>
      </c>
    </row>
    <row r="924" spans="1:2" x14ac:dyDescent="0.25">
      <c r="A924" s="1">
        <v>42933</v>
      </c>
      <c r="B924">
        <v>3.49</v>
      </c>
    </row>
    <row r="925" spans="1:2" x14ac:dyDescent="0.25">
      <c r="A925" s="1">
        <v>42934</v>
      </c>
      <c r="B925">
        <v>3.58</v>
      </c>
    </row>
    <row r="926" spans="1:2" x14ac:dyDescent="0.25">
      <c r="A926" s="1">
        <v>42935</v>
      </c>
      <c r="B926">
        <v>3.7450000000000001</v>
      </c>
    </row>
    <row r="927" spans="1:2" x14ac:dyDescent="0.25">
      <c r="A927" s="1">
        <v>42936</v>
      </c>
      <c r="B927">
        <v>3.6524999999999999</v>
      </c>
    </row>
    <row r="928" spans="1:2" x14ac:dyDescent="0.25">
      <c r="A928" s="1">
        <v>42937</v>
      </c>
      <c r="B928">
        <v>3.51</v>
      </c>
    </row>
    <row r="929" spans="1:2" x14ac:dyDescent="0.25">
      <c r="A929" s="1">
        <v>42940</v>
      </c>
      <c r="B929">
        <v>3.43</v>
      </c>
    </row>
    <row r="930" spans="1:2" x14ac:dyDescent="0.25">
      <c r="A930" s="1">
        <v>42941</v>
      </c>
      <c r="B930">
        <v>3.3050000000000002</v>
      </c>
    </row>
    <row r="931" spans="1:2" x14ac:dyDescent="0.25">
      <c r="A931" s="1">
        <v>42942</v>
      </c>
      <c r="B931">
        <v>3.2774999999999999</v>
      </c>
    </row>
    <row r="932" spans="1:2" x14ac:dyDescent="0.25">
      <c r="A932" s="1">
        <v>42943</v>
      </c>
      <c r="B932">
        <v>3.3174999999999999</v>
      </c>
    </row>
    <row r="933" spans="1:2" x14ac:dyDescent="0.25">
      <c r="A933" s="1">
        <v>42944</v>
      </c>
      <c r="B933">
        <v>3.39</v>
      </c>
    </row>
    <row r="934" spans="1:2" x14ac:dyDescent="0.25">
      <c r="A934" s="1">
        <v>42947</v>
      </c>
      <c r="B934">
        <v>3.39</v>
      </c>
    </row>
    <row r="935" spans="1:2" x14ac:dyDescent="0.25">
      <c r="A935" s="1">
        <v>42948</v>
      </c>
      <c r="B935">
        <v>3.4525000000000001</v>
      </c>
    </row>
    <row r="936" spans="1:2" x14ac:dyDescent="0.25">
      <c r="A936" s="1">
        <v>42949</v>
      </c>
      <c r="B936">
        <v>3.4624999999999999</v>
      </c>
    </row>
    <row r="937" spans="1:2" x14ac:dyDescent="0.25">
      <c r="A937" s="1">
        <v>42950</v>
      </c>
      <c r="B937">
        <v>3.37</v>
      </c>
    </row>
    <row r="938" spans="1:2" x14ac:dyDescent="0.25">
      <c r="A938" s="1">
        <v>42951</v>
      </c>
      <c r="B938">
        <v>3.3149999999999999</v>
      </c>
    </row>
    <row r="939" spans="1:2" x14ac:dyDescent="0.25">
      <c r="A939" s="1">
        <v>42954</v>
      </c>
      <c r="B939">
        <v>3.14</v>
      </c>
    </row>
    <row r="940" spans="1:2" x14ac:dyDescent="0.25">
      <c r="A940" s="1">
        <v>42955</v>
      </c>
      <c r="B940">
        <v>3.21</v>
      </c>
    </row>
    <row r="941" spans="1:2" x14ac:dyDescent="0.25">
      <c r="A941" s="1">
        <v>42956</v>
      </c>
      <c r="B941">
        <v>3.665</v>
      </c>
    </row>
    <row r="942" spans="1:2" x14ac:dyDescent="0.25">
      <c r="A942" s="1">
        <v>42957</v>
      </c>
      <c r="B942">
        <v>3.7650000000000001</v>
      </c>
    </row>
    <row r="943" spans="1:2" x14ac:dyDescent="0.25">
      <c r="A943" s="1">
        <v>42958</v>
      </c>
      <c r="B943">
        <v>4.0549999999999997</v>
      </c>
    </row>
    <row r="944" spans="1:2" x14ac:dyDescent="0.25">
      <c r="A944" s="1">
        <v>42961</v>
      </c>
      <c r="B944">
        <v>3.8250000000000002</v>
      </c>
    </row>
    <row r="945" spans="1:2" x14ac:dyDescent="0.25">
      <c r="A945" s="1">
        <v>42962</v>
      </c>
      <c r="B945">
        <v>3.5249999999999999</v>
      </c>
    </row>
    <row r="946" spans="1:2" x14ac:dyDescent="0.25">
      <c r="A946" s="1">
        <v>42963</v>
      </c>
      <c r="B946">
        <v>3.78</v>
      </c>
    </row>
    <row r="947" spans="1:2" x14ac:dyDescent="0.25">
      <c r="A947" s="1">
        <v>42964</v>
      </c>
      <c r="B947">
        <v>3.65</v>
      </c>
    </row>
    <row r="948" spans="1:2" x14ac:dyDescent="0.25">
      <c r="A948" s="1">
        <v>42965</v>
      </c>
      <c r="B948">
        <v>3.5950000000000002</v>
      </c>
    </row>
    <row r="949" spans="1:2" x14ac:dyDescent="0.25">
      <c r="A949" s="1">
        <v>42968</v>
      </c>
      <c r="B949">
        <v>3.56</v>
      </c>
    </row>
    <row r="950" spans="1:2" x14ac:dyDescent="0.25">
      <c r="A950" s="1">
        <v>42969</v>
      </c>
      <c r="B950">
        <v>3.645</v>
      </c>
    </row>
    <row r="951" spans="1:2" x14ac:dyDescent="0.25">
      <c r="A951" s="1">
        <v>42970</v>
      </c>
      <c r="B951">
        <v>3.5649999999999999</v>
      </c>
    </row>
    <row r="952" spans="1:2" x14ac:dyDescent="0.25">
      <c r="A952" s="1">
        <v>42971</v>
      </c>
      <c r="B952">
        <v>3.51</v>
      </c>
    </row>
    <row r="953" spans="1:2" x14ac:dyDescent="0.25">
      <c r="A953" s="1">
        <v>42972</v>
      </c>
      <c r="B953">
        <v>3.4474999999999998</v>
      </c>
    </row>
    <row r="954" spans="1:2" x14ac:dyDescent="0.25">
      <c r="A954" s="1">
        <v>42975</v>
      </c>
      <c r="B954">
        <v>3.49</v>
      </c>
    </row>
    <row r="955" spans="1:2" x14ac:dyDescent="0.25">
      <c r="A955" s="1">
        <v>42976</v>
      </c>
      <c r="B955">
        <v>3.9525000000000001</v>
      </c>
    </row>
    <row r="956" spans="1:2" x14ac:dyDescent="0.25">
      <c r="A956" s="1">
        <v>42977</v>
      </c>
      <c r="B956">
        <v>4.1100000000000003</v>
      </c>
    </row>
    <row r="957" spans="1:2" x14ac:dyDescent="0.25">
      <c r="A957" s="1">
        <v>42978</v>
      </c>
      <c r="B957">
        <v>4.1150000000000002</v>
      </c>
    </row>
    <row r="958" spans="1:2" x14ac:dyDescent="0.25">
      <c r="A958" s="1">
        <v>42979</v>
      </c>
      <c r="B958">
        <v>4.33</v>
      </c>
    </row>
    <row r="959" spans="1:2" x14ac:dyDescent="0.25">
      <c r="A959" s="1">
        <v>42982</v>
      </c>
      <c r="B959">
        <v>4.8449999999999998</v>
      </c>
    </row>
    <row r="960" spans="1:2" x14ac:dyDescent="0.25">
      <c r="A960" s="1">
        <v>42983</v>
      </c>
      <c r="B960">
        <v>5.0949999999999998</v>
      </c>
    </row>
    <row r="961" spans="1:2" x14ac:dyDescent="0.25">
      <c r="A961" s="1">
        <v>42984</v>
      </c>
      <c r="B961">
        <v>4.8899999999999997</v>
      </c>
    </row>
    <row r="962" spans="1:2" x14ac:dyDescent="0.25">
      <c r="A962" s="1">
        <v>42985</v>
      </c>
      <c r="B962">
        <v>4.9050000000000002</v>
      </c>
    </row>
    <row r="963" spans="1:2" x14ac:dyDescent="0.25">
      <c r="A963" s="1">
        <v>42986</v>
      </c>
      <c r="B963">
        <v>5.91</v>
      </c>
    </row>
    <row r="964" spans="1:2" x14ac:dyDescent="0.25">
      <c r="A964" s="1">
        <v>42989</v>
      </c>
      <c r="B964">
        <v>5.5225</v>
      </c>
    </row>
    <row r="965" spans="1:2" x14ac:dyDescent="0.25">
      <c r="A965" s="1">
        <v>42990</v>
      </c>
      <c r="B965">
        <v>5.17</v>
      </c>
    </row>
    <row r="966" spans="1:2" x14ac:dyDescent="0.25">
      <c r="A966" s="1">
        <v>42991</v>
      </c>
      <c r="B966">
        <v>4.71</v>
      </c>
    </row>
    <row r="967" spans="1:2" x14ac:dyDescent="0.25">
      <c r="A967" s="1">
        <v>42992</v>
      </c>
      <c r="B967">
        <v>4.7</v>
      </c>
    </row>
    <row r="968" spans="1:2" x14ac:dyDescent="0.25">
      <c r="A968" s="1">
        <v>42993</v>
      </c>
      <c r="B968">
        <v>4.53</v>
      </c>
    </row>
    <row r="969" spans="1:2" x14ac:dyDescent="0.25">
      <c r="A969" s="1">
        <v>42996</v>
      </c>
      <c r="B969">
        <v>4.54</v>
      </c>
    </row>
    <row r="970" spans="1:2" x14ac:dyDescent="0.25">
      <c r="A970" s="1">
        <v>42997</v>
      </c>
      <c r="B970">
        <v>4.7850000000000001</v>
      </c>
    </row>
    <row r="971" spans="1:2" x14ac:dyDescent="0.25">
      <c r="A971" s="1">
        <v>42998</v>
      </c>
      <c r="B971">
        <v>4.8375000000000004</v>
      </c>
    </row>
    <row r="972" spans="1:2" x14ac:dyDescent="0.25">
      <c r="A972" s="1">
        <v>42999</v>
      </c>
      <c r="B972">
        <v>4.7850000000000001</v>
      </c>
    </row>
    <row r="973" spans="1:2" x14ac:dyDescent="0.25">
      <c r="A973" s="1">
        <v>43000</v>
      </c>
      <c r="B973">
        <v>4.8425000000000002</v>
      </c>
    </row>
    <row r="974" spans="1:2" x14ac:dyDescent="0.25">
      <c r="A974" s="1">
        <v>43003</v>
      </c>
      <c r="B974">
        <v>4.8975</v>
      </c>
    </row>
    <row r="975" spans="1:2" x14ac:dyDescent="0.25">
      <c r="A975" s="1">
        <v>43004</v>
      </c>
      <c r="B975">
        <v>5.2374999999999998</v>
      </c>
    </row>
    <row r="976" spans="1:2" x14ac:dyDescent="0.25">
      <c r="A976" s="1">
        <v>43005</v>
      </c>
      <c r="B976">
        <v>5.22</v>
      </c>
    </row>
    <row r="977" spans="1:2" x14ac:dyDescent="0.25">
      <c r="A977" s="1">
        <v>43006</v>
      </c>
      <c r="B977">
        <v>5.1275000000000004</v>
      </c>
    </row>
    <row r="978" spans="1:2" x14ac:dyDescent="0.25">
      <c r="A978" s="1">
        <v>43007</v>
      </c>
      <c r="B978">
        <v>4.93</v>
      </c>
    </row>
    <row r="979" spans="1:2" x14ac:dyDescent="0.25">
      <c r="A979" s="1">
        <v>43010</v>
      </c>
      <c r="B979">
        <v>4.9800000000000004</v>
      </c>
    </row>
    <row r="980" spans="1:2" x14ac:dyDescent="0.25">
      <c r="A980" s="1">
        <v>43011</v>
      </c>
      <c r="B980">
        <v>5.1524999999999999</v>
      </c>
    </row>
    <row r="981" spans="1:2" x14ac:dyDescent="0.25">
      <c r="A981" s="1">
        <v>43012</v>
      </c>
      <c r="B981">
        <v>5.46</v>
      </c>
    </row>
    <row r="982" spans="1:2" x14ac:dyDescent="0.25">
      <c r="A982" s="1">
        <v>43013</v>
      </c>
      <c r="B982">
        <v>5.4074999999999998</v>
      </c>
    </row>
    <row r="983" spans="1:2" x14ac:dyDescent="0.25">
      <c r="A983" s="1">
        <v>43014</v>
      </c>
      <c r="B983">
        <v>5.5175000000000001</v>
      </c>
    </row>
    <row r="984" spans="1:2" x14ac:dyDescent="0.25">
      <c r="A984" s="1">
        <v>43017</v>
      </c>
      <c r="B984">
        <v>5.67</v>
      </c>
    </row>
    <row r="985" spans="1:2" x14ac:dyDescent="0.25">
      <c r="A985" s="1">
        <v>43018</v>
      </c>
      <c r="B985">
        <v>5.9775</v>
      </c>
    </row>
    <row r="986" spans="1:2" x14ac:dyDescent="0.25">
      <c r="A986" s="1">
        <v>43019</v>
      </c>
      <c r="B986">
        <v>5.69</v>
      </c>
    </row>
    <row r="987" spans="1:2" x14ac:dyDescent="0.25">
      <c r="A987" s="1">
        <v>43020</v>
      </c>
      <c r="B987">
        <v>5.43</v>
      </c>
    </row>
    <row r="988" spans="1:2" x14ac:dyDescent="0.25">
      <c r="A988" s="1">
        <v>43021</v>
      </c>
      <c r="B988">
        <v>5.38</v>
      </c>
    </row>
    <row r="989" spans="1:2" x14ac:dyDescent="0.25">
      <c r="A989" s="1">
        <v>43024</v>
      </c>
      <c r="B989">
        <v>5.4275000000000002</v>
      </c>
    </row>
    <row r="990" spans="1:2" x14ac:dyDescent="0.25">
      <c r="A990" s="1">
        <v>43025</v>
      </c>
      <c r="B990">
        <v>5.68</v>
      </c>
    </row>
    <row r="991" spans="1:2" x14ac:dyDescent="0.25">
      <c r="A991" s="1">
        <v>43026</v>
      </c>
      <c r="B991">
        <v>5.6524999999999999</v>
      </c>
    </row>
    <row r="992" spans="1:2" x14ac:dyDescent="0.25">
      <c r="A992" s="1">
        <v>43027</v>
      </c>
      <c r="B992">
        <v>5.67</v>
      </c>
    </row>
    <row r="993" spans="1:2" x14ac:dyDescent="0.25">
      <c r="A993" s="1">
        <v>43028</v>
      </c>
      <c r="B993">
        <v>5.6275000000000004</v>
      </c>
    </row>
    <row r="994" spans="1:2" x14ac:dyDescent="0.25">
      <c r="A994" s="1">
        <v>43031</v>
      </c>
      <c r="B994">
        <v>5.63</v>
      </c>
    </row>
    <row r="995" spans="1:2" x14ac:dyDescent="0.25">
      <c r="A995" s="1">
        <v>43032</v>
      </c>
      <c r="B995">
        <v>5.34</v>
      </c>
    </row>
    <row r="996" spans="1:2" x14ac:dyDescent="0.25">
      <c r="A996" s="1">
        <v>43033</v>
      </c>
      <c r="B996">
        <v>5.14</v>
      </c>
    </row>
    <row r="997" spans="1:2" x14ac:dyDescent="0.25">
      <c r="A997" s="1">
        <v>43034</v>
      </c>
      <c r="B997">
        <v>4.9950000000000001</v>
      </c>
    </row>
    <row r="998" spans="1:2" x14ac:dyDescent="0.25">
      <c r="A998" s="1">
        <v>43035</v>
      </c>
      <c r="B998">
        <v>4.9550000000000001</v>
      </c>
    </row>
    <row r="999" spans="1:2" x14ac:dyDescent="0.25">
      <c r="A999" s="1">
        <v>43038</v>
      </c>
      <c r="B999">
        <v>4.8899999999999997</v>
      </c>
    </row>
    <row r="1000" spans="1:2" x14ac:dyDescent="0.25">
      <c r="A1000" s="1">
        <v>43039</v>
      </c>
      <c r="B1000">
        <v>4.84</v>
      </c>
    </row>
    <row r="1001" spans="1:2" x14ac:dyDescent="0.25">
      <c r="A1001" s="1">
        <v>43040</v>
      </c>
      <c r="B1001">
        <v>5.13</v>
      </c>
    </row>
    <row r="1002" spans="1:2" x14ac:dyDescent="0.25">
      <c r="A1002" s="1">
        <v>43041</v>
      </c>
      <c r="B1002">
        <v>5.1825000000000001</v>
      </c>
    </row>
    <row r="1003" spans="1:2" x14ac:dyDescent="0.25">
      <c r="A1003" s="1">
        <v>43042</v>
      </c>
      <c r="B1003">
        <v>4.9450000000000003</v>
      </c>
    </row>
    <row r="1004" spans="1:2" x14ac:dyDescent="0.25">
      <c r="A1004" s="1">
        <v>43045</v>
      </c>
      <c r="B1004">
        <v>4.84</v>
      </c>
    </row>
    <row r="1005" spans="1:2" x14ac:dyDescent="0.25">
      <c r="A1005" s="1">
        <v>43046</v>
      </c>
      <c r="B1005">
        <v>4.8224999999999998</v>
      </c>
    </row>
    <row r="1006" spans="1:2" x14ac:dyDescent="0.25">
      <c r="A1006" s="1">
        <v>43047</v>
      </c>
      <c r="B1006">
        <v>4.5350000000000001</v>
      </c>
    </row>
    <row r="1007" spans="1:2" x14ac:dyDescent="0.25">
      <c r="A1007" s="1">
        <v>43048</v>
      </c>
      <c r="B1007">
        <v>4.4000000000000004</v>
      </c>
    </row>
    <row r="1008" spans="1:2" x14ac:dyDescent="0.25">
      <c r="A1008" s="1">
        <v>43049</v>
      </c>
      <c r="B1008">
        <v>4.46</v>
      </c>
    </row>
    <row r="1009" spans="1:2" x14ac:dyDescent="0.25">
      <c r="A1009" s="1">
        <v>43052</v>
      </c>
      <c r="B1009">
        <v>4.5149999999999997</v>
      </c>
    </row>
    <row r="1010" spans="1:2" x14ac:dyDescent="0.25">
      <c r="A1010" s="1">
        <v>43053</v>
      </c>
      <c r="B1010">
        <v>4.5</v>
      </c>
    </row>
    <row r="1011" spans="1:2" x14ac:dyDescent="0.25">
      <c r="A1011" s="1">
        <v>43054</v>
      </c>
      <c r="B1011">
        <v>4.4124999999999996</v>
      </c>
    </row>
    <row r="1012" spans="1:2" x14ac:dyDescent="0.25">
      <c r="A1012" s="1">
        <v>43055</v>
      </c>
      <c r="B1012">
        <v>4.3075000000000001</v>
      </c>
    </row>
    <row r="1013" spans="1:2" x14ac:dyDescent="0.25">
      <c r="A1013" s="1">
        <v>43056</v>
      </c>
      <c r="B1013">
        <v>4.2474999999999996</v>
      </c>
    </row>
    <row r="1014" spans="1:2" x14ac:dyDescent="0.25">
      <c r="A1014" s="1">
        <v>43059</v>
      </c>
      <c r="B1014">
        <v>4.22</v>
      </c>
    </row>
    <row r="1015" spans="1:2" x14ac:dyDescent="0.25">
      <c r="A1015" s="1">
        <v>43060</v>
      </c>
      <c r="B1015">
        <v>3.9950000000000001</v>
      </c>
    </row>
    <row r="1016" spans="1:2" x14ac:dyDescent="0.25">
      <c r="A1016" s="1">
        <v>43061</v>
      </c>
      <c r="B1016">
        <v>4.2874999999999996</v>
      </c>
    </row>
    <row r="1017" spans="1:2" x14ac:dyDescent="0.25">
      <c r="A1017" s="1">
        <v>43062</v>
      </c>
      <c r="B1017">
        <v>4.4375</v>
      </c>
    </row>
    <row r="1018" spans="1:2" x14ac:dyDescent="0.25">
      <c r="A1018" s="1">
        <v>43063</v>
      </c>
      <c r="B1018">
        <v>4.4800000000000004</v>
      </c>
    </row>
    <row r="1019" spans="1:2" x14ac:dyDescent="0.25">
      <c r="A1019" s="1">
        <v>43066</v>
      </c>
      <c r="B1019">
        <v>4.3375000000000004</v>
      </c>
    </row>
    <row r="1020" spans="1:2" x14ac:dyDescent="0.25">
      <c r="A1020" s="1">
        <v>43067</v>
      </c>
      <c r="B1020">
        <v>4.1725000000000003</v>
      </c>
    </row>
    <row r="1021" spans="1:2" x14ac:dyDescent="0.25">
      <c r="A1021" s="1">
        <v>43068</v>
      </c>
      <c r="B1021">
        <v>4.2474999999999996</v>
      </c>
    </row>
    <row r="1022" spans="1:2" x14ac:dyDescent="0.25">
      <c r="A1022" s="1">
        <v>43069</v>
      </c>
      <c r="B1022">
        <v>4.08</v>
      </c>
    </row>
    <row r="1023" spans="1:2" x14ac:dyDescent="0.25">
      <c r="A1023" s="1">
        <v>43070</v>
      </c>
      <c r="B1023">
        <v>4.0374999999999996</v>
      </c>
    </row>
    <row r="1024" spans="1:2" x14ac:dyDescent="0.25">
      <c r="A1024" s="1">
        <v>43073</v>
      </c>
      <c r="B1024">
        <v>4.085</v>
      </c>
    </row>
    <row r="1025" spans="1:2" x14ac:dyDescent="0.25">
      <c r="A1025" s="1">
        <v>43074</v>
      </c>
      <c r="B1025">
        <v>4.16</v>
      </c>
    </row>
    <row r="1026" spans="1:2" x14ac:dyDescent="0.25">
      <c r="A1026" s="1">
        <v>43075</v>
      </c>
      <c r="B1026">
        <v>4.1224999999999996</v>
      </c>
    </row>
    <row r="1027" spans="1:2" x14ac:dyDescent="0.25">
      <c r="A1027" s="1">
        <v>43076</v>
      </c>
      <c r="B1027">
        <v>4.1224999999999996</v>
      </c>
    </row>
    <row r="1028" spans="1:2" x14ac:dyDescent="0.25">
      <c r="A1028" s="1">
        <v>43077</v>
      </c>
      <c r="B1028">
        <v>3.8849999999999998</v>
      </c>
    </row>
    <row r="1029" spans="1:2" x14ac:dyDescent="0.25">
      <c r="A1029" s="1">
        <v>43080</v>
      </c>
      <c r="B1029">
        <v>3.7374999999999998</v>
      </c>
    </row>
    <row r="1030" spans="1:2" x14ac:dyDescent="0.25">
      <c r="A1030" s="1">
        <v>43081</v>
      </c>
      <c r="B1030">
        <v>3.605</v>
      </c>
    </row>
    <row r="1031" spans="1:2" x14ac:dyDescent="0.25">
      <c r="A1031" s="1">
        <v>43082</v>
      </c>
      <c r="B1031">
        <v>3.5825</v>
      </c>
    </row>
    <row r="1032" spans="1:2" x14ac:dyDescent="0.25">
      <c r="A1032" s="1">
        <v>43083</v>
      </c>
      <c r="B1032">
        <v>3.5150000000000001</v>
      </c>
    </row>
    <row r="1033" spans="1:2" x14ac:dyDescent="0.25">
      <c r="A1033" s="1">
        <v>43084</v>
      </c>
      <c r="B1033">
        <v>3.49</v>
      </c>
    </row>
    <row r="1034" spans="1:2" x14ac:dyDescent="0.25">
      <c r="A1034" s="1">
        <v>43087</v>
      </c>
      <c r="B1034">
        <v>3.4950000000000001</v>
      </c>
    </row>
    <row r="1035" spans="1:2" x14ac:dyDescent="0.25">
      <c r="A1035" s="1">
        <v>43088</v>
      </c>
      <c r="B1035">
        <v>3.51</v>
      </c>
    </row>
    <row r="1036" spans="1:2" x14ac:dyDescent="0.25">
      <c r="A1036" s="1">
        <v>43089</v>
      </c>
      <c r="B1036">
        <v>3.9950000000000001</v>
      </c>
    </row>
    <row r="1037" spans="1:2" x14ac:dyDescent="0.25">
      <c r="A1037" s="1">
        <v>43090</v>
      </c>
      <c r="B1037">
        <v>4.1325000000000003</v>
      </c>
    </row>
    <row r="1038" spans="1:2" x14ac:dyDescent="0.25">
      <c r="A1038" s="1">
        <v>43091</v>
      </c>
      <c r="B1038">
        <v>4.08</v>
      </c>
    </row>
    <row r="1039" spans="1:2" x14ac:dyDescent="0.25">
      <c r="A1039" s="1">
        <v>43094</v>
      </c>
      <c r="B1039">
        <v>4.12</v>
      </c>
    </row>
    <row r="1040" spans="1:2" x14ac:dyDescent="0.25">
      <c r="A1040" s="1">
        <v>43095</v>
      </c>
      <c r="B1040">
        <v>4.2850000000000001</v>
      </c>
    </row>
    <row r="1041" spans="1:2" x14ac:dyDescent="0.25">
      <c r="A1041" s="1">
        <v>43096</v>
      </c>
      <c r="B1041">
        <v>4.18</v>
      </c>
    </row>
    <row r="1042" spans="1:2" x14ac:dyDescent="0.25">
      <c r="A1042" s="1">
        <v>43097</v>
      </c>
      <c r="B1042">
        <v>4.2774999999999999</v>
      </c>
    </row>
    <row r="1043" spans="1:2" x14ac:dyDescent="0.25">
      <c r="A1043" s="1">
        <v>43098</v>
      </c>
      <c r="B1043">
        <v>4.3975</v>
      </c>
    </row>
    <row r="1044" spans="1:2" x14ac:dyDescent="0.25">
      <c r="A1044" s="1">
        <v>43101</v>
      </c>
      <c r="B1044">
        <v>4.47</v>
      </c>
    </row>
    <row r="1045" spans="1:2" x14ac:dyDescent="0.25">
      <c r="A1045" s="1">
        <v>43102</v>
      </c>
      <c r="B1045">
        <v>4.6074999999999999</v>
      </c>
    </row>
    <row r="1046" spans="1:2" x14ac:dyDescent="0.25">
      <c r="A1046" s="1">
        <v>43103</v>
      </c>
      <c r="B1046">
        <v>4.3849999999999998</v>
      </c>
    </row>
    <row r="1047" spans="1:2" x14ac:dyDescent="0.25">
      <c r="A1047" s="1">
        <v>43104</v>
      </c>
      <c r="B1047">
        <v>4.0925000000000002</v>
      </c>
    </row>
    <row r="1048" spans="1:2" x14ac:dyDescent="0.25">
      <c r="A1048" s="1">
        <v>43105</v>
      </c>
      <c r="B1048">
        <v>4.2074999999999996</v>
      </c>
    </row>
    <row r="1049" spans="1:2" x14ac:dyDescent="0.25">
      <c r="A1049" s="1">
        <v>43108</v>
      </c>
      <c r="B1049">
        <v>4.1174999999999997</v>
      </c>
    </row>
    <row r="1050" spans="1:2" x14ac:dyDescent="0.25">
      <c r="A1050" s="1">
        <v>43109</v>
      </c>
      <c r="B1050">
        <v>4.4574999999999996</v>
      </c>
    </row>
    <row r="1051" spans="1:2" x14ac:dyDescent="0.25">
      <c r="A1051" s="1">
        <v>43110</v>
      </c>
      <c r="B1051">
        <v>4.3250000000000002</v>
      </c>
    </row>
    <row r="1052" spans="1:2" x14ac:dyDescent="0.25">
      <c r="A1052" s="1">
        <v>43111</v>
      </c>
      <c r="B1052">
        <v>4.0724999999999998</v>
      </c>
    </row>
    <row r="1053" spans="1:2" x14ac:dyDescent="0.25">
      <c r="A1053" s="1">
        <v>43112</v>
      </c>
      <c r="B1053">
        <v>4.375</v>
      </c>
    </row>
    <row r="1054" spans="1:2" x14ac:dyDescent="0.25">
      <c r="A1054" s="1">
        <v>43115</v>
      </c>
      <c r="B1054">
        <v>4.84</v>
      </c>
    </row>
    <row r="1055" spans="1:2" x14ac:dyDescent="0.25">
      <c r="A1055" s="1">
        <v>43116</v>
      </c>
      <c r="B1055">
        <v>4.8499999999999996</v>
      </c>
    </row>
    <row r="1056" spans="1:2" x14ac:dyDescent="0.25">
      <c r="A1056" s="1">
        <v>43117</v>
      </c>
      <c r="B1056">
        <v>4.9349999999999996</v>
      </c>
    </row>
    <row r="1057" spans="1:2" x14ac:dyDescent="0.25">
      <c r="A1057" s="1">
        <v>43118</v>
      </c>
      <c r="B1057">
        <v>4.7350000000000003</v>
      </c>
    </row>
    <row r="1058" spans="1:2" x14ac:dyDescent="0.25">
      <c r="A1058" s="1">
        <v>43119</v>
      </c>
      <c r="B1058">
        <v>5.1224999999999996</v>
      </c>
    </row>
    <row r="1059" spans="1:2" x14ac:dyDescent="0.25">
      <c r="A1059" s="1">
        <v>43122</v>
      </c>
      <c r="B1059">
        <v>4.9874999999999998</v>
      </c>
    </row>
    <row r="1060" spans="1:2" x14ac:dyDescent="0.25">
      <c r="A1060" s="1">
        <v>43123</v>
      </c>
      <c r="B1060">
        <v>5.0199999999999996</v>
      </c>
    </row>
    <row r="1061" spans="1:2" x14ac:dyDescent="0.25">
      <c r="A1061" s="1">
        <v>43124</v>
      </c>
      <c r="B1061">
        <v>5.2575000000000003</v>
      </c>
    </row>
    <row r="1062" spans="1:2" x14ac:dyDescent="0.25">
      <c r="A1062" s="1">
        <v>43125</v>
      </c>
      <c r="B1062">
        <v>5.73</v>
      </c>
    </row>
    <row r="1063" spans="1:2" x14ac:dyDescent="0.25">
      <c r="A1063" s="1">
        <v>43126</v>
      </c>
      <c r="B1063">
        <v>5.5724999999999998</v>
      </c>
    </row>
    <row r="1064" spans="1:2" x14ac:dyDescent="0.25">
      <c r="A1064" s="1">
        <v>43129</v>
      </c>
      <c r="B1064">
        <v>5.44</v>
      </c>
    </row>
    <row r="1065" spans="1:2" x14ac:dyDescent="0.25">
      <c r="A1065" s="1">
        <v>43130</v>
      </c>
      <c r="B1065">
        <v>5.4924999999999997</v>
      </c>
    </row>
    <row r="1066" spans="1:2" x14ac:dyDescent="0.25">
      <c r="A1066" s="1">
        <v>43131</v>
      </c>
      <c r="B1066">
        <v>5.7675000000000001</v>
      </c>
    </row>
    <row r="1067" spans="1:2" x14ac:dyDescent="0.25">
      <c r="A1067" s="1">
        <v>43132</v>
      </c>
      <c r="B1067">
        <v>5.95</v>
      </c>
    </row>
    <row r="1068" spans="1:2" x14ac:dyDescent="0.25">
      <c r="A1068" s="1">
        <v>43133</v>
      </c>
      <c r="B1068">
        <v>6.0475000000000003</v>
      </c>
    </row>
    <row r="1069" spans="1:2" x14ac:dyDescent="0.25">
      <c r="A1069" s="1">
        <v>43136</v>
      </c>
      <c r="B1069">
        <v>5.88</v>
      </c>
    </row>
    <row r="1070" spans="1:2" x14ac:dyDescent="0.25">
      <c r="A1070" s="1">
        <v>43137</v>
      </c>
      <c r="B1070">
        <v>6.2575000000000003</v>
      </c>
    </row>
    <row r="1071" spans="1:2" x14ac:dyDescent="0.25">
      <c r="A1071" s="1">
        <v>43138</v>
      </c>
      <c r="B1071">
        <v>6.3650000000000002</v>
      </c>
    </row>
    <row r="1072" spans="1:2" x14ac:dyDescent="0.25">
      <c r="A1072" s="1">
        <v>43139</v>
      </c>
      <c r="B1072">
        <v>7.7424999999999997</v>
      </c>
    </row>
    <row r="1073" spans="1:2" x14ac:dyDescent="0.25">
      <c r="A1073" s="1">
        <v>43140</v>
      </c>
      <c r="B1073">
        <v>6.7350000000000003</v>
      </c>
    </row>
    <row r="1074" spans="1:2" x14ac:dyDescent="0.25">
      <c r="A1074" s="1">
        <v>43143</v>
      </c>
      <c r="B1074">
        <v>6.415</v>
      </c>
    </row>
    <row r="1075" spans="1:2" x14ac:dyDescent="0.25">
      <c r="A1075" s="1">
        <v>43144</v>
      </c>
      <c r="B1075">
        <v>6.2350000000000003</v>
      </c>
    </row>
    <row r="1076" spans="1:2" x14ac:dyDescent="0.25">
      <c r="A1076" s="1">
        <v>43145</v>
      </c>
      <c r="B1076">
        <v>6.2149999999999999</v>
      </c>
    </row>
    <row r="1077" spans="1:2" x14ac:dyDescent="0.25">
      <c r="A1077" s="1">
        <v>43146</v>
      </c>
      <c r="B1077">
        <v>6.165</v>
      </c>
    </row>
    <row r="1078" spans="1:2" x14ac:dyDescent="0.25">
      <c r="A1078" s="1">
        <v>43147</v>
      </c>
      <c r="B1078">
        <v>6.1725000000000003</v>
      </c>
    </row>
    <row r="1079" spans="1:2" x14ac:dyDescent="0.25">
      <c r="A1079" s="1">
        <v>43150</v>
      </c>
      <c r="B1079">
        <v>6.1974999999999998</v>
      </c>
    </row>
    <row r="1080" spans="1:2" x14ac:dyDescent="0.25">
      <c r="A1080" s="1">
        <v>43151</v>
      </c>
      <c r="B1080">
        <v>6.0750000000000002</v>
      </c>
    </row>
    <row r="1081" spans="1:2" x14ac:dyDescent="0.25">
      <c r="A1081" s="1">
        <v>43152</v>
      </c>
      <c r="B1081">
        <v>6.1</v>
      </c>
    </row>
    <row r="1082" spans="1:2" x14ac:dyDescent="0.25">
      <c r="A1082" s="1">
        <v>43153</v>
      </c>
      <c r="B1082">
        <v>6.2925000000000004</v>
      </c>
    </row>
    <row r="1083" spans="1:2" x14ac:dyDescent="0.25">
      <c r="A1083" s="1">
        <v>43154</v>
      </c>
      <c r="B1083">
        <v>5.96</v>
      </c>
    </row>
    <row r="1084" spans="1:2" x14ac:dyDescent="0.25">
      <c r="A1084" s="1">
        <v>43157</v>
      </c>
      <c r="B1084">
        <v>5.85</v>
      </c>
    </row>
    <row r="1085" spans="1:2" x14ac:dyDescent="0.25">
      <c r="A1085" s="1">
        <v>43158</v>
      </c>
      <c r="B1085">
        <v>5.6875</v>
      </c>
    </row>
    <row r="1086" spans="1:2" x14ac:dyDescent="0.25">
      <c r="A1086" s="1">
        <v>43159</v>
      </c>
      <c r="B1086">
        <v>5.6025</v>
      </c>
    </row>
    <row r="1087" spans="1:2" x14ac:dyDescent="0.25">
      <c r="A1087" s="1">
        <v>43160</v>
      </c>
      <c r="B1087">
        <v>5.8</v>
      </c>
    </row>
    <row r="1088" spans="1:2" x14ac:dyDescent="0.25">
      <c r="A1088" s="1">
        <v>43161</v>
      </c>
      <c r="B1088">
        <v>5.7050000000000001</v>
      </c>
    </row>
    <row r="1089" spans="1:2" x14ac:dyDescent="0.25">
      <c r="A1089" s="1">
        <v>43164</v>
      </c>
      <c r="B1089">
        <v>5.5</v>
      </c>
    </row>
    <row r="1090" spans="1:2" x14ac:dyDescent="0.25">
      <c r="A1090" s="1">
        <v>43165</v>
      </c>
      <c r="B1090">
        <v>5.3224999999999998</v>
      </c>
    </row>
    <row r="1091" spans="1:2" x14ac:dyDescent="0.25">
      <c r="A1091" s="1">
        <v>43166</v>
      </c>
      <c r="B1091">
        <v>4.9874999999999998</v>
      </c>
    </row>
    <row r="1092" spans="1:2" x14ac:dyDescent="0.25">
      <c r="A1092" s="1">
        <v>43167</v>
      </c>
      <c r="B1092">
        <v>5.04</v>
      </c>
    </row>
    <row r="1093" spans="1:2" x14ac:dyDescent="0.25">
      <c r="A1093" s="1">
        <v>43168</v>
      </c>
      <c r="B1093">
        <v>5.0199999999999996</v>
      </c>
    </row>
    <row r="1094" spans="1:2" x14ac:dyDescent="0.25">
      <c r="A1094" s="1">
        <v>43171</v>
      </c>
      <c r="B1094">
        <v>4.9124999999999996</v>
      </c>
    </row>
    <row r="1095" spans="1:2" x14ac:dyDescent="0.25">
      <c r="A1095" s="1">
        <v>43172</v>
      </c>
      <c r="B1095">
        <v>4.8224999999999998</v>
      </c>
    </row>
    <row r="1096" spans="1:2" x14ac:dyDescent="0.25">
      <c r="A1096" s="1">
        <v>43173</v>
      </c>
      <c r="B1096">
        <v>4.7725</v>
      </c>
    </row>
    <row r="1097" spans="1:2" x14ac:dyDescent="0.25">
      <c r="A1097" s="1">
        <v>43174</v>
      </c>
      <c r="B1097">
        <v>4.92</v>
      </c>
    </row>
    <row r="1098" spans="1:2" x14ac:dyDescent="0.25">
      <c r="A1098" s="1">
        <v>43175</v>
      </c>
      <c r="B1098">
        <v>4.8674999999999997</v>
      </c>
    </row>
    <row r="1099" spans="1:2" x14ac:dyDescent="0.25">
      <c r="A1099" s="1">
        <v>43178</v>
      </c>
      <c r="B1099">
        <v>4.9725000000000001</v>
      </c>
    </row>
    <row r="1100" spans="1:2" x14ac:dyDescent="0.25">
      <c r="A1100" s="1">
        <v>43179</v>
      </c>
      <c r="B1100">
        <v>4.8525</v>
      </c>
    </row>
    <row r="1101" spans="1:2" x14ac:dyDescent="0.25">
      <c r="A1101" s="1">
        <v>43180</v>
      </c>
      <c r="B1101">
        <v>4.6174999999999997</v>
      </c>
    </row>
    <row r="1102" spans="1:2" x14ac:dyDescent="0.25">
      <c r="A1102" s="1">
        <v>43181</v>
      </c>
      <c r="B1102">
        <v>4.5250000000000004</v>
      </c>
    </row>
    <row r="1103" spans="1:2" x14ac:dyDescent="0.25">
      <c r="A1103" s="1">
        <v>43182</v>
      </c>
      <c r="B1103">
        <v>4.5575000000000001</v>
      </c>
    </row>
    <row r="1104" spans="1:2" x14ac:dyDescent="0.25">
      <c r="A1104" s="1">
        <v>43185</v>
      </c>
      <c r="B1104">
        <v>5</v>
      </c>
    </row>
    <row r="1105" spans="1:2" x14ac:dyDescent="0.25">
      <c r="A1105" s="1">
        <v>43186</v>
      </c>
      <c r="B1105">
        <v>5.4024999999999999</v>
      </c>
    </row>
    <row r="1106" spans="1:2" x14ac:dyDescent="0.25">
      <c r="A1106" s="1">
        <v>43187</v>
      </c>
      <c r="B1106">
        <v>5.3475000000000001</v>
      </c>
    </row>
    <row r="1107" spans="1:2" x14ac:dyDescent="0.25">
      <c r="A1107" s="1">
        <v>43188</v>
      </c>
      <c r="B1107">
        <v>5.1950000000000003</v>
      </c>
    </row>
    <row r="1108" spans="1:2" x14ac:dyDescent="0.25">
      <c r="A1108" s="1">
        <v>43189</v>
      </c>
      <c r="B1108">
        <v>5.0949999999999998</v>
      </c>
    </row>
    <row r="1109" spans="1:2" x14ac:dyDescent="0.25">
      <c r="A1109" s="1">
        <v>43192</v>
      </c>
      <c r="B1109">
        <v>5.1524999999999999</v>
      </c>
    </row>
    <row r="1110" spans="1:2" x14ac:dyDescent="0.25">
      <c r="A1110" s="1">
        <v>43193</v>
      </c>
      <c r="B1110">
        <v>4.96</v>
      </c>
    </row>
    <row r="1111" spans="1:2" x14ac:dyDescent="0.25">
      <c r="A1111" s="1">
        <v>43194</v>
      </c>
      <c r="B1111">
        <v>4.9649999999999999</v>
      </c>
    </row>
    <row r="1112" spans="1:2" x14ac:dyDescent="0.25">
      <c r="A1112" s="1">
        <v>43195</v>
      </c>
      <c r="B1112">
        <v>4.9074999999999998</v>
      </c>
    </row>
    <row r="1113" spans="1:2" x14ac:dyDescent="0.25">
      <c r="A1113" s="1">
        <v>43196</v>
      </c>
      <c r="B1113">
        <v>5.0549999999999997</v>
      </c>
    </row>
    <row r="1114" spans="1:2" x14ac:dyDescent="0.25">
      <c r="A1114" s="1">
        <v>43199</v>
      </c>
      <c r="B1114">
        <v>5.2</v>
      </c>
    </row>
    <row r="1115" spans="1:2" x14ac:dyDescent="0.25">
      <c r="A1115" s="1">
        <v>43200</v>
      </c>
      <c r="B1115">
        <v>5.08</v>
      </c>
    </row>
    <row r="1116" spans="1:2" x14ac:dyDescent="0.25">
      <c r="A1116" s="1">
        <v>43201</v>
      </c>
      <c r="B1116">
        <v>4.9474999999999998</v>
      </c>
    </row>
    <row r="1117" spans="1:2" x14ac:dyDescent="0.25">
      <c r="A1117" s="1">
        <v>43202</v>
      </c>
      <c r="B1117">
        <v>4.7725</v>
      </c>
    </row>
    <row r="1118" spans="1:2" x14ac:dyDescent="0.25">
      <c r="A1118" s="1">
        <v>43203</v>
      </c>
      <c r="B1118">
        <v>4.4275000000000002</v>
      </c>
    </row>
    <row r="1119" spans="1:2" x14ac:dyDescent="0.25">
      <c r="A1119" s="1">
        <v>43206</v>
      </c>
      <c r="B1119">
        <v>4.49</v>
      </c>
    </row>
    <row r="1120" spans="1:2" x14ac:dyDescent="0.25">
      <c r="A1120" s="1">
        <v>43207</v>
      </c>
      <c r="B1120">
        <v>4.4550000000000001</v>
      </c>
    </row>
    <row r="1121" spans="1:2" x14ac:dyDescent="0.25">
      <c r="A1121" s="1">
        <v>43208</v>
      </c>
      <c r="B1121">
        <v>4.4725000000000001</v>
      </c>
    </row>
    <row r="1122" spans="1:2" x14ac:dyDescent="0.25">
      <c r="A1122" s="1">
        <v>43209</v>
      </c>
      <c r="B1122">
        <v>4.3875000000000002</v>
      </c>
    </row>
    <row r="1123" spans="1:2" x14ac:dyDescent="0.25">
      <c r="A1123" s="1">
        <v>43210</v>
      </c>
      <c r="B1123">
        <v>4.4050000000000002</v>
      </c>
    </row>
    <row r="1124" spans="1:2" x14ac:dyDescent="0.25">
      <c r="A1124" s="1">
        <v>43213</v>
      </c>
      <c r="B1124">
        <v>4.7549999999999999</v>
      </c>
    </row>
    <row r="1125" spans="1:2" x14ac:dyDescent="0.25">
      <c r="A1125" s="1">
        <v>43214</v>
      </c>
      <c r="B1125">
        <v>4.76</v>
      </c>
    </row>
    <row r="1126" spans="1:2" x14ac:dyDescent="0.25">
      <c r="A1126" s="1">
        <v>43215</v>
      </c>
      <c r="B1126">
        <v>4.7424999999999997</v>
      </c>
    </row>
    <row r="1127" spans="1:2" x14ac:dyDescent="0.25">
      <c r="A1127" s="1">
        <v>43216</v>
      </c>
      <c r="B1127">
        <v>4.74</v>
      </c>
    </row>
    <row r="1128" spans="1:2" x14ac:dyDescent="0.25">
      <c r="A1128" s="1">
        <v>43217</v>
      </c>
      <c r="B1128">
        <v>4.7750000000000004</v>
      </c>
    </row>
    <row r="1129" spans="1:2" x14ac:dyDescent="0.25">
      <c r="A1129" s="1">
        <v>43220</v>
      </c>
      <c r="B1129">
        <v>4.7</v>
      </c>
    </row>
    <row r="1130" spans="1:2" x14ac:dyDescent="0.25">
      <c r="A1130" s="1">
        <v>43221</v>
      </c>
      <c r="B1130">
        <v>4.78</v>
      </c>
    </row>
    <row r="1131" spans="1:2" x14ac:dyDescent="0.25">
      <c r="A1131" s="1">
        <v>43222</v>
      </c>
      <c r="B1131">
        <v>5.1849999999999996</v>
      </c>
    </row>
    <row r="1132" spans="1:2" x14ac:dyDescent="0.25">
      <c r="A1132" s="1">
        <v>43223</v>
      </c>
      <c r="B1132">
        <v>5.0049999999999999</v>
      </c>
    </row>
    <row r="1133" spans="1:2" x14ac:dyDescent="0.25">
      <c r="A1133" s="1">
        <v>43224</v>
      </c>
      <c r="B1133">
        <v>5.0324999999999998</v>
      </c>
    </row>
    <row r="1134" spans="1:2" x14ac:dyDescent="0.25">
      <c r="A1134" s="1">
        <v>43227</v>
      </c>
      <c r="B1134">
        <v>5.0650000000000004</v>
      </c>
    </row>
    <row r="1135" spans="1:2" x14ac:dyDescent="0.25">
      <c r="A1135" s="1">
        <v>43228</v>
      </c>
      <c r="B1135">
        <v>5.01</v>
      </c>
    </row>
    <row r="1136" spans="1:2" x14ac:dyDescent="0.25">
      <c r="A1136" s="1">
        <v>43229</v>
      </c>
      <c r="B1136">
        <v>5.01</v>
      </c>
    </row>
    <row r="1137" spans="1:2" x14ac:dyDescent="0.25">
      <c r="A1137" s="1">
        <v>43230</v>
      </c>
      <c r="B1137">
        <v>4.72</v>
      </c>
    </row>
    <row r="1138" spans="1:2" x14ac:dyDescent="0.25">
      <c r="A1138" s="1">
        <v>43231</v>
      </c>
      <c r="B1138">
        <v>4.4400000000000004</v>
      </c>
    </row>
    <row r="1139" spans="1:2" x14ac:dyDescent="0.25">
      <c r="A1139" s="1">
        <v>43234</v>
      </c>
      <c r="B1139">
        <v>4.4574999999999996</v>
      </c>
    </row>
    <row r="1140" spans="1:2" x14ac:dyDescent="0.25">
      <c r="A1140" s="1">
        <v>43235</v>
      </c>
      <c r="B1140">
        <v>4.5949999999999998</v>
      </c>
    </row>
    <row r="1141" spans="1:2" x14ac:dyDescent="0.25">
      <c r="A1141" s="1">
        <v>43236</v>
      </c>
      <c r="B1141">
        <v>4.72</v>
      </c>
    </row>
    <row r="1142" spans="1:2" x14ac:dyDescent="0.25">
      <c r="A1142" s="1">
        <v>43237</v>
      </c>
      <c r="B1142">
        <v>4.5449999999999999</v>
      </c>
    </row>
    <row r="1143" spans="1:2" x14ac:dyDescent="0.25">
      <c r="A1143" s="1">
        <v>43238</v>
      </c>
      <c r="B1143">
        <v>4.4349999999999996</v>
      </c>
    </row>
    <row r="1144" spans="1:2" x14ac:dyDescent="0.25">
      <c r="A1144" s="1">
        <v>43241</v>
      </c>
      <c r="B1144">
        <v>4.5724999999999998</v>
      </c>
    </row>
    <row r="1145" spans="1:2" x14ac:dyDescent="0.25">
      <c r="A1145" s="1">
        <v>43242</v>
      </c>
      <c r="B1145">
        <v>4.4474999999999998</v>
      </c>
    </row>
    <row r="1146" spans="1:2" x14ac:dyDescent="0.25">
      <c r="A1146" s="1">
        <v>43243</v>
      </c>
      <c r="B1146">
        <v>4.5674999999999999</v>
      </c>
    </row>
    <row r="1147" spans="1:2" x14ac:dyDescent="0.25">
      <c r="A1147" s="1">
        <v>43244</v>
      </c>
      <c r="B1147">
        <v>4.5199999999999996</v>
      </c>
    </row>
    <row r="1148" spans="1:2" x14ac:dyDescent="0.25">
      <c r="A1148" s="1">
        <v>43245</v>
      </c>
      <c r="B1148">
        <v>4.3425000000000002</v>
      </c>
    </row>
    <row r="1149" spans="1:2" x14ac:dyDescent="0.25">
      <c r="A1149" s="1">
        <v>43248</v>
      </c>
      <c r="B1149">
        <v>4.4024999999999999</v>
      </c>
    </row>
    <row r="1150" spans="1:2" x14ac:dyDescent="0.25">
      <c r="A1150" s="1">
        <v>43249</v>
      </c>
      <c r="B1150">
        <v>4.875</v>
      </c>
    </row>
    <row r="1151" spans="1:2" x14ac:dyDescent="0.25">
      <c r="A1151" s="1">
        <v>43250</v>
      </c>
      <c r="B1151">
        <v>4.71</v>
      </c>
    </row>
    <row r="1152" spans="1:2" x14ac:dyDescent="0.25">
      <c r="A1152" s="1">
        <v>43251</v>
      </c>
      <c r="B1152">
        <v>4.4749999999999996</v>
      </c>
    </row>
    <row r="1153" spans="1:2" x14ac:dyDescent="0.25">
      <c r="A1153" s="1">
        <v>43252</v>
      </c>
      <c r="B1153">
        <v>4.4050000000000002</v>
      </c>
    </row>
    <row r="1154" spans="1:2" x14ac:dyDescent="0.25">
      <c r="A1154" s="1">
        <v>43255</v>
      </c>
      <c r="B1154">
        <v>4.3525</v>
      </c>
    </row>
    <row r="1155" spans="1:2" x14ac:dyDescent="0.25">
      <c r="A1155" s="1">
        <v>43256</v>
      </c>
      <c r="B1155">
        <v>4.1725000000000003</v>
      </c>
    </row>
    <row r="1156" spans="1:2" x14ac:dyDescent="0.25">
      <c r="A1156" s="1">
        <v>43257</v>
      </c>
      <c r="B1156">
        <v>4.0999999999999996</v>
      </c>
    </row>
    <row r="1157" spans="1:2" x14ac:dyDescent="0.25">
      <c r="A1157" s="1">
        <v>43258</v>
      </c>
      <c r="B1157">
        <v>4.0774999999999997</v>
      </c>
    </row>
    <row r="1158" spans="1:2" x14ac:dyDescent="0.25">
      <c r="A1158" s="1">
        <v>43259</v>
      </c>
      <c r="B1158">
        <v>4.26</v>
      </c>
    </row>
    <row r="1159" spans="1:2" x14ac:dyDescent="0.25">
      <c r="A1159" s="1">
        <v>43262</v>
      </c>
      <c r="B1159">
        <v>4.2549999999999999</v>
      </c>
    </row>
    <row r="1160" spans="1:2" x14ac:dyDescent="0.25">
      <c r="A1160" s="1">
        <v>43263</v>
      </c>
      <c r="B1160">
        <v>4.1550000000000002</v>
      </c>
    </row>
    <row r="1161" spans="1:2" x14ac:dyDescent="0.25">
      <c r="A1161" s="1">
        <v>43264</v>
      </c>
      <c r="B1161">
        <v>4.0925000000000002</v>
      </c>
    </row>
    <row r="1162" spans="1:2" x14ac:dyDescent="0.25">
      <c r="A1162" s="1">
        <v>43265</v>
      </c>
      <c r="B1162">
        <v>3.9</v>
      </c>
    </row>
    <row r="1163" spans="1:2" x14ac:dyDescent="0.25">
      <c r="A1163" s="1">
        <v>43266</v>
      </c>
      <c r="B1163">
        <v>4.4074999999999998</v>
      </c>
    </row>
    <row r="1164" spans="1:2" x14ac:dyDescent="0.25">
      <c r="A1164" s="1">
        <v>43269</v>
      </c>
      <c r="B1164">
        <v>4.8250000000000002</v>
      </c>
    </row>
    <row r="1165" spans="1:2" x14ac:dyDescent="0.25">
      <c r="A1165" s="1">
        <v>43270</v>
      </c>
      <c r="B1165">
        <v>5.1749999999999998</v>
      </c>
    </row>
    <row r="1166" spans="1:2" x14ac:dyDescent="0.25">
      <c r="A1166" s="1">
        <v>43271</v>
      </c>
      <c r="B1166">
        <v>4.7824999999999998</v>
      </c>
    </row>
    <row r="1167" spans="1:2" x14ac:dyDescent="0.25">
      <c r="A1167" s="1">
        <v>43272</v>
      </c>
      <c r="B1167">
        <v>5.1849999999999996</v>
      </c>
    </row>
    <row r="1168" spans="1:2" x14ac:dyDescent="0.25">
      <c r="A1168" s="1">
        <v>43273</v>
      </c>
      <c r="B1168">
        <v>4.9225000000000003</v>
      </c>
    </row>
    <row r="1169" spans="1:2" x14ac:dyDescent="0.25">
      <c r="A1169" s="1">
        <v>43276</v>
      </c>
      <c r="B1169">
        <v>5.39</v>
      </c>
    </row>
    <row r="1170" spans="1:2" x14ac:dyDescent="0.25">
      <c r="A1170" s="1">
        <v>43277</v>
      </c>
      <c r="B1170">
        <v>5.5324999999999998</v>
      </c>
    </row>
    <row r="1171" spans="1:2" x14ac:dyDescent="0.25">
      <c r="A1171" s="1">
        <v>43278</v>
      </c>
      <c r="B1171">
        <v>6.1849999999999996</v>
      </c>
    </row>
    <row r="1172" spans="1:2" x14ac:dyDescent="0.25">
      <c r="A1172" s="1">
        <v>43279</v>
      </c>
      <c r="B1172">
        <v>6.37</v>
      </c>
    </row>
    <row r="1173" spans="1:2" x14ac:dyDescent="0.25">
      <c r="A1173" s="1">
        <v>43280</v>
      </c>
      <c r="B1173">
        <v>5.9625000000000004</v>
      </c>
    </row>
    <row r="1174" spans="1:2" x14ac:dyDescent="0.25">
      <c r="A1174" s="1">
        <v>43283</v>
      </c>
      <c r="B1174">
        <v>6.6074999999999999</v>
      </c>
    </row>
    <row r="1175" spans="1:2" x14ac:dyDescent="0.25">
      <c r="A1175" s="1">
        <v>43284</v>
      </c>
      <c r="B1175">
        <v>6.75</v>
      </c>
    </row>
    <row r="1176" spans="1:2" x14ac:dyDescent="0.25">
      <c r="A1176" s="1">
        <v>43285</v>
      </c>
      <c r="B1176">
        <v>6.375</v>
      </c>
    </row>
    <row r="1177" spans="1:2" x14ac:dyDescent="0.25">
      <c r="A1177" s="1">
        <v>43286</v>
      </c>
      <c r="B1177">
        <v>5.97</v>
      </c>
    </row>
    <row r="1178" spans="1:2" x14ac:dyDescent="0.25">
      <c r="A1178" s="1">
        <v>43287</v>
      </c>
      <c r="B1178">
        <v>5.8875000000000002</v>
      </c>
    </row>
    <row r="1179" spans="1:2" x14ac:dyDescent="0.25">
      <c r="A1179" s="1">
        <v>43290</v>
      </c>
      <c r="B1179">
        <v>5.67</v>
      </c>
    </row>
    <row r="1180" spans="1:2" x14ac:dyDescent="0.25">
      <c r="A1180" s="1">
        <v>43291</v>
      </c>
      <c r="B1180">
        <v>5.5875000000000004</v>
      </c>
    </row>
    <row r="1181" spans="1:2" x14ac:dyDescent="0.25">
      <c r="A1181" s="1">
        <v>43292</v>
      </c>
      <c r="B1181">
        <v>6.56</v>
      </c>
    </row>
    <row r="1182" spans="1:2" x14ac:dyDescent="0.25">
      <c r="A1182" s="1">
        <v>43293</v>
      </c>
      <c r="B1182">
        <v>6.4775</v>
      </c>
    </row>
    <row r="1183" spans="1:2" x14ac:dyDescent="0.25">
      <c r="A1183" s="1">
        <v>43294</v>
      </c>
      <c r="B1183">
        <v>6.4824999999999999</v>
      </c>
    </row>
    <row r="1184" spans="1:2" x14ac:dyDescent="0.25">
      <c r="A1184" s="1">
        <v>43297</v>
      </c>
      <c r="B1184">
        <v>6.36</v>
      </c>
    </row>
    <row r="1185" spans="1:2" x14ac:dyDescent="0.25">
      <c r="A1185" s="1">
        <v>43298</v>
      </c>
      <c r="B1185">
        <v>5.875</v>
      </c>
    </row>
    <row r="1186" spans="1:2" x14ac:dyDescent="0.25">
      <c r="A1186" s="1">
        <v>43299</v>
      </c>
      <c r="B1186">
        <v>6.58</v>
      </c>
    </row>
    <row r="1187" spans="1:2" x14ac:dyDescent="0.25">
      <c r="A1187" s="1">
        <v>43300</v>
      </c>
      <c r="B1187">
        <v>7.0475000000000003</v>
      </c>
    </row>
    <row r="1188" spans="1:2" x14ac:dyDescent="0.25">
      <c r="A1188" s="1">
        <v>43301</v>
      </c>
      <c r="B1188">
        <v>7.1825000000000001</v>
      </c>
    </row>
    <row r="1189" spans="1:2" x14ac:dyDescent="0.25">
      <c r="A1189" s="1">
        <v>43304</v>
      </c>
      <c r="B1189">
        <v>7.19</v>
      </c>
    </row>
    <row r="1190" spans="1:2" x14ac:dyDescent="0.25">
      <c r="A1190" s="1">
        <v>43305</v>
      </c>
      <c r="B1190">
        <v>7.1875</v>
      </c>
    </row>
    <row r="1191" spans="1:2" x14ac:dyDescent="0.25">
      <c r="A1191" s="1">
        <v>43306</v>
      </c>
      <c r="B1191">
        <v>6.835</v>
      </c>
    </row>
    <row r="1192" spans="1:2" x14ac:dyDescent="0.25">
      <c r="A1192" s="1">
        <v>43307</v>
      </c>
      <c r="B1192">
        <v>7</v>
      </c>
    </row>
    <row r="1193" spans="1:2" x14ac:dyDescent="0.25">
      <c r="A1193" s="1">
        <v>43308</v>
      </c>
      <c r="B1193">
        <v>7.07</v>
      </c>
    </row>
    <row r="1194" spans="1:2" x14ac:dyDescent="0.25">
      <c r="A1194" s="1">
        <v>43311</v>
      </c>
      <c r="B1194">
        <v>7.1849999999999996</v>
      </c>
    </row>
    <row r="1195" spans="1:2" x14ac:dyDescent="0.25">
      <c r="A1195" s="1">
        <v>43312</v>
      </c>
      <c r="B1195">
        <v>6.9824999999999999</v>
      </c>
    </row>
    <row r="1196" spans="1:2" x14ac:dyDescent="0.25">
      <c r="A1196" s="1">
        <v>43313</v>
      </c>
      <c r="B1196">
        <v>7.1775000000000002</v>
      </c>
    </row>
    <row r="1197" spans="1:2" x14ac:dyDescent="0.25">
      <c r="A1197" s="1">
        <v>43314</v>
      </c>
      <c r="B1197">
        <v>7.3150000000000004</v>
      </c>
    </row>
    <row r="1198" spans="1:2" x14ac:dyDescent="0.25">
      <c r="A1198" s="1">
        <v>43315</v>
      </c>
      <c r="B1198">
        <v>7.2549999999999999</v>
      </c>
    </row>
    <row r="1199" spans="1:2" x14ac:dyDescent="0.25">
      <c r="A1199" s="1">
        <v>43318</v>
      </c>
      <c r="B1199">
        <v>6.9950000000000001</v>
      </c>
    </row>
    <row r="1200" spans="1:2" x14ac:dyDescent="0.25">
      <c r="A1200" s="1">
        <v>43319</v>
      </c>
      <c r="B1200">
        <v>6.7249999999999996</v>
      </c>
    </row>
    <row r="1201" spans="1:2" x14ac:dyDescent="0.25">
      <c r="A1201" s="1">
        <v>43320</v>
      </c>
      <c r="B1201">
        <v>6.72</v>
      </c>
    </row>
    <row r="1202" spans="1:2" x14ac:dyDescent="0.25">
      <c r="A1202" s="1">
        <v>43321</v>
      </c>
      <c r="B1202">
        <v>6.5125000000000002</v>
      </c>
    </row>
    <row r="1203" spans="1:2" x14ac:dyDescent="0.25">
      <c r="A1203" s="1">
        <v>43322</v>
      </c>
      <c r="B1203">
        <v>6.52</v>
      </c>
    </row>
    <row r="1204" spans="1:2" x14ac:dyDescent="0.25">
      <c r="A1204" s="1">
        <v>43325</v>
      </c>
      <c r="B1204">
        <v>6.78</v>
      </c>
    </row>
    <row r="1205" spans="1:2" x14ac:dyDescent="0.25">
      <c r="A1205" s="1">
        <v>43326</v>
      </c>
      <c r="B1205">
        <v>6.6375000000000002</v>
      </c>
    </row>
    <row r="1206" spans="1:2" x14ac:dyDescent="0.25">
      <c r="A1206" s="1">
        <v>43327</v>
      </c>
      <c r="B1206">
        <v>7.12</v>
      </c>
    </row>
    <row r="1207" spans="1:2" x14ac:dyDescent="0.25">
      <c r="A1207" s="1">
        <v>43328</v>
      </c>
      <c r="B1207">
        <v>7.0449999999999999</v>
      </c>
    </row>
    <row r="1208" spans="1:2" x14ac:dyDescent="0.25">
      <c r="A1208" s="1">
        <v>43329</v>
      </c>
      <c r="B1208">
        <v>6.9524999999999997</v>
      </c>
    </row>
    <row r="1209" spans="1:2" x14ac:dyDescent="0.25">
      <c r="A1209" s="1">
        <v>43332</v>
      </c>
      <c r="B1209">
        <v>6.9325000000000001</v>
      </c>
    </row>
    <row r="1210" spans="1:2" x14ac:dyDescent="0.25">
      <c r="A1210" s="1">
        <v>43333</v>
      </c>
      <c r="B1210">
        <v>6.8875000000000002</v>
      </c>
    </row>
    <row r="1211" spans="1:2" x14ac:dyDescent="0.25">
      <c r="A1211" s="1">
        <v>43334</v>
      </c>
      <c r="B1211">
        <v>6.6924999999999999</v>
      </c>
    </row>
    <row r="1212" spans="1:2" x14ac:dyDescent="0.25">
      <c r="A1212" s="1">
        <v>43335</v>
      </c>
      <c r="B1212">
        <v>6.86</v>
      </c>
    </row>
    <row r="1213" spans="1:2" x14ac:dyDescent="0.25">
      <c r="A1213" s="1">
        <v>43336</v>
      </c>
      <c r="B1213">
        <v>6.74</v>
      </c>
    </row>
    <row r="1214" spans="1:2" x14ac:dyDescent="0.25">
      <c r="A1214" s="1">
        <v>43339</v>
      </c>
      <c r="B1214">
        <v>6.7925000000000004</v>
      </c>
    </row>
    <row r="1215" spans="1:2" x14ac:dyDescent="0.25">
      <c r="A1215" s="1">
        <v>43340</v>
      </c>
      <c r="B1215">
        <v>6.1775000000000002</v>
      </c>
    </row>
    <row r="1216" spans="1:2" x14ac:dyDescent="0.25">
      <c r="A1216" s="1">
        <v>43341</v>
      </c>
      <c r="B1216">
        <v>6.22</v>
      </c>
    </row>
    <row r="1217" spans="1:2" x14ac:dyDescent="0.25">
      <c r="A1217" s="1">
        <v>43342</v>
      </c>
      <c r="B1217">
        <v>6.5175000000000001</v>
      </c>
    </row>
    <row r="1218" spans="1:2" x14ac:dyDescent="0.25">
      <c r="A1218" s="1">
        <v>43343</v>
      </c>
      <c r="B1218">
        <v>6.63</v>
      </c>
    </row>
    <row r="1219" spans="1:2" x14ac:dyDescent="0.25">
      <c r="A1219" s="1">
        <v>43346</v>
      </c>
      <c r="B1219">
        <v>6.73</v>
      </c>
    </row>
    <row r="1220" spans="1:2" x14ac:dyDescent="0.25">
      <c r="A1220" s="1">
        <v>43347</v>
      </c>
      <c r="B1220">
        <v>6.84</v>
      </c>
    </row>
    <row r="1221" spans="1:2" x14ac:dyDescent="0.25">
      <c r="A1221" s="1">
        <v>43348</v>
      </c>
      <c r="B1221">
        <v>7.0549999999999997</v>
      </c>
    </row>
    <row r="1222" spans="1:2" x14ac:dyDescent="0.25">
      <c r="A1222" s="1">
        <v>43349</v>
      </c>
      <c r="B1222">
        <v>6.7750000000000004</v>
      </c>
    </row>
    <row r="1223" spans="1:2" x14ac:dyDescent="0.25">
      <c r="A1223" s="1">
        <v>43350</v>
      </c>
      <c r="B1223">
        <v>6.7350000000000003</v>
      </c>
    </row>
    <row r="1224" spans="1:2" x14ac:dyDescent="0.25">
      <c r="A1224" s="1">
        <v>43353</v>
      </c>
      <c r="B1224">
        <v>6.835</v>
      </c>
    </row>
    <row r="1225" spans="1:2" x14ac:dyDescent="0.25">
      <c r="A1225" s="1">
        <v>43354</v>
      </c>
      <c r="B1225">
        <v>6.49</v>
      </c>
    </row>
    <row r="1226" spans="1:2" x14ac:dyDescent="0.25">
      <c r="A1226" s="1">
        <v>43355</v>
      </c>
      <c r="B1226">
        <v>6.1624999999999996</v>
      </c>
    </row>
    <row r="1227" spans="1:2" x14ac:dyDescent="0.25">
      <c r="A1227" s="1">
        <v>43356</v>
      </c>
      <c r="B1227">
        <v>5.9950000000000001</v>
      </c>
    </row>
    <row r="1228" spans="1:2" x14ac:dyDescent="0.25">
      <c r="A1228" s="1">
        <v>43357</v>
      </c>
      <c r="B1228">
        <v>5.75</v>
      </c>
    </row>
    <row r="1229" spans="1:2" x14ac:dyDescent="0.25">
      <c r="A1229" s="1">
        <v>43360</v>
      </c>
      <c r="B1229">
        <v>6.0175000000000001</v>
      </c>
    </row>
    <row r="1230" spans="1:2" x14ac:dyDescent="0.25">
      <c r="A1230" s="1">
        <v>43361</v>
      </c>
      <c r="B1230">
        <v>5.9749999999999996</v>
      </c>
    </row>
    <row r="1231" spans="1:2" x14ac:dyDescent="0.25">
      <c r="A1231" s="1">
        <v>43362</v>
      </c>
      <c r="B1231">
        <v>5.7750000000000004</v>
      </c>
    </row>
    <row r="1232" spans="1:2" x14ac:dyDescent="0.25">
      <c r="A1232" s="1">
        <v>43363</v>
      </c>
      <c r="B1232">
        <v>5.5125000000000002</v>
      </c>
    </row>
    <row r="1233" spans="1:2" x14ac:dyDescent="0.25">
      <c r="A1233" s="1">
        <v>43364</v>
      </c>
      <c r="B1233">
        <v>5.37</v>
      </c>
    </row>
    <row r="1234" spans="1:2" x14ac:dyDescent="0.25">
      <c r="A1234" s="1">
        <v>43367</v>
      </c>
      <c r="B1234">
        <v>5.5674999999999999</v>
      </c>
    </row>
    <row r="1235" spans="1:2" x14ac:dyDescent="0.25">
      <c r="A1235" s="1">
        <v>43368</v>
      </c>
      <c r="B1235">
        <v>5.5350000000000001</v>
      </c>
    </row>
    <row r="1236" spans="1:2" x14ac:dyDescent="0.25">
      <c r="A1236" s="1">
        <v>43369</v>
      </c>
      <c r="B1236">
        <v>5.35</v>
      </c>
    </row>
    <row r="1237" spans="1:2" x14ac:dyDescent="0.25">
      <c r="A1237" s="1">
        <v>43370</v>
      </c>
      <c r="B1237">
        <v>5.25</v>
      </c>
    </row>
    <row r="1238" spans="1:2" x14ac:dyDescent="0.25">
      <c r="A1238" s="1">
        <v>43371</v>
      </c>
      <c r="B1238">
        <v>4.8</v>
      </c>
    </row>
    <row r="1239" spans="1:2" x14ac:dyDescent="0.25">
      <c r="A1239" s="1">
        <v>43374</v>
      </c>
      <c r="B1239">
        <v>4.6849999999999996</v>
      </c>
    </row>
    <row r="1240" spans="1:2" x14ac:dyDescent="0.25">
      <c r="A1240" s="1">
        <v>43375</v>
      </c>
      <c r="B1240">
        <v>5.29</v>
      </c>
    </row>
    <row r="1241" spans="1:2" x14ac:dyDescent="0.25">
      <c r="A1241" s="1">
        <v>43376</v>
      </c>
      <c r="B1241">
        <v>5.2625000000000002</v>
      </c>
    </row>
    <row r="1242" spans="1:2" x14ac:dyDescent="0.25">
      <c r="A1242" s="1">
        <v>43377</v>
      </c>
      <c r="B1242">
        <v>5.78</v>
      </c>
    </row>
    <row r="1243" spans="1:2" x14ac:dyDescent="0.25">
      <c r="A1243" s="1">
        <v>43378</v>
      </c>
      <c r="B1243">
        <v>6.1425000000000001</v>
      </c>
    </row>
    <row r="1244" spans="1:2" x14ac:dyDescent="0.25">
      <c r="A1244" s="1">
        <v>43381</v>
      </c>
      <c r="B1244">
        <v>6.375</v>
      </c>
    </row>
    <row r="1245" spans="1:2" x14ac:dyDescent="0.25">
      <c r="A1245" s="1">
        <v>43382</v>
      </c>
      <c r="B1245">
        <v>6.2850000000000001</v>
      </c>
    </row>
    <row r="1246" spans="1:2" x14ac:dyDescent="0.25">
      <c r="A1246" s="1">
        <v>43383</v>
      </c>
      <c r="B1246">
        <v>6.2225000000000001</v>
      </c>
    </row>
    <row r="1247" spans="1:2" x14ac:dyDescent="0.25">
      <c r="A1247" s="1">
        <v>43384</v>
      </c>
      <c r="B1247">
        <v>6.2450000000000001</v>
      </c>
    </row>
    <row r="1248" spans="1:2" x14ac:dyDescent="0.25">
      <c r="A1248" s="1">
        <v>43385</v>
      </c>
      <c r="B1248">
        <v>5.9074999999999998</v>
      </c>
    </row>
    <row r="1249" spans="1:2" x14ac:dyDescent="0.25">
      <c r="A1249" s="1">
        <v>43388</v>
      </c>
      <c r="B1249">
        <v>5.79</v>
      </c>
    </row>
    <row r="1250" spans="1:2" x14ac:dyDescent="0.25">
      <c r="A1250" s="1">
        <v>43389</v>
      </c>
      <c r="B1250">
        <v>5.4824999999999999</v>
      </c>
    </row>
    <row r="1251" spans="1:2" x14ac:dyDescent="0.25">
      <c r="A1251" s="1">
        <v>43390</v>
      </c>
      <c r="B1251">
        <v>5.2874999999999996</v>
      </c>
    </row>
    <row r="1252" spans="1:2" x14ac:dyDescent="0.25">
      <c r="A1252" s="1">
        <v>43391</v>
      </c>
      <c r="B1252">
        <v>5.61</v>
      </c>
    </row>
    <row r="1253" spans="1:2" x14ac:dyDescent="0.25">
      <c r="A1253" s="1">
        <v>43392</v>
      </c>
      <c r="B1253">
        <v>5.62</v>
      </c>
    </row>
    <row r="1254" spans="1:2" x14ac:dyDescent="0.25">
      <c r="A1254" s="1">
        <v>43395</v>
      </c>
      <c r="B1254">
        <v>5.2975000000000003</v>
      </c>
    </row>
    <row r="1255" spans="1:2" x14ac:dyDescent="0.25">
      <c r="A1255" s="1">
        <v>43396</v>
      </c>
      <c r="B1255">
        <v>5.23</v>
      </c>
    </row>
    <row r="1256" spans="1:2" x14ac:dyDescent="0.25">
      <c r="A1256" s="1">
        <v>43397</v>
      </c>
      <c r="B1256">
        <v>4.9249999999999998</v>
      </c>
    </row>
    <row r="1257" spans="1:2" x14ac:dyDescent="0.25">
      <c r="A1257" s="1">
        <v>43398</v>
      </c>
      <c r="B1257">
        <v>5.49</v>
      </c>
    </row>
    <row r="1258" spans="1:2" x14ac:dyDescent="0.25">
      <c r="A1258" s="1">
        <v>43399</v>
      </c>
      <c r="B1258">
        <v>5.84</v>
      </c>
    </row>
    <row r="1259" spans="1:2" x14ac:dyDescent="0.25">
      <c r="A1259" s="1">
        <v>43402</v>
      </c>
      <c r="B1259">
        <v>5.6675000000000004</v>
      </c>
    </row>
    <row r="1260" spans="1:2" x14ac:dyDescent="0.25">
      <c r="A1260" s="1">
        <v>43403</v>
      </c>
      <c r="B1260">
        <v>5.5549999999999997</v>
      </c>
    </row>
    <row r="1261" spans="1:2" x14ac:dyDescent="0.25">
      <c r="A1261" s="1">
        <v>43404</v>
      </c>
      <c r="B1261">
        <v>5.5125000000000002</v>
      </c>
    </row>
    <row r="1262" spans="1:2" x14ac:dyDescent="0.25">
      <c r="A1262" s="1">
        <v>43405</v>
      </c>
      <c r="B1262">
        <v>5.5824999999999996</v>
      </c>
    </row>
    <row r="1263" spans="1:2" x14ac:dyDescent="0.25">
      <c r="A1263" s="1">
        <v>43406</v>
      </c>
      <c r="B1263">
        <v>6.5149999999999997</v>
      </c>
    </row>
    <row r="1264" spans="1:2" x14ac:dyDescent="0.25">
      <c r="A1264" s="1">
        <v>43409</v>
      </c>
      <c r="B1264">
        <v>6.4574999999999996</v>
      </c>
    </row>
    <row r="1265" spans="1:2" x14ac:dyDescent="0.25">
      <c r="A1265" s="1">
        <v>43410</v>
      </c>
      <c r="B1265">
        <v>6.2</v>
      </c>
    </row>
    <row r="1266" spans="1:2" x14ac:dyDescent="0.25">
      <c r="A1266" s="1">
        <v>43411</v>
      </c>
      <c r="B1266">
        <v>5.89</v>
      </c>
    </row>
    <row r="1267" spans="1:2" x14ac:dyDescent="0.25">
      <c r="A1267" s="1">
        <v>43412</v>
      </c>
      <c r="B1267">
        <v>5.6475</v>
      </c>
    </row>
    <row r="1268" spans="1:2" x14ac:dyDescent="0.25">
      <c r="A1268" s="1">
        <v>43413</v>
      </c>
      <c r="B1268">
        <v>5.6275000000000004</v>
      </c>
    </row>
    <row r="1269" spans="1:2" x14ac:dyDescent="0.25">
      <c r="A1269" s="1">
        <v>43416</v>
      </c>
      <c r="B1269">
        <v>5.7850000000000001</v>
      </c>
    </row>
    <row r="1270" spans="1:2" x14ac:dyDescent="0.25">
      <c r="A1270" s="1">
        <v>43417</v>
      </c>
      <c r="B1270">
        <v>5.89</v>
      </c>
    </row>
    <row r="1271" spans="1:2" x14ac:dyDescent="0.25">
      <c r="A1271" s="1">
        <v>43418</v>
      </c>
      <c r="B1271">
        <v>5.8825000000000003</v>
      </c>
    </row>
    <row r="1272" spans="1:2" x14ac:dyDescent="0.25">
      <c r="A1272" s="1">
        <v>43419</v>
      </c>
      <c r="B1272">
        <v>5.9124999999999996</v>
      </c>
    </row>
    <row r="1273" spans="1:2" x14ac:dyDescent="0.25">
      <c r="A1273" s="1">
        <v>43420</v>
      </c>
      <c r="B1273">
        <v>6.0549999999999997</v>
      </c>
    </row>
    <row r="1274" spans="1:2" x14ac:dyDescent="0.25">
      <c r="A1274" s="1">
        <v>43423</v>
      </c>
      <c r="B1274">
        <v>6.12</v>
      </c>
    </row>
    <row r="1275" spans="1:2" x14ac:dyDescent="0.25">
      <c r="A1275" s="1">
        <v>43424</v>
      </c>
      <c r="B1275">
        <v>6.2350000000000003</v>
      </c>
    </row>
    <row r="1276" spans="1:2" x14ac:dyDescent="0.25">
      <c r="A1276" s="1">
        <v>43425</v>
      </c>
      <c r="B1276">
        <v>6.46</v>
      </c>
    </row>
    <row r="1277" spans="1:2" x14ac:dyDescent="0.25">
      <c r="A1277" s="1">
        <v>43426</v>
      </c>
      <c r="B1277">
        <v>6.5650000000000004</v>
      </c>
    </row>
    <row r="1278" spans="1:2" x14ac:dyDescent="0.25">
      <c r="A1278" s="1">
        <v>43427</v>
      </c>
      <c r="B1278">
        <v>6.38</v>
      </c>
    </row>
    <row r="1279" spans="1:2" x14ac:dyDescent="0.25">
      <c r="A1279" s="1">
        <v>43430</v>
      </c>
      <c r="B1279">
        <v>6.4349999999999996</v>
      </c>
    </row>
    <row r="1280" spans="1:2" x14ac:dyDescent="0.25">
      <c r="A1280" s="1">
        <v>43431</v>
      </c>
      <c r="B1280">
        <v>6.5650000000000004</v>
      </c>
    </row>
    <row r="1281" spans="1:2" x14ac:dyDescent="0.25">
      <c r="A1281" s="1">
        <v>43432</v>
      </c>
      <c r="B1281">
        <v>6.8650000000000002</v>
      </c>
    </row>
    <row r="1282" spans="1:2" x14ac:dyDescent="0.25">
      <c r="A1282" s="1">
        <v>43433</v>
      </c>
      <c r="B1282">
        <v>6.9050000000000002</v>
      </c>
    </row>
    <row r="1283" spans="1:2" x14ac:dyDescent="0.25">
      <c r="A1283" s="1">
        <v>43434</v>
      </c>
      <c r="B1283">
        <v>6.9349999999999996</v>
      </c>
    </row>
    <row r="1284" spans="1:2" x14ac:dyDescent="0.25">
      <c r="A1284" s="1">
        <v>43437</v>
      </c>
      <c r="B1284">
        <v>5.68</v>
      </c>
    </row>
    <row r="1285" spans="1:2" x14ac:dyDescent="0.25">
      <c r="A1285" s="1">
        <v>43438</v>
      </c>
      <c r="B1285">
        <v>5.9249999999999998</v>
      </c>
    </row>
    <row r="1286" spans="1:2" x14ac:dyDescent="0.25">
      <c r="A1286" s="1">
        <v>43439</v>
      </c>
      <c r="B1286">
        <v>5.98</v>
      </c>
    </row>
    <row r="1287" spans="1:2" x14ac:dyDescent="0.25">
      <c r="A1287" s="1">
        <v>43440</v>
      </c>
      <c r="B1287">
        <v>5.9349999999999996</v>
      </c>
    </row>
    <row r="1288" spans="1:2" x14ac:dyDescent="0.25">
      <c r="A1288" s="1">
        <v>43441</v>
      </c>
      <c r="B1288">
        <v>5.87</v>
      </c>
    </row>
    <row r="1289" spans="1:2" x14ac:dyDescent="0.25">
      <c r="A1289" s="1">
        <v>43444</v>
      </c>
      <c r="B1289">
        <v>5.8875000000000002</v>
      </c>
    </row>
    <row r="1290" spans="1:2" x14ac:dyDescent="0.25">
      <c r="A1290" s="1">
        <v>43445</v>
      </c>
      <c r="B1290">
        <v>5.6849999999999996</v>
      </c>
    </row>
    <row r="1291" spans="1:2" x14ac:dyDescent="0.25">
      <c r="A1291" s="1">
        <v>43446</v>
      </c>
      <c r="B1291">
        <v>5.81</v>
      </c>
    </row>
    <row r="1292" spans="1:2" x14ac:dyDescent="0.25">
      <c r="A1292" s="1">
        <v>43447</v>
      </c>
      <c r="B1292">
        <v>5.8049999999999997</v>
      </c>
    </row>
    <row r="1293" spans="1:2" x14ac:dyDescent="0.25">
      <c r="A1293" s="1">
        <v>43448</v>
      </c>
      <c r="B1293">
        <v>5.4625000000000004</v>
      </c>
    </row>
    <row r="1294" spans="1:2" x14ac:dyDescent="0.25">
      <c r="A1294" s="1">
        <v>43451</v>
      </c>
      <c r="B1294">
        <v>5.24</v>
      </c>
    </row>
    <row r="1295" spans="1:2" x14ac:dyDescent="0.25">
      <c r="A1295" s="1">
        <v>43452</v>
      </c>
      <c r="B1295">
        <v>4.9950000000000001</v>
      </c>
    </row>
    <row r="1296" spans="1:2" x14ac:dyDescent="0.25">
      <c r="A1296" s="1">
        <v>43453</v>
      </c>
      <c r="B1296">
        <v>5.13</v>
      </c>
    </row>
    <row r="1297" spans="1:2" x14ac:dyDescent="0.25">
      <c r="A1297" s="1">
        <v>43454</v>
      </c>
      <c r="B1297">
        <v>4.68</v>
      </c>
    </row>
    <row r="1298" spans="1:2" x14ac:dyDescent="0.25">
      <c r="A1298" s="1">
        <v>43455</v>
      </c>
      <c r="B1298">
        <v>4.6950000000000003</v>
      </c>
    </row>
    <row r="1299" spans="1:2" x14ac:dyDescent="0.25">
      <c r="A1299" s="1">
        <v>43458</v>
      </c>
      <c r="B1299">
        <v>4.87</v>
      </c>
    </row>
    <row r="1300" spans="1:2" x14ac:dyDescent="0.25">
      <c r="A1300" s="1">
        <v>43459</v>
      </c>
      <c r="B1300">
        <v>4.8674999999999997</v>
      </c>
    </row>
    <row r="1301" spans="1:2" x14ac:dyDescent="0.25">
      <c r="A1301" s="1">
        <v>43460</v>
      </c>
      <c r="B1301">
        <v>4.8324999999999996</v>
      </c>
    </row>
    <row r="1302" spans="1:2" x14ac:dyDescent="0.25">
      <c r="A1302" s="1">
        <v>43461</v>
      </c>
      <c r="B1302">
        <v>5</v>
      </c>
    </row>
    <row r="1303" spans="1:2" x14ac:dyDescent="0.25">
      <c r="A1303" s="1">
        <v>43462</v>
      </c>
      <c r="B1303">
        <v>5.2774999999999999</v>
      </c>
    </row>
    <row r="1304" spans="1:2" x14ac:dyDescent="0.25">
      <c r="A1304" s="1">
        <v>43465</v>
      </c>
      <c r="B1304">
        <v>5.4225000000000003</v>
      </c>
    </row>
    <row r="1305" spans="1:2" x14ac:dyDescent="0.25">
      <c r="A1305" s="1">
        <v>43466</v>
      </c>
      <c r="B1305">
        <v>5.4275000000000002</v>
      </c>
    </row>
    <row r="1306" spans="1:2" x14ac:dyDescent="0.25">
      <c r="A1306" s="1">
        <v>43467</v>
      </c>
      <c r="B1306">
        <v>5.39</v>
      </c>
    </row>
    <row r="1307" spans="1:2" x14ac:dyDescent="0.25">
      <c r="A1307" s="1">
        <v>43468</v>
      </c>
      <c r="B1307">
        <v>5.36</v>
      </c>
    </row>
    <row r="1308" spans="1:2" x14ac:dyDescent="0.25">
      <c r="A1308" s="1">
        <v>43469</v>
      </c>
      <c r="B1308">
        <v>4.9000000000000004</v>
      </c>
    </row>
    <row r="1309" spans="1:2" x14ac:dyDescent="0.25">
      <c r="A1309" s="1">
        <v>43472</v>
      </c>
      <c r="B1309">
        <v>5.0999999999999996</v>
      </c>
    </row>
    <row r="1310" spans="1:2" x14ac:dyDescent="0.25">
      <c r="A1310" s="1">
        <v>43473</v>
      </c>
      <c r="B1310">
        <v>5.0350000000000001</v>
      </c>
    </row>
    <row r="1311" spans="1:2" x14ac:dyDescent="0.25">
      <c r="A1311" s="1">
        <v>43474</v>
      </c>
      <c r="B1311">
        <v>5.2949999999999999</v>
      </c>
    </row>
    <row r="1312" spans="1:2" x14ac:dyDescent="0.25">
      <c r="A1312" s="1">
        <v>43475</v>
      </c>
      <c r="B1312">
        <v>5.67</v>
      </c>
    </row>
    <row r="1313" spans="1:2" x14ac:dyDescent="0.25">
      <c r="A1313" s="1">
        <v>43476</v>
      </c>
      <c r="B1313">
        <v>5.91</v>
      </c>
    </row>
    <row r="1314" spans="1:2" x14ac:dyDescent="0.25">
      <c r="A1314" s="1">
        <v>43479</v>
      </c>
      <c r="B1314">
        <v>5.8049999999999997</v>
      </c>
    </row>
    <row r="1315" spans="1:2" x14ac:dyDescent="0.25">
      <c r="A1315" s="1">
        <v>43480</v>
      </c>
      <c r="B1315">
        <v>5.5925000000000002</v>
      </c>
    </row>
    <row r="1316" spans="1:2" x14ac:dyDescent="0.25">
      <c r="A1316" s="1">
        <v>43481</v>
      </c>
      <c r="B1316">
        <v>5.6325000000000003</v>
      </c>
    </row>
    <row r="1317" spans="1:2" x14ac:dyDescent="0.25">
      <c r="A1317" s="1">
        <v>43482</v>
      </c>
      <c r="B1317">
        <v>5.43</v>
      </c>
    </row>
    <row r="1318" spans="1:2" x14ac:dyDescent="0.25">
      <c r="A1318" s="1">
        <v>43483</v>
      </c>
      <c r="B1318">
        <v>5.3174999999999999</v>
      </c>
    </row>
    <row r="1319" spans="1:2" x14ac:dyDescent="0.25">
      <c r="A1319" s="1">
        <v>43486</v>
      </c>
      <c r="B1319">
        <v>5.28</v>
      </c>
    </row>
    <row r="1320" spans="1:2" x14ac:dyDescent="0.25">
      <c r="A1320" s="1">
        <v>43487</v>
      </c>
      <c r="B1320">
        <v>5.1624999999999996</v>
      </c>
    </row>
    <row r="1321" spans="1:2" x14ac:dyDescent="0.25">
      <c r="A1321" s="1">
        <v>43488</v>
      </c>
      <c r="B1321">
        <v>5.1375000000000002</v>
      </c>
    </row>
    <row r="1322" spans="1:2" x14ac:dyDescent="0.25">
      <c r="A1322" s="1">
        <v>43489</v>
      </c>
      <c r="B1322">
        <v>5.26</v>
      </c>
    </row>
    <row r="1323" spans="1:2" x14ac:dyDescent="0.25">
      <c r="A1323" s="1">
        <v>43490</v>
      </c>
      <c r="B1323">
        <v>5.4175000000000004</v>
      </c>
    </row>
    <row r="1324" spans="1:2" x14ac:dyDescent="0.25">
      <c r="A1324" s="1">
        <v>43493</v>
      </c>
      <c r="B1324">
        <v>5.67</v>
      </c>
    </row>
    <row r="1325" spans="1:2" x14ac:dyDescent="0.25">
      <c r="A1325" s="1">
        <v>43494</v>
      </c>
      <c r="B1325">
        <v>5.5350000000000001</v>
      </c>
    </row>
    <row r="1326" spans="1:2" x14ac:dyDescent="0.25">
      <c r="A1326" s="1">
        <v>43495</v>
      </c>
      <c r="B1326">
        <v>5.57</v>
      </c>
    </row>
    <row r="1327" spans="1:2" x14ac:dyDescent="0.25">
      <c r="A1327" s="1">
        <v>43496</v>
      </c>
      <c r="B1327">
        <v>5.7249999999999996</v>
      </c>
    </row>
    <row r="1328" spans="1:2" x14ac:dyDescent="0.25">
      <c r="A1328" s="1">
        <v>43497</v>
      </c>
      <c r="B1328">
        <v>5.51</v>
      </c>
    </row>
    <row r="1329" spans="1:2" x14ac:dyDescent="0.25">
      <c r="A1329" s="1">
        <v>43500</v>
      </c>
      <c r="B1329">
        <v>5.62</v>
      </c>
    </row>
    <row r="1330" spans="1:2" x14ac:dyDescent="0.25">
      <c r="A1330" s="1">
        <v>43501</v>
      </c>
      <c r="B1330">
        <v>5.6224999999999996</v>
      </c>
    </row>
    <row r="1331" spans="1:2" x14ac:dyDescent="0.25">
      <c r="A1331" s="1">
        <v>43502</v>
      </c>
      <c r="B1331">
        <v>5.56</v>
      </c>
    </row>
    <row r="1332" spans="1:2" x14ac:dyDescent="0.25">
      <c r="A1332" s="1">
        <v>43503</v>
      </c>
      <c r="B1332">
        <v>5.57</v>
      </c>
    </row>
    <row r="1333" spans="1:2" x14ac:dyDescent="0.25">
      <c r="A1333" s="1">
        <v>43504</v>
      </c>
      <c r="B1333">
        <v>5.57</v>
      </c>
    </row>
    <row r="1334" spans="1:2" x14ac:dyDescent="0.25">
      <c r="A1334" s="1">
        <v>43507</v>
      </c>
      <c r="B1334">
        <v>5.3324999999999996</v>
      </c>
    </row>
    <row r="1335" spans="1:2" x14ac:dyDescent="0.25">
      <c r="A1335" s="1">
        <v>43508</v>
      </c>
      <c r="B1335">
        <v>5.36</v>
      </c>
    </row>
    <row r="1336" spans="1:2" x14ac:dyDescent="0.25">
      <c r="A1336" s="1">
        <v>43509</v>
      </c>
      <c r="B1336">
        <v>5.2474999999999996</v>
      </c>
    </row>
    <row r="1337" spans="1:2" x14ac:dyDescent="0.25">
      <c r="A1337" s="1">
        <v>43510</v>
      </c>
      <c r="B1337">
        <v>5.0049999999999999</v>
      </c>
    </row>
    <row r="1338" spans="1:2" x14ac:dyDescent="0.25">
      <c r="A1338" s="1">
        <v>43511</v>
      </c>
      <c r="B1338">
        <v>4.7774999999999999</v>
      </c>
    </row>
    <row r="1339" spans="1:2" x14ac:dyDescent="0.25">
      <c r="A1339" s="1">
        <v>43514</v>
      </c>
      <c r="B1339">
        <v>4.75</v>
      </c>
    </row>
    <row r="1340" spans="1:2" x14ac:dyDescent="0.25">
      <c r="A1340" s="1">
        <v>43515</v>
      </c>
      <c r="B1340">
        <v>4.7350000000000003</v>
      </c>
    </row>
    <row r="1341" spans="1:2" x14ac:dyDescent="0.25">
      <c r="A1341" s="1">
        <v>43516</v>
      </c>
      <c r="B1341">
        <v>5.1725000000000003</v>
      </c>
    </row>
    <row r="1342" spans="1:2" x14ac:dyDescent="0.25">
      <c r="A1342" s="1">
        <v>43517</v>
      </c>
      <c r="B1342">
        <v>5.2750000000000004</v>
      </c>
    </row>
    <row r="1343" spans="1:2" x14ac:dyDescent="0.25">
      <c r="A1343" s="1">
        <v>43518</v>
      </c>
      <c r="B1343">
        <v>5.1875</v>
      </c>
    </row>
    <row r="1344" spans="1:2" x14ac:dyDescent="0.25">
      <c r="A1344" s="1">
        <v>43521</v>
      </c>
      <c r="B1344">
        <v>5.4</v>
      </c>
    </row>
    <row r="1345" spans="1:2" x14ac:dyDescent="0.25">
      <c r="A1345" s="1">
        <v>43522</v>
      </c>
      <c r="B1345">
        <v>5.2874999999999996</v>
      </c>
    </row>
    <row r="1346" spans="1:2" x14ac:dyDescent="0.25">
      <c r="A1346" s="1">
        <v>43523</v>
      </c>
      <c r="B1346">
        <v>5.0549999999999997</v>
      </c>
    </row>
    <row r="1347" spans="1:2" x14ac:dyDescent="0.25">
      <c r="A1347" s="1">
        <v>43524</v>
      </c>
      <c r="B1347">
        <v>4.87</v>
      </c>
    </row>
    <row r="1348" spans="1:2" x14ac:dyDescent="0.25">
      <c r="A1348" s="1">
        <v>43525</v>
      </c>
      <c r="B1348">
        <v>4.76</v>
      </c>
    </row>
    <row r="1349" spans="1:2" x14ac:dyDescent="0.25">
      <c r="A1349" s="1">
        <v>43528</v>
      </c>
      <c r="B1349">
        <v>4.7225000000000001</v>
      </c>
    </row>
    <row r="1350" spans="1:2" x14ac:dyDescent="0.25">
      <c r="A1350" s="1">
        <v>43529</v>
      </c>
      <c r="B1350">
        <v>4.63</v>
      </c>
    </row>
    <row r="1351" spans="1:2" x14ac:dyDescent="0.25">
      <c r="A1351" s="1">
        <v>43530</v>
      </c>
      <c r="B1351">
        <v>4.625</v>
      </c>
    </row>
    <row r="1352" spans="1:2" x14ac:dyDescent="0.25">
      <c r="A1352" s="1">
        <v>43531</v>
      </c>
      <c r="B1352">
        <v>4.6849999999999996</v>
      </c>
    </row>
    <row r="1353" spans="1:2" x14ac:dyDescent="0.25">
      <c r="A1353" s="1">
        <v>43532</v>
      </c>
      <c r="B1353">
        <v>4.7149999999999999</v>
      </c>
    </row>
    <row r="1354" spans="1:2" x14ac:dyDescent="0.25">
      <c r="A1354" s="1">
        <v>43535</v>
      </c>
      <c r="B1354">
        <v>4.7050000000000001</v>
      </c>
    </row>
    <row r="1355" spans="1:2" x14ac:dyDescent="0.25">
      <c r="A1355" s="1">
        <v>43536</v>
      </c>
      <c r="B1355">
        <v>4.6500000000000004</v>
      </c>
    </row>
    <row r="1356" spans="1:2" x14ac:dyDescent="0.25">
      <c r="A1356" s="1">
        <v>43537</v>
      </c>
      <c r="B1356">
        <v>4.5549999999999997</v>
      </c>
    </row>
    <row r="1357" spans="1:2" x14ac:dyDescent="0.25">
      <c r="A1357" s="1">
        <v>43538</v>
      </c>
      <c r="B1357">
        <v>4.3525</v>
      </c>
    </row>
    <row r="1358" spans="1:2" x14ac:dyDescent="0.25">
      <c r="A1358" s="1">
        <v>43539</v>
      </c>
      <c r="B1358">
        <v>4.2525000000000004</v>
      </c>
    </row>
    <row r="1359" spans="1:2" x14ac:dyDescent="0.25">
      <c r="A1359" s="1">
        <v>43542</v>
      </c>
      <c r="B1359">
        <v>4.16</v>
      </c>
    </row>
    <row r="1360" spans="1:2" x14ac:dyDescent="0.25">
      <c r="A1360" s="1">
        <v>43543</v>
      </c>
      <c r="B1360">
        <v>3.8450000000000002</v>
      </c>
    </row>
    <row r="1361" spans="1:2" x14ac:dyDescent="0.25">
      <c r="A1361" s="1">
        <v>43544</v>
      </c>
      <c r="B1361">
        <v>4.0625</v>
      </c>
    </row>
    <row r="1362" spans="1:2" x14ac:dyDescent="0.25">
      <c r="A1362" s="1">
        <v>43545</v>
      </c>
      <c r="B1362">
        <v>4.1500000000000004</v>
      </c>
    </row>
    <row r="1363" spans="1:2" x14ac:dyDescent="0.25">
      <c r="A1363" s="1">
        <v>43546</v>
      </c>
      <c r="B1363">
        <v>4.2725</v>
      </c>
    </row>
    <row r="1364" spans="1:2" x14ac:dyDescent="0.25">
      <c r="A1364" s="1">
        <v>43549</v>
      </c>
      <c r="B1364">
        <v>4.4050000000000002</v>
      </c>
    </row>
    <row r="1365" spans="1:2" x14ac:dyDescent="0.25">
      <c r="A1365" s="1">
        <v>43550</v>
      </c>
      <c r="B1365">
        <v>4.33</v>
      </c>
    </row>
    <row r="1366" spans="1:2" x14ac:dyDescent="0.25">
      <c r="A1366" s="1">
        <v>43551</v>
      </c>
      <c r="B1366">
        <v>4.4424999999999999</v>
      </c>
    </row>
    <row r="1367" spans="1:2" x14ac:dyDescent="0.25">
      <c r="A1367" s="1">
        <v>43552</v>
      </c>
      <c r="B1367">
        <v>4.4675000000000002</v>
      </c>
    </row>
    <row r="1368" spans="1:2" x14ac:dyDescent="0.25">
      <c r="A1368" s="1">
        <v>43553</v>
      </c>
      <c r="B1368">
        <v>4.2874999999999996</v>
      </c>
    </row>
    <row r="1369" spans="1:2" x14ac:dyDescent="0.25">
      <c r="A1369" s="1">
        <v>43556</v>
      </c>
      <c r="B1369">
        <v>4.29</v>
      </c>
    </row>
    <row r="1370" spans="1:2" x14ac:dyDescent="0.25">
      <c r="A1370" s="1">
        <v>43557</v>
      </c>
      <c r="B1370">
        <v>4.0449999999999999</v>
      </c>
    </row>
    <row r="1371" spans="1:2" x14ac:dyDescent="0.25">
      <c r="A1371" s="1">
        <v>43558</v>
      </c>
      <c r="B1371">
        <v>3.98</v>
      </c>
    </row>
    <row r="1372" spans="1:2" x14ac:dyDescent="0.25">
      <c r="A1372" s="1">
        <v>43559</v>
      </c>
      <c r="B1372">
        <v>4.0025000000000004</v>
      </c>
    </row>
    <row r="1373" spans="1:2" x14ac:dyDescent="0.25">
      <c r="A1373" s="1">
        <v>43560</v>
      </c>
      <c r="B1373">
        <v>3.8975</v>
      </c>
    </row>
    <row r="1374" spans="1:2" x14ac:dyDescent="0.25">
      <c r="A1374" s="1">
        <v>43563</v>
      </c>
      <c r="B1374">
        <v>3.9350000000000001</v>
      </c>
    </row>
    <row r="1375" spans="1:2" x14ac:dyDescent="0.25">
      <c r="A1375" s="1">
        <v>43564</v>
      </c>
      <c r="B1375">
        <v>3.8849999999999998</v>
      </c>
    </row>
    <row r="1376" spans="1:2" x14ac:dyDescent="0.25">
      <c r="A1376" s="1">
        <v>43565</v>
      </c>
      <c r="B1376">
        <v>3.6875</v>
      </c>
    </row>
    <row r="1377" spans="1:2" x14ac:dyDescent="0.25">
      <c r="A1377" s="1">
        <v>43566</v>
      </c>
      <c r="B1377">
        <v>3.4725000000000001</v>
      </c>
    </row>
    <row r="1378" spans="1:2" x14ac:dyDescent="0.25">
      <c r="A1378" s="1">
        <v>43567</v>
      </c>
      <c r="B1378">
        <v>3.4224999999999999</v>
      </c>
    </row>
    <row r="1379" spans="1:2" x14ac:dyDescent="0.25">
      <c r="A1379" s="1">
        <v>43570</v>
      </c>
      <c r="B1379">
        <v>3.67</v>
      </c>
    </row>
    <row r="1380" spans="1:2" x14ac:dyDescent="0.25">
      <c r="A1380" s="1">
        <v>43571</v>
      </c>
      <c r="B1380">
        <v>3.6349999999999998</v>
      </c>
    </row>
    <row r="1381" spans="1:2" x14ac:dyDescent="0.25">
      <c r="A1381" s="1">
        <v>43572</v>
      </c>
      <c r="B1381">
        <v>3.895</v>
      </c>
    </row>
    <row r="1382" spans="1:2" x14ac:dyDescent="0.25">
      <c r="A1382" s="1">
        <v>43573</v>
      </c>
      <c r="B1382">
        <v>3.9224999999999999</v>
      </c>
    </row>
    <row r="1383" spans="1:2" x14ac:dyDescent="0.25">
      <c r="A1383" s="1">
        <v>43574</v>
      </c>
      <c r="B1383">
        <v>3.8424999999999998</v>
      </c>
    </row>
    <row r="1384" spans="1:2" x14ac:dyDescent="0.25">
      <c r="A1384" s="1">
        <v>43577</v>
      </c>
      <c r="B1384">
        <v>3.875</v>
      </c>
    </row>
    <row r="1385" spans="1:2" x14ac:dyDescent="0.25">
      <c r="A1385" s="1">
        <v>43578</v>
      </c>
      <c r="B1385">
        <v>3.645</v>
      </c>
    </row>
    <row r="1386" spans="1:2" x14ac:dyDescent="0.25">
      <c r="A1386" s="1">
        <v>43579</v>
      </c>
      <c r="B1386">
        <v>3.7</v>
      </c>
    </row>
    <row r="1387" spans="1:2" x14ac:dyDescent="0.25">
      <c r="A1387" s="1">
        <v>43580</v>
      </c>
      <c r="B1387">
        <v>4.0525000000000002</v>
      </c>
    </row>
    <row r="1388" spans="1:2" x14ac:dyDescent="0.25">
      <c r="A1388" s="1">
        <v>43581</v>
      </c>
      <c r="B1388">
        <v>3.85</v>
      </c>
    </row>
    <row r="1389" spans="1:2" x14ac:dyDescent="0.25">
      <c r="A1389" s="1">
        <v>43584</v>
      </c>
      <c r="B1389">
        <v>3.65</v>
      </c>
    </row>
    <row r="1390" spans="1:2" x14ac:dyDescent="0.25">
      <c r="A1390" s="1">
        <v>43585</v>
      </c>
      <c r="B1390">
        <v>3.62</v>
      </c>
    </row>
    <row r="1391" spans="1:2" x14ac:dyDescent="0.25">
      <c r="A1391" s="1">
        <v>43586</v>
      </c>
      <c r="B1391">
        <v>3.6349999999999998</v>
      </c>
    </row>
    <row r="1392" spans="1:2" x14ac:dyDescent="0.25">
      <c r="A1392" s="1">
        <v>43587</v>
      </c>
      <c r="B1392">
        <v>3.625</v>
      </c>
    </row>
    <row r="1393" spans="1:2" x14ac:dyDescent="0.25">
      <c r="A1393" s="1">
        <v>43588</v>
      </c>
      <c r="B1393">
        <v>3.59</v>
      </c>
    </row>
    <row r="1394" spans="1:2" x14ac:dyDescent="0.25">
      <c r="A1394" s="1">
        <v>43591</v>
      </c>
      <c r="B1394">
        <v>5.09</v>
      </c>
    </row>
    <row r="1395" spans="1:2" x14ac:dyDescent="0.25">
      <c r="A1395" s="1">
        <v>43592</v>
      </c>
      <c r="B1395">
        <v>5.41</v>
      </c>
    </row>
    <row r="1396" spans="1:2" x14ac:dyDescent="0.25">
      <c r="A1396" s="1">
        <v>43593</v>
      </c>
      <c r="B1396">
        <v>5.875</v>
      </c>
    </row>
    <row r="1397" spans="1:2" x14ac:dyDescent="0.25">
      <c r="A1397" s="1">
        <v>43594</v>
      </c>
      <c r="B1397">
        <v>6.85</v>
      </c>
    </row>
    <row r="1398" spans="1:2" x14ac:dyDescent="0.25">
      <c r="A1398" s="1">
        <v>43595</v>
      </c>
      <c r="B1398">
        <v>5.6475</v>
      </c>
    </row>
    <row r="1399" spans="1:2" x14ac:dyDescent="0.25">
      <c r="A1399" s="1">
        <v>43598</v>
      </c>
      <c r="B1399">
        <v>6.4024999999999999</v>
      </c>
    </row>
    <row r="1400" spans="1:2" x14ac:dyDescent="0.25">
      <c r="A1400" s="1">
        <v>43599</v>
      </c>
      <c r="B1400">
        <v>5.8650000000000002</v>
      </c>
    </row>
    <row r="1401" spans="1:2" x14ac:dyDescent="0.25">
      <c r="A1401" s="1">
        <v>43600</v>
      </c>
      <c r="B1401">
        <v>5.6875</v>
      </c>
    </row>
    <row r="1402" spans="1:2" x14ac:dyDescent="0.25">
      <c r="A1402" s="1">
        <v>43601</v>
      </c>
      <c r="B1402">
        <v>5.4850000000000003</v>
      </c>
    </row>
    <row r="1403" spans="1:2" x14ac:dyDescent="0.25">
      <c r="A1403" s="1">
        <v>43602</v>
      </c>
      <c r="B1403">
        <v>5.77</v>
      </c>
    </row>
    <row r="1404" spans="1:2" x14ac:dyDescent="0.25">
      <c r="A1404" s="1">
        <v>43605</v>
      </c>
      <c r="B1404">
        <v>5.7175000000000002</v>
      </c>
    </row>
    <row r="1405" spans="1:2" x14ac:dyDescent="0.25">
      <c r="A1405" s="1">
        <v>43606</v>
      </c>
      <c r="B1405">
        <v>5.4874999999999998</v>
      </c>
    </row>
    <row r="1406" spans="1:2" x14ac:dyDescent="0.25">
      <c r="A1406" s="1">
        <v>43607</v>
      </c>
      <c r="B1406">
        <v>4.8949999999999996</v>
      </c>
    </row>
    <row r="1407" spans="1:2" x14ac:dyDescent="0.25">
      <c r="A1407" s="1">
        <v>43608</v>
      </c>
      <c r="B1407">
        <v>4.665</v>
      </c>
    </row>
    <row r="1408" spans="1:2" x14ac:dyDescent="0.25">
      <c r="A1408" s="1">
        <v>43609</v>
      </c>
      <c r="B1408">
        <v>4.55</v>
      </c>
    </row>
    <row r="1409" spans="1:2" x14ac:dyDescent="0.25">
      <c r="A1409" s="1">
        <v>43612</v>
      </c>
      <c r="B1409">
        <v>4.3949999999999996</v>
      </c>
    </row>
    <row r="1410" spans="1:2" x14ac:dyDescent="0.25">
      <c r="A1410" s="1">
        <v>43613</v>
      </c>
      <c r="B1410">
        <v>4.5149999999999997</v>
      </c>
    </row>
    <row r="1411" spans="1:2" x14ac:dyDescent="0.25">
      <c r="A1411" s="1">
        <v>43614</v>
      </c>
      <c r="B1411">
        <v>4.5549999999999997</v>
      </c>
    </row>
    <row r="1412" spans="1:2" x14ac:dyDescent="0.25">
      <c r="A1412" s="1">
        <v>43615</v>
      </c>
      <c r="B1412">
        <v>4.6100000000000003</v>
      </c>
    </row>
    <row r="1413" spans="1:2" x14ac:dyDescent="0.25">
      <c r="A1413" s="1">
        <v>43616</v>
      </c>
      <c r="B1413">
        <v>5.2474999999999996</v>
      </c>
    </row>
    <row r="1414" spans="1:2" x14ac:dyDescent="0.25">
      <c r="A1414" s="1">
        <v>43619</v>
      </c>
      <c r="B1414">
        <v>5.4074999999999998</v>
      </c>
    </row>
    <row r="1415" spans="1:2" x14ac:dyDescent="0.25">
      <c r="A1415" s="1">
        <v>43620</v>
      </c>
      <c r="B1415">
        <v>5.3174999999999999</v>
      </c>
    </row>
    <row r="1416" spans="1:2" x14ac:dyDescent="0.25">
      <c r="A1416" s="1">
        <v>43621</v>
      </c>
      <c r="B1416">
        <v>5.1550000000000002</v>
      </c>
    </row>
    <row r="1417" spans="1:2" x14ac:dyDescent="0.25">
      <c r="A1417" s="1">
        <v>43622</v>
      </c>
      <c r="B1417">
        <v>4.9249999999999998</v>
      </c>
    </row>
    <row r="1418" spans="1:2" x14ac:dyDescent="0.25">
      <c r="A1418" s="1">
        <v>43623</v>
      </c>
      <c r="B1418">
        <v>5.2450000000000001</v>
      </c>
    </row>
    <row r="1419" spans="1:2" x14ac:dyDescent="0.25">
      <c r="A1419" s="1">
        <v>43626</v>
      </c>
      <c r="B1419">
        <v>5.2925000000000004</v>
      </c>
    </row>
    <row r="1420" spans="1:2" x14ac:dyDescent="0.25">
      <c r="A1420" s="1">
        <v>43627</v>
      </c>
      <c r="B1420">
        <v>5.1849999999999996</v>
      </c>
    </row>
    <row r="1421" spans="1:2" x14ac:dyDescent="0.25">
      <c r="A1421" s="1">
        <v>43628</v>
      </c>
      <c r="B1421">
        <v>5.1349999999999998</v>
      </c>
    </row>
    <row r="1422" spans="1:2" x14ac:dyDescent="0.25">
      <c r="A1422" s="1">
        <v>43629</v>
      </c>
      <c r="B1422">
        <v>4.9450000000000003</v>
      </c>
    </row>
    <row r="1423" spans="1:2" x14ac:dyDescent="0.25">
      <c r="A1423" s="1">
        <v>43630</v>
      </c>
      <c r="B1423">
        <v>5.18</v>
      </c>
    </row>
    <row r="1424" spans="1:2" x14ac:dyDescent="0.25">
      <c r="A1424" s="1">
        <v>43633</v>
      </c>
      <c r="B1424">
        <v>5.1974999999999998</v>
      </c>
    </row>
    <row r="1425" spans="1:2" x14ac:dyDescent="0.25">
      <c r="A1425" s="1">
        <v>43634</v>
      </c>
      <c r="B1425">
        <v>5.26</v>
      </c>
    </row>
    <row r="1426" spans="1:2" x14ac:dyDescent="0.25">
      <c r="A1426" s="1">
        <v>43635</v>
      </c>
      <c r="B1426">
        <v>5.2750000000000004</v>
      </c>
    </row>
    <row r="1427" spans="1:2" x14ac:dyDescent="0.25">
      <c r="A1427" s="1">
        <v>43636</v>
      </c>
      <c r="B1427">
        <v>5.2</v>
      </c>
    </row>
    <row r="1428" spans="1:2" x14ac:dyDescent="0.25">
      <c r="A1428" s="1">
        <v>43637</v>
      </c>
      <c r="B1428">
        <v>5.1675000000000004</v>
      </c>
    </row>
    <row r="1429" spans="1:2" x14ac:dyDescent="0.25">
      <c r="A1429" s="1">
        <v>43640</v>
      </c>
      <c r="B1429">
        <v>5.1974999999999998</v>
      </c>
    </row>
    <row r="1430" spans="1:2" x14ac:dyDescent="0.25">
      <c r="A1430" s="1">
        <v>43641</v>
      </c>
      <c r="B1430">
        <v>5.22</v>
      </c>
    </row>
    <row r="1431" spans="1:2" x14ac:dyDescent="0.25">
      <c r="A1431" s="1">
        <v>43642</v>
      </c>
      <c r="B1431">
        <v>5.29</v>
      </c>
    </row>
    <row r="1432" spans="1:2" x14ac:dyDescent="0.25">
      <c r="A1432" s="1">
        <v>43643</v>
      </c>
      <c r="B1432">
        <v>5.5674999999999999</v>
      </c>
    </row>
    <row r="1433" spans="1:2" x14ac:dyDescent="0.25">
      <c r="A1433" s="1">
        <v>43644</v>
      </c>
      <c r="B1433">
        <v>5.84</v>
      </c>
    </row>
    <row r="1434" spans="1:2" x14ac:dyDescent="0.25">
      <c r="A1434" s="1">
        <v>43647</v>
      </c>
      <c r="B1434">
        <v>4.79</v>
      </c>
    </row>
    <row r="1435" spans="1:2" x14ac:dyDescent="0.25">
      <c r="A1435" s="1">
        <v>43648</v>
      </c>
      <c r="B1435">
        <v>4.4800000000000004</v>
      </c>
    </row>
    <row r="1436" spans="1:2" x14ac:dyDescent="0.25">
      <c r="A1436" s="1">
        <v>43649</v>
      </c>
      <c r="B1436">
        <v>4.5250000000000004</v>
      </c>
    </row>
    <row r="1437" spans="1:2" x14ac:dyDescent="0.25">
      <c r="A1437" s="1">
        <v>43650</v>
      </c>
      <c r="B1437">
        <v>4.2925000000000004</v>
      </c>
    </row>
    <row r="1438" spans="1:2" x14ac:dyDescent="0.25">
      <c r="A1438" s="1">
        <v>43651</v>
      </c>
      <c r="B1438">
        <v>4.3125</v>
      </c>
    </row>
    <row r="1439" spans="1:2" x14ac:dyDescent="0.25">
      <c r="A1439" s="1">
        <v>43654</v>
      </c>
      <c r="B1439">
        <v>4.1174999999999997</v>
      </c>
    </row>
    <row r="1440" spans="1:2" x14ac:dyDescent="0.25">
      <c r="A1440" s="1">
        <v>43655</v>
      </c>
      <c r="B1440">
        <v>3.8849999999999998</v>
      </c>
    </row>
    <row r="1441" spans="1:2" x14ac:dyDescent="0.25">
      <c r="A1441" s="1">
        <v>43656</v>
      </c>
      <c r="B1441">
        <v>3.83</v>
      </c>
    </row>
    <row r="1442" spans="1:2" x14ac:dyDescent="0.25">
      <c r="A1442" s="1">
        <v>43657</v>
      </c>
      <c r="B1442">
        <v>3.65</v>
      </c>
    </row>
    <row r="1443" spans="1:2" x14ac:dyDescent="0.25">
      <c r="A1443" s="1">
        <v>43658</v>
      </c>
      <c r="B1443">
        <v>3.49</v>
      </c>
    </row>
    <row r="1444" spans="1:2" x14ac:dyDescent="0.25">
      <c r="A1444" s="1">
        <v>43661</v>
      </c>
      <c r="B1444">
        <v>3.4350000000000001</v>
      </c>
    </row>
    <row r="1445" spans="1:2" x14ac:dyDescent="0.25">
      <c r="A1445" s="1">
        <v>43662</v>
      </c>
      <c r="B1445">
        <v>3.35</v>
      </c>
    </row>
    <row r="1446" spans="1:2" x14ac:dyDescent="0.25">
      <c r="A1446" s="1">
        <v>43663</v>
      </c>
      <c r="B1446">
        <v>3.4049999999999998</v>
      </c>
    </row>
    <row r="1447" spans="1:2" x14ac:dyDescent="0.25">
      <c r="A1447" s="1">
        <v>43664</v>
      </c>
      <c r="B1447">
        <v>3.4575</v>
      </c>
    </row>
    <row r="1448" spans="1:2" x14ac:dyDescent="0.25">
      <c r="A1448" s="1">
        <v>43665</v>
      </c>
      <c r="B1448">
        <v>3.5</v>
      </c>
    </row>
    <row r="1449" spans="1:2" x14ac:dyDescent="0.25">
      <c r="A1449" s="1">
        <v>43668</v>
      </c>
      <c r="B1449">
        <v>3.4375</v>
      </c>
    </row>
    <row r="1450" spans="1:2" x14ac:dyDescent="0.25">
      <c r="A1450" s="1">
        <v>43669</v>
      </c>
      <c r="B1450">
        <v>3.3725000000000001</v>
      </c>
    </row>
    <row r="1451" spans="1:2" x14ac:dyDescent="0.25">
      <c r="A1451" s="1">
        <v>43670</v>
      </c>
      <c r="B1451">
        <v>3.5225</v>
      </c>
    </row>
    <row r="1452" spans="1:2" x14ac:dyDescent="0.25">
      <c r="A1452" s="1">
        <v>43671</v>
      </c>
      <c r="B1452">
        <v>3.54</v>
      </c>
    </row>
    <row r="1453" spans="1:2" x14ac:dyDescent="0.25">
      <c r="A1453" s="1">
        <v>43672</v>
      </c>
      <c r="B1453">
        <v>3.5249999999999999</v>
      </c>
    </row>
    <row r="1454" spans="1:2" x14ac:dyDescent="0.25">
      <c r="A1454" s="1">
        <v>43675</v>
      </c>
      <c r="B1454">
        <v>3.57</v>
      </c>
    </row>
    <row r="1455" spans="1:2" x14ac:dyDescent="0.25">
      <c r="A1455" s="1">
        <v>43676</v>
      </c>
      <c r="B1455">
        <v>3.5425</v>
      </c>
    </row>
    <row r="1456" spans="1:2" x14ac:dyDescent="0.25">
      <c r="A1456" s="1">
        <v>43677</v>
      </c>
      <c r="B1456">
        <v>3.51</v>
      </c>
    </row>
    <row r="1457" spans="1:2" x14ac:dyDescent="0.25">
      <c r="A1457" s="1">
        <v>43678</v>
      </c>
      <c r="B1457">
        <v>3.2</v>
      </c>
    </row>
    <row r="1458" spans="1:2" x14ac:dyDescent="0.25">
      <c r="A1458" s="1">
        <v>43679</v>
      </c>
      <c r="B1458">
        <v>5.415</v>
      </c>
    </row>
    <row r="1459" spans="1:2" x14ac:dyDescent="0.25">
      <c r="A1459" s="1">
        <v>43682</v>
      </c>
      <c r="B1459">
        <v>9.4550000000000001</v>
      </c>
    </row>
    <row r="1460" spans="1:2" x14ac:dyDescent="0.25">
      <c r="A1460" s="1">
        <v>43683</v>
      </c>
      <c r="B1460">
        <v>7.2149999999999999</v>
      </c>
    </row>
    <row r="1461" spans="1:2" x14ac:dyDescent="0.25">
      <c r="A1461" s="1">
        <v>43684</v>
      </c>
      <c r="B1461">
        <v>6.5674999999999999</v>
      </c>
    </row>
    <row r="1462" spans="1:2" x14ac:dyDescent="0.25">
      <c r="A1462" s="1">
        <v>43685</v>
      </c>
      <c r="B1462">
        <v>6.32</v>
      </c>
    </row>
    <row r="1463" spans="1:2" x14ac:dyDescent="0.25">
      <c r="A1463" s="1">
        <v>43686</v>
      </c>
      <c r="B1463">
        <v>6.37</v>
      </c>
    </row>
    <row r="1464" spans="1:2" x14ac:dyDescent="0.25">
      <c r="A1464" s="1">
        <v>43689</v>
      </c>
      <c r="B1464">
        <v>6.6825000000000001</v>
      </c>
    </row>
    <row r="1465" spans="1:2" x14ac:dyDescent="0.25">
      <c r="A1465" s="1">
        <v>43690</v>
      </c>
      <c r="B1465">
        <v>6.7774999999999999</v>
      </c>
    </row>
    <row r="1466" spans="1:2" x14ac:dyDescent="0.25">
      <c r="A1466" s="1">
        <v>43691</v>
      </c>
      <c r="B1466">
        <v>6.9325000000000001</v>
      </c>
    </row>
    <row r="1467" spans="1:2" x14ac:dyDescent="0.25">
      <c r="A1467" s="1">
        <v>43692</v>
      </c>
      <c r="B1467">
        <v>6.6150000000000002</v>
      </c>
    </row>
    <row r="1468" spans="1:2" x14ac:dyDescent="0.25">
      <c r="A1468" s="1">
        <v>43693</v>
      </c>
      <c r="B1468">
        <v>6.1950000000000003</v>
      </c>
    </row>
    <row r="1469" spans="1:2" x14ac:dyDescent="0.25">
      <c r="A1469" s="1">
        <v>43696</v>
      </c>
      <c r="B1469">
        <v>6.1150000000000002</v>
      </c>
    </row>
    <row r="1470" spans="1:2" x14ac:dyDescent="0.25">
      <c r="A1470" s="1">
        <v>43697</v>
      </c>
      <c r="B1470">
        <v>6.0925000000000002</v>
      </c>
    </row>
    <row r="1471" spans="1:2" x14ac:dyDescent="0.25">
      <c r="A1471" s="1">
        <v>43698</v>
      </c>
      <c r="B1471">
        <v>5.9349999999999996</v>
      </c>
    </row>
    <row r="1472" spans="1:2" x14ac:dyDescent="0.25">
      <c r="A1472" s="1">
        <v>43699</v>
      </c>
      <c r="B1472">
        <v>6.0350000000000001</v>
      </c>
    </row>
    <row r="1473" spans="1:2" x14ac:dyDescent="0.25">
      <c r="A1473" s="1">
        <v>43700</v>
      </c>
      <c r="B1473">
        <v>6.6675000000000004</v>
      </c>
    </row>
    <row r="1474" spans="1:2" x14ac:dyDescent="0.25">
      <c r="A1474" s="1">
        <v>43703</v>
      </c>
      <c r="B1474">
        <v>7.29</v>
      </c>
    </row>
    <row r="1475" spans="1:2" x14ac:dyDescent="0.25">
      <c r="A1475" s="1">
        <v>43704</v>
      </c>
      <c r="B1475">
        <v>6.8449999999999998</v>
      </c>
    </row>
    <row r="1476" spans="1:2" x14ac:dyDescent="0.25">
      <c r="A1476" s="1">
        <v>43705</v>
      </c>
      <c r="B1476">
        <v>6.6074999999999999</v>
      </c>
    </row>
    <row r="1477" spans="1:2" x14ac:dyDescent="0.25">
      <c r="A1477" s="1">
        <v>43706</v>
      </c>
      <c r="B1477">
        <v>6.94</v>
      </c>
    </row>
    <row r="1478" spans="1:2" x14ac:dyDescent="0.25">
      <c r="A1478" s="1">
        <v>43707</v>
      </c>
      <c r="B1478">
        <v>6.9074999999999998</v>
      </c>
    </row>
    <row r="1479" spans="1:2" x14ac:dyDescent="0.25">
      <c r="A1479" s="1">
        <v>43710</v>
      </c>
      <c r="B1479">
        <v>6.64</v>
      </c>
    </row>
    <row r="1480" spans="1:2" x14ac:dyDescent="0.25">
      <c r="A1480" s="1">
        <v>43711</v>
      </c>
      <c r="B1480">
        <v>6.7050000000000001</v>
      </c>
    </row>
    <row r="1481" spans="1:2" x14ac:dyDescent="0.25">
      <c r="A1481" s="1">
        <v>43712</v>
      </c>
      <c r="B1481">
        <v>6.1475</v>
      </c>
    </row>
    <row r="1482" spans="1:2" x14ac:dyDescent="0.25">
      <c r="A1482" s="1">
        <v>43713</v>
      </c>
      <c r="B1482">
        <v>5.7149999999999999</v>
      </c>
    </row>
    <row r="1483" spans="1:2" x14ac:dyDescent="0.25">
      <c r="A1483" s="1">
        <v>43714</v>
      </c>
      <c r="B1483">
        <v>5.6574999999999998</v>
      </c>
    </row>
    <row r="1484" spans="1:2" x14ac:dyDescent="0.25">
      <c r="A1484" s="1">
        <v>43717</v>
      </c>
      <c r="B1484">
        <v>5.6325000000000003</v>
      </c>
    </row>
    <row r="1485" spans="1:2" x14ac:dyDescent="0.25">
      <c r="A1485" s="1">
        <v>43718</v>
      </c>
      <c r="B1485">
        <v>5.6425000000000001</v>
      </c>
    </row>
    <row r="1486" spans="1:2" x14ac:dyDescent="0.25">
      <c r="A1486" s="1">
        <v>43719</v>
      </c>
      <c r="B1486">
        <v>5.5750000000000002</v>
      </c>
    </row>
    <row r="1487" spans="1:2" x14ac:dyDescent="0.25">
      <c r="A1487" s="1">
        <v>43720</v>
      </c>
      <c r="B1487">
        <v>5.6974999999999998</v>
      </c>
    </row>
    <row r="1488" spans="1:2" x14ac:dyDescent="0.25">
      <c r="A1488" s="1">
        <v>43721</v>
      </c>
      <c r="B1488">
        <v>5.7050000000000001</v>
      </c>
    </row>
    <row r="1489" spans="1:2" x14ac:dyDescent="0.25">
      <c r="A1489" s="1">
        <v>43724</v>
      </c>
      <c r="B1489">
        <v>5.7625000000000002</v>
      </c>
    </row>
    <row r="1490" spans="1:2" x14ac:dyDescent="0.25">
      <c r="A1490" s="1">
        <v>43725</v>
      </c>
      <c r="B1490">
        <v>5.835</v>
      </c>
    </row>
    <row r="1491" spans="1:2" x14ac:dyDescent="0.25">
      <c r="A1491" s="1">
        <v>43726</v>
      </c>
      <c r="B1491">
        <v>5.8425000000000002</v>
      </c>
    </row>
    <row r="1492" spans="1:2" x14ac:dyDescent="0.25">
      <c r="A1492" s="1">
        <v>43727</v>
      </c>
      <c r="B1492">
        <v>5.93</v>
      </c>
    </row>
    <row r="1493" spans="1:2" x14ac:dyDescent="0.25">
      <c r="A1493" s="1">
        <v>43728</v>
      </c>
      <c r="B1493">
        <v>5.9649999999999999</v>
      </c>
    </row>
    <row r="1494" spans="1:2" x14ac:dyDescent="0.25">
      <c r="A1494" s="1">
        <v>43731</v>
      </c>
      <c r="B1494">
        <v>6.2575000000000003</v>
      </c>
    </row>
    <row r="1495" spans="1:2" x14ac:dyDescent="0.25">
      <c r="A1495" s="1">
        <v>43732</v>
      </c>
      <c r="B1495">
        <v>6.1849999999999996</v>
      </c>
    </row>
    <row r="1496" spans="1:2" x14ac:dyDescent="0.25">
      <c r="A1496" s="1">
        <v>43733</v>
      </c>
      <c r="B1496">
        <v>6.2275</v>
      </c>
    </row>
    <row r="1497" spans="1:2" x14ac:dyDescent="0.25">
      <c r="A1497" s="1">
        <v>43734</v>
      </c>
      <c r="B1497">
        <v>6.2149999999999999</v>
      </c>
    </row>
    <row r="1498" spans="1:2" x14ac:dyDescent="0.25">
      <c r="A1498" s="1">
        <v>43735</v>
      </c>
      <c r="B1498">
        <v>6.3150000000000004</v>
      </c>
    </row>
    <row r="1499" spans="1:2" x14ac:dyDescent="0.25">
      <c r="A1499" s="1">
        <v>43738</v>
      </c>
      <c r="B1499">
        <v>6.2725</v>
      </c>
    </row>
    <row r="1500" spans="1:2" x14ac:dyDescent="0.25">
      <c r="A1500" s="1">
        <v>43739</v>
      </c>
      <c r="B1500">
        <v>6.1849999999999996</v>
      </c>
    </row>
    <row r="1501" spans="1:2" x14ac:dyDescent="0.25">
      <c r="A1501" s="1">
        <v>43740</v>
      </c>
      <c r="B1501">
        <v>6.2149999999999999</v>
      </c>
    </row>
    <row r="1502" spans="1:2" x14ac:dyDescent="0.25">
      <c r="A1502" s="1">
        <v>43741</v>
      </c>
      <c r="B1502">
        <v>6.085</v>
      </c>
    </row>
    <row r="1503" spans="1:2" x14ac:dyDescent="0.25">
      <c r="A1503" s="1">
        <v>43742</v>
      </c>
      <c r="B1503">
        <v>6.0750000000000002</v>
      </c>
    </row>
    <row r="1504" spans="1:2" x14ac:dyDescent="0.25">
      <c r="A1504" s="1">
        <v>43745</v>
      </c>
      <c r="B1504">
        <v>6.2474999999999996</v>
      </c>
    </row>
    <row r="1505" spans="1:2" x14ac:dyDescent="0.25">
      <c r="A1505" s="1">
        <v>43746</v>
      </c>
      <c r="B1505">
        <v>6.26</v>
      </c>
    </row>
    <row r="1506" spans="1:2" x14ac:dyDescent="0.25">
      <c r="A1506" s="1">
        <v>43747</v>
      </c>
      <c r="B1506">
        <v>6.37</v>
      </c>
    </row>
    <row r="1507" spans="1:2" x14ac:dyDescent="0.25">
      <c r="A1507" s="1">
        <v>43748</v>
      </c>
      <c r="B1507">
        <v>6.62</v>
      </c>
    </row>
    <row r="1508" spans="1:2" x14ac:dyDescent="0.25">
      <c r="A1508" s="1">
        <v>43749</v>
      </c>
      <c r="B1508">
        <v>6.4749999999999996</v>
      </c>
    </row>
    <row r="1509" spans="1:2" x14ac:dyDescent="0.25">
      <c r="A1509" s="1">
        <v>43752</v>
      </c>
      <c r="B1509">
        <v>5.24</v>
      </c>
    </row>
    <row r="1510" spans="1:2" x14ac:dyDescent="0.25">
      <c r="A1510" s="1">
        <v>43753</v>
      </c>
      <c r="B1510">
        <v>4.96</v>
      </c>
    </row>
    <row r="1511" spans="1:2" x14ac:dyDescent="0.25">
      <c r="A1511" s="1">
        <v>43754</v>
      </c>
      <c r="B1511">
        <v>5.08</v>
      </c>
    </row>
    <row r="1512" spans="1:2" x14ac:dyDescent="0.25">
      <c r="A1512" s="1">
        <v>43755</v>
      </c>
      <c r="B1512">
        <v>5.41</v>
      </c>
    </row>
    <row r="1513" spans="1:2" x14ac:dyDescent="0.25">
      <c r="A1513" s="1">
        <v>43756</v>
      </c>
      <c r="B1513">
        <v>5.3550000000000004</v>
      </c>
    </row>
    <row r="1514" spans="1:2" x14ac:dyDescent="0.25">
      <c r="A1514" s="1">
        <v>43759</v>
      </c>
      <c r="B1514">
        <v>5.3949999999999996</v>
      </c>
    </row>
    <row r="1515" spans="1:2" x14ac:dyDescent="0.25">
      <c r="A1515" s="1">
        <v>43760</v>
      </c>
      <c r="B1515">
        <v>5.13</v>
      </c>
    </row>
    <row r="1516" spans="1:2" x14ac:dyDescent="0.25">
      <c r="A1516" s="1">
        <v>43761</v>
      </c>
      <c r="B1516">
        <v>5.05</v>
      </c>
    </row>
    <row r="1517" spans="1:2" x14ac:dyDescent="0.25">
      <c r="A1517" s="1">
        <v>43762</v>
      </c>
      <c r="B1517">
        <v>4.9450000000000003</v>
      </c>
    </row>
    <row r="1518" spans="1:2" x14ac:dyDescent="0.25">
      <c r="A1518" s="1">
        <v>43763</v>
      </c>
      <c r="B1518">
        <v>4.7300000000000004</v>
      </c>
    </row>
    <row r="1519" spans="1:2" x14ac:dyDescent="0.25">
      <c r="A1519" s="1">
        <v>43766</v>
      </c>
      <c r="B1519">
        <v>4.7300000000000004</v>
      </c>
    </row>
    <row r="1520" spans="1:2" x14ac:dyDescent="0.25">
      <c r="A1520" s="1">
        <v>43767</v>
      </c>
      <c r="B1520">
        <v>4.67</v>
      </c>
    </row>
    <row r="1521" spans="1:2" x14ac:dyDescent="0.25">
      <c r="A1521" s="1">
        <v>43768</v>
      </c>
      <c r="B1521">
        <v>4.6399999999999997</v>
      </c>
    </row>
    <row r="1522" spans="1:2" x14ac:dyDescent="0.25">
      <c r="A1522" s="1">
        <v>43769</v>
      </c>
      <c r="B1522">
        <v>4.59</v>
      </c>
    </row>
    <row r="1523" spans="1:2" x14ac:dyDescent="0.25">
      <c r="A1523" s="1">
        <v>43770</v>
      </c>
      <c r="B1523">
        <v>4.5724999999999998</v>
      </c>
    </row>
    <row r="1524" spans="1:2" x14ac:dyDescent="0.25">
      <c r="A1524" s="1">
        <v>43773</v>
      </c>
      <c r="B1524">
        <v>4.6325000000000003</v>
      </c>
    </row>
    <row r="1525" spans="1:2" x14ac:dyDescent="0.25">
      <c r="A1525" s="1">
        <v>43774</v>
      </c>
      <c r="B1525">
        <v>5.3550000000000004</v>
      </c>
    </row>
    <row r="1526" spans="1:2" x14ac:dyDescent="0.25">
      <c r="A1526" s="1">
        <v>43775</v>
      </c>
      <c r="B1526">
        <v>5.2024999999999997</v>
      </c>
    </row>
    <row r="1527" spans="1:2" x14ac:dyDescent="0.25">
      <c r="A1527" s="1">
        <v>43776</v>
      </c>
      <c r="B1527">
        <v>5.1550000000000002</v>
      </c>
    </row>
    <row r="1528" spans="1:2" x14ac:dyDescent="0.25">
      <c r="A1528" s="1">
        <v>43777</v>
      </c>
      <c r="B1528">
        <v>4.7850000000000001</v>
      </c>
    </row>
    <row r="1529" spans="1:2" x14ac:dyDescent="0.25">
      <c r="A1529" s="1">
        <v>43780</v>
      </c>
      <c r="B1529">
        <v>5.1425000000000001</v>
      </c>
    </row>
    <row r="1530" spans="1:2" x14ac:dyDescent="0.25">
      <c r="A1530" s="1">
        <v>43781</v>
      </c>
      <c r="B1530">
        <v>5.05</v>
      </c>
    </row>
    <row r="1531" spans="1:2" x14ac:dyDescent="0.25">
      <c r="A1531" s="1">
        <v>43782</v>
      </c>
      <c r="B1531">
        <v>5.21</v>
      </c>
    </row>
    <row r="1532" spans="1:2" x14ac:dyDescent="0.25">
      <c r="A1532" s="1">
        <v>43783</v>
      </c>
      <c r="B1532">
        <v>5.21</v>
      </c>
    </row>
    <row r="1533" spans="1:2" x14ac:dyDescent="0.25">
      <c r="A1533" s="1">
        <v>43784</v>
      </c>
      <c r="B1533">
        <v>5.08</v>
      </c>
    </row>
    <row r="1534" spans="1:2" x14ac:dyDescent="0.25">
      <c r="A1534" s="1">
        <v>43787</v>
      </c>
      <c r="B1534">
        <v>5.0674999999999999</v>
      </c>
    </row>
    <row r="1535" spans="1:2" x14ac:dyDescent="0.25">
      <c r="A1535" s="1">
        <v>43788</v>
      </c>
      <c r="B1535">
        <v>5.0975000000000001</v>
      </c>
    </row>
    <row r="1536" spans="1:2" x14ac:dyDescent="0.25">
      <c r="A1536" s="1">
        <v>43789</v>
      </c>
      <c r="B1536">
        <v>5.44</v>
      </c>
    </row>
    <row r="1537" spans="1:2" x14ac:dyDescent="0.25">
      <c r="A1537" s="1">
        <v>43790</v>
      </c>
      <c r="B1537">
        <v>5.4775</v>
      </c>
    </row>
    <row r="1538" spans="1:2" x14ac:dyDescent="0.25">
      <c r="A1538" s="1">
        <v>43791</v>
      </c>
      <c r="B1538">
        <v>5.32</v>
      </c>
    </row>
    <row r="1539" spans="1:2" x14ac:dyDescent="0.25">
      <c r="A1539" s="1">
        <v>43794</v>
      </c>
      <c r="B1539">
        <v>5.2575000000000003</v>
      </c>
    </row>
    <row r="1540" spans="1:2" x14ac:dyDescent="0.25">
      <c r="A1540" s="1">
        <v>43795</v>
      </c>
      <c r="B1540">
        <v>5.0449999999999999</v>
      </c>
    </row>
    <row r="1541" spans="1:2" x14ac:dyDescent="0.25">
      <c r="A1541" s="1">
        <v>43796</v>
      </c>
      <c r="B1541">
        <v>4.8499999999999996</v>
      </c>
    </row>
    <row r="1542" spans="1:2" x14ac:dyDescent="0.25">
      <c r="A1542" s="1">
        <v>43797</v>
      </c>
      <c r="B1542">
        <v>4.74</v>
      </c>
    </row>
    <row r="1543" spans="1:2" x14ac:dyDescent="0.25">
      <c r="A1543" s="1">
        <v>43798</v>
      </c>
      <c r="B1543">
        <v>4.7249999999999996</v>
      </c>
    </row>
    <row r="1544" spans="1:2" x14ac:dyDescent="0.25">
      <c r="A1544" s="1">
        <v>43801</v>
      </c>
      <c r="B1544">
        <v>4.7675000000000001</v>
      </c>
    </row>
    <row r="1545" spans="1:2" x14ac:dyDescent="0.25">
      <c r="A1545" s="1">
        <v>43802</v>
      </c>
      <c r="B1545">
        <v>5.27</v>
      </c>
    </row>
    <row r="1546" spans="1:2" x14ac:dyDescent="0.25">
      <c r="A1546" s="1">
        <v>43803</v>
      </c>
      <c r="B1546">
        <v>5.55</v>
      </c>
    </row>
    <row r="1547" spans="1:2" x14ac:dyDescent="0.25">
      <c r="A1547" s="1">
        <v>43804</v>
      </c>
      <c r="B1547">
        <v>5.4850000000000003</v>
      </c>
    </row>
    <row r="1548" spans="1:2" x14ac:dyDescent="0.25">
      <c r="A1548" s="1">
        <v>43805</v>
      </c>
      <c r="B1548">
        <v>5.45</v>
      </c>
    </row>
    <row r="1549" spans="1:2" x14ac:dyDescent="0.25">
      <c r="A1549" s="1">
        <v>43808</v>
      </c>
      <c r="B1549">
        <v>5.53</v>
      </c>
    </row>
    <row r="1550" spans="1:2" x14ac:dyDescent="0.25">
      <c r="A1550" s="1">
        <v>43809</v>
      </c>
      <c r="B1550">
        <v>5.6074999999999999</v>
      </c>
    </row>
    <row r="1551" spans="1:2" x14ac:dyDescent="0.25">
      <c r="A1551" s="1">
        <v>43810</v>
      </c>
      <c r="B1551">
        <v>5.5674999999999999</v>
      </c>
    </row>
    <row r="1552" spans="1:2" x14ac:dyDescent="0.25">
      <c r="A1552" s="1">
        <v>43811</v>
      </c>
      <c r="B1552">
        <v>5.5824999999999996</v>
      </c>
    </row>
    <row r="1553" spans="1:2" x14ac:dyDescent="0.25">
      <c r="A1553" s="1">
        <v>43812</v>
      </c>
      <c r="B1553">
        <v>5.665</v>
      </c>
    </row>
    <row r="1554" spans="1:2" x14ac:dyDescent="0.25">
      <c r="A1554" s="1">
        <v>43815</v>
      </c>
      <c r="B1554">
        <v>4.7625000000000002</v>
      </c>
    </row>
    <row r="1555" spans="1:2" x14ac:dyDescent="0.25">
      <c r="A1555" s="1">
        <v>43816</v>
      </c>
      <c r="B1555">
        <v>4.7874999999999996</v>
      </c>
    </row>
    <row r="1556" spans="1:2" x14ac:dyDescent="0.25">
      <c r="A1556" s="1">
        <v>43817</v>
      </c>
      <c r="B1556">
        <v>4.66</v>
      </c>
    </row>
    <row r="1557" spans="1:2" x14ac:dyDescent="0.25">
      <c r="A1557" s="1">
        <v>43818</v>
      </c>
      <c r="B1557">
        <v>4.5199999999999996</v>
      </c>
    </row>
    <row r="1558" spans="1:2" x14ac:dyDescent="0.25">
      <c r="A1558" s="1">
        <v>43819</v>
      </c>
      <c r="B1558">
        <v>4.1950000000000003</v>
      </c>
    </row>
    <row r="1559" spans="1:2" x14ac:dyDescent="0.25">
      <c r="A1559" s="1">
        <v>43822</v>
      </c>
      <c r="B1559">
        <v>4.1675000000000004</v>
      </c>
    </row>
    <row r="1560" spans="1:2" x14ac:dyDescent="0.25">
      <c r="A1560" s="1">
        <v>43823</v>
      </c>
      <c r="B1560">
        <v>4.1100000000000003</v>
      </c>
    </row>
    <row r="1561" spans="1:2" x14ac:dyDescent="0.25">
      <c r="A1561" s="1">
        <v>43824</v>
      </c>
      <c r="B1561">
        <v>4.1349999999999998</v>
      </c>
    </row>
    <row r="1562" spans="1:2" x14ac:dyDescent="0.25">
      <c r="A1562" s="1">
        <v>43825</v>
      </c>
      <c r="B1562">
        <v>4.2424999999999997</v>
      </c>
    </row>
    <row r="1563" spans="1:2" x14ac:dyDescent="0.25">
      <c r="A1563" s="1">
        <v>43826</v>
      </c>
      <c r="B1563">
        <v>4.2149999999999999</v>
      </c>
    </row>
    <row r="1564" spans="1:2" x14ac:dyDescent="0.25">
      <c r="A1564" s="1">
        <v>43829</v>
      </c>
      <c r="B1564">
        <v>4.55</v>
      </c>
    </row>
    <row r="1565" spans="1:2" x14ac:dyDescent="0.25">
      <c r="A1565" s="1">
        <v>43830</v>
      </c>
      <c r="B1565">
        <v>4.5350000000000001</v>
      </c>
    </row>
    <row r="1566" spans="1:2" x14ac:dyDescent="0.25">
      <c r="A1566" s="1">
        <v>43831</v>
      </c>
      <c r="B1566">
        <v>4.5425000000000004</v>
      </c>
    </row>
    <row r="1567" spans="1:2" x14ac:dyDescent="0.25">
      <c r="A1567" s="1">
        <v>43832</v>
      </c>
      <c r="B1567">
        <v>4.4349999999999996</v>
      </c>
    </row>
    <row r="1568" spans="1:2" x14ac:dyDescent="0.25">
      <c r="A1568" s="1">
        <v>43833</v>
      </c>
      <c r="B1568">
        <v>4.4800000000000004</v>
      </c>
    </row>
    <row r="1569" spans="1:2" x14ac:dyDescent="0.25">
      <c r="A1569" s="1">
        <v>43836</v>
      </c>
      <c r="B1569">
        <v>4.49</v>
      </c>
    </row>
    <row r="1570" spans="1:2" x14ac:dyDescent="0.25">
      <c r="A1570" s="1">
        <v>43837</v>
      </c>
      <c r="B1570">
        <v>4.6449999999999996</v>
      </c>
    </row>
    <row r="1571" spans="1:2" x14ac:dyDescent="0.25">
      <c r="A1571" s="1">
        <v>43838</v>
      </c>
      <c r="B1571">
        <v>4.8324999999999996</v>
      </c>
    </row>
    <row r="1572" spans="1:2" x14ac:dyDescent="0.25">
      <c r="A1572" s="1">
        <v>43839</v>
      </c>
      <c r="B1572">
        <v>4.6675000000000004</v>
      </c>
    </row>
    <row r="1573" spans="1:2" x14ac:dyDescent="0.25">
      <c r="A1573" s="1">
        <v>43840</v>
      </c>
      <c r="B1573">
        <v>4.47</v>
      </c>
    </row>
    <row r="1574" spans="1:2" x14ac:dyDescent="0.25">
      <c r="A1574" s="1">
        <v>43843</v>
      </c>
      <c r="B1574">
        <v>4.5975000000000001</v>
      </c>
    </row>
    <row r="1575" spans="1:2" x14ac:dyDescent="0.25">
      <c r="A1575" s="1">
        <v>43844</v>
      </c>
      <c r="B1575">
        <v>4.5449999999999999</v>
      </c>
    </row>
    <row r="1576" spans="1:2" x14ac:dyDescent="0.25">
      <c r="A1576" s="1">
        <v>43845</v>
      </c>
      <c r="B1576">
        <v>4.37</v>
      </c>
    </row>
    <row r="1577" spans="1:2" x14ac:dyDescent="0.25">
      <c r="A1577" s="1">
        <v>43846</v>
      </c>
      <c r="B1577">
        <v>3.98</v>
      </c>
    </row>
    <row r="1578" spans="1:2" x14ac:dyDescent="0.25">
      <c r="A1578" s="1">
        <v>43847</v>
      </c>
      <c r="B1578">
        <v>3.875</v>
      </c>
    </row>
    <row r="1579" spans="1:2" x14ac:dyDescent="0.25">
      <c r="A1579" s="1">
        <v>43850</v>
      </c>
      <c r="B1579">
        <v>3.8925000000000001</v>
      </c>
    </row>
    <row r="1580" spans="1:2" x14ac:dyDescent="0.25">
      <c r="A1580" s="1">
        <v>43851</v>
      </c>
      <c r="B1580">
        <v>4.2649999999999997</v>
      </c>
    </row>
    <row r="1581" spans="1:2" x14ac:dyDescent="0.25">
      <c r="A1581" s="1">
        <v>43852</v>
      </c>
      <c r="B1581">
        <v>4.09</v>
      </c>
    </row>
    <row r="1582" spans="1:2" x14ac:dyDescent="0.25">
      <c r="A1582" s="1">
        <v>43853</v>
      </c>
      <c r="B1582">
        <v>4.2750000000000004</v>
      </c>
    </row>
    <row r="1583" spans="1:2" x14ac:dyDescent="0.25">
      <c r="A1583" s="1">
        <v>43854</v>
      </c>
      <c r="B1583">
        <v>4.24</v>
      </c>
    </row>
    <row r="1584" spans="1:2" x14ac:dyDescent="0.25">
      <c r="A1584" s="1">
        <v>43857</v>
      </c>
      <c r="B1584">
        <v>5.2874999999999996</v>
      </c>
    </row>
    <row r="1585" spans="1:2" x14ac:dyDescent="0.25">
      <c r="A1585" s="1">
        <v>43858</v>
      </c>
      <c r="B1585">
        <v>5.4450000000000003</v>
      </c>
    </row>
    <row r="1586" spans="1:2" x14ac:dyDescent="0.25">
      <c r="A1586" s="1">
        <v>43859</v>
      </c>
      <c r="B1586">
        <v>4.8499999999999996</v>
      </c>
    </row>
    <row r="1587" spans="1:2" x14ac:dyDescent="0.25">
      <c r="A1587" s="1">
        <v>43860</v>
      </c>
      <c r="B1587">
        <v>5.3150000000000004</v>
      </c>
    </row>
    <row r="1588" spans="1:2" x14ac:dyDescent="0.25">
      <c r="A1588" s="1">
        <v>43861</v>
      </c>
      <c r="B1588">
        <v>5.0575000000000001</v>
      </c>
    </row>
    <row r="1589" spans="1:2" x14ac:dyDescent="0.25">
      <c r="A1589" s="1">
        <v>43864</v>
      </c>
      <c r="B1589">
        <v>5.165</v>
      </c>
    </row>
    <row r="1590" spans="1:2" x14ac:dyDescent="0.25">
      <c r="A1590" s="1">
        <v>43865</v>
      </c>
      <c r="B1590">
        <v>4.8899999999999997</v>
      </c>
    </row>
    <row r="1591" spans="1:2" x14ac:dyDescent="0.25">
      <c r="A1591" s="1">
        <v>43866</v>
      </c>
      <c r="B1591">
        <v>4.7424999999999997</v>
      </c>
    </row>
    <row r="1592" spans="1:2" x14ac:dyDescent="0.25">
      <c r="A1592" s="1">
        <v>43867</v>
      </c>
      <c r="B1592">
        <v>4.915</v>
      </c>
    </row>
    <row r="1593" spans="1:2" x14ac:dyDescent="0.25">
      <c r="A1593" s="1">
        <v>43868</v>
      </c>
      <c r="B1593">
        <v>4.915</v>
      </c>
    </row>
    <row r="1594" spans="1:2" x14ac:dyDescent="0.25">
      <c r="A1594" s="1">
        <v>43871</v>
      </c>
      <c r="B1594">
        <v>4.91</v>
      </c>
    </row>
    <row r="1595" spans="1:2" x14ac:dyDescent="0.25">
      <c r="A1595" s="1">
        <v>43872</v>
      </c>
      <c r="B1595">
        <v>4.7874999999999996</v>
      </c>
    </row>
    <row r="1596" spans="1:2" x14ac:dyDescent="0.25">
      <c r="A1596" s="1">
        <v>43873</v>
      </c>
      <c r="B1596">
        <v>4.7149999999999999</v>
      </c>
    </row>
    <row r="1597" spans="1:2" x14ac:dyDescent="0.25">
      <c r="A1597" s="1">
        <v>43874</v>
      </c>
      <c r="B1597">
        <v>4.5925000000000002</v>
      </c>
    </row>
    <row r="1598" spans="1:2" x14ac:dyDescent="0.25">
      <c r="A1598" s="1">
        <v>43875</v>
      </c>
      <c r="B1598">
        <v>4.2750000000000004</v>
      </c>
    </row>
    <row r="1599" spans="1:2" x14ac:dyDescent="0.25">
      <c r="A1599" s="1">
        <v>43878</v>
      </c>
      <c r="B1599">
        <v>4.13</v>
      </c>
    </row>
    <row r="1600" spans="1:2" x14ac:dyDescent="0.25">
      <c r="A1600" s="1">
        <v>43879</v>
      </c>
      <c r="B1600">
        <v>4.3574999999999999</v>
      </c>
    </row>
    <row r="1601" spans="1:2" x14ac:dyDescent="0.25">
      <c r="A1601" s="1">
        <v>43880</v>
      </c>
      <c r="B1601">
        <v>4.1974999999999998</v>
      </c>
    </row>
    <row r="1602" spans="1:2" x14ac:dyDescent="0.25">
      <c r="A1602" s="1">
        <v>43881</v>
      </c>
      <c r="B1602">
        <v>4.54</v>
      </c>
    </row>
    <row r="1603" spans="1:2" x14ac:dyDescent="0.25">
      <c r="A1603" s="1">
        <v>43882</v>
      </c>
      <c r="B1603">
        <v>4.66</v>
      </c>
    </row>
    <row r="1604" spans="1:2" x14ac:dyDescent="0.25">
      <c r="A1604" s="1">
        <v>43885</v>
      </c>
      <c r="B1604">
        <v>4.7925000000000004</v>
      </c>
    </row>
    <row r="1605" spans="1:2" x14ac:dyDescent="0.25">
      <c r="A1605" s="1">
        <v>43886</v>
      </c>
      <c r="B1605">
        <v>4.5999999999999996</v>
      </c>
    </row>
    <row r="1606" spans="1:2" x14ac:dyDescent="0.25">
      <c r="A1606" s="1">
        <v>43887</v>
      </c>
      <c r="B1606">
        <v>4.6399999999999997</v>
      </c>
    </row>
    <row r="1607" spans="1:2" x14ac:dyDescent="0.25">
      <c r="A1607" s="1">
        <v>43888</v>
      </c>
      <c r="B1607">
        <v>4.43</v>
      </c>
    </row>
    <row r="1608" spans="1:2" x14ac:dyDescent="0.25">
      <c r="A1608" s="1">
        <v>43889</v>
      </c>
      <c r="B1608">
        <v>4.8499999999999996</v>
      </c>
    </row>
    <row r="1609" spans="1:2" x14ac:dyDescent="0.25">
      <c r="A1609" s="1">
        <v>43892</v>
      </c>
      <c r="B1609">
        <v>5.0650000000000004</v>
      </c>
    </row>
    <row r="1610" spans="1:2" x14ac:dyDescent="0.25">
      <c r="A1610" s="1">
        <v>43893</v>
      </c>
      <c r="B1610">
        <v>5</v>
      </c>
    </row>
    <row r="1611" spans="1:2" x14ac:dyDescent="0.25">
      <c r="A1611" s="1">
        <v>43894</v>
      </c>
      <c r="B1611">
        <v>5.0225</v>
      </c>
    </row>
    <row r="1612" spans="1:2" x14ac:dyDescent="0.25">
      <c r="A1612" s="1">
        <v>43895</v>
      </c>
      <c r="B1612">
        <v>4.8025000000000002</v>
      </c>
    </row>
    <row r="1613" spans="1:2" x14ac:dyDescent="0.25">
      <c r="A1613" s="1">
        <v>43896</v>
      </c>
      <c r="B1613">
        <v>4.9725000000000001</v>
      </c>
    </row>
    <row r="1614" spans="1:2" x14ac:dyDescent="0.25">
      <c r="A1614" s="1">
        <v>43899</v>
      </c>
      <c r="B1614">
        <v>6.0225</v>
      </c>
    </row>
    <row r="1615" spans="1:2" x14ac:dyDescent="0.25">
      <c r="A1615" s="1">
        <v>43900</v>
      </c>
      <c r="B1615">
        <v>5.4850000000000003</v>
      </c>
    </row>
    <row r="1616" spans="1:2" x14ac:dyDescent="0.25">
      <c r="A1616" s="1">
        <v>43901</v>
      </c>
      <c r="B1616">
        <v>5.3825000000000003</v>
      </c>
    </row>
    <row r="1617" spans="1:2" x14ac:dyDescent="0.25">
      <c r="A1617" s="1">
        <v>43902</v>
      </c>
      <c r="B1617">
        <v>6.9249999999999998</v>
      </c>
    </row>
    <row r="1618" spans="1:2" x14ac:dyDescent="0.25">
      <c r="A1618" s="1">
        <v>43903</v>
      </c>
      <c r="B1618">
        <v>6.7</v>
      </c>
    </row>
    <row r="1619" spans="1:2" x14ac:dyDescent="0.25">
      <c r="A1619" s="1">
        <v>43906</v>
      </c>
      <c r="B1619">
        <v>7.0324999999999998</v>
      </c>
    </row>
    <row r="1620" spans="1:2" x14ac:dyDescent="0.25">
      <c r="A1620" s="1">
        <v>43907</v>
      </c>
      <c r="B1620">
        <v>6.8875000000000002</v>
      </c>
    </row>
    <row r="1621" spans="1:2" x14ac:dyDescent="0.25">
      <c r="A1621" s="1">
        <v>43908</v>
      </c>
      <c r="B1621">
        <v>6.5674999999999999</v>
      </c>
    </row>
    <row r="1622" spans="1:2" x14ac:dyDescent="0.25">
      <c r="A1622" s="1">
        <v>43909</v>
      </c>
      <c r="B1622">
        <v>9.5075000000000003</v>
      </c>
    </row>
    <row r="1623" spans="1:2" x14ac:dyDescent="0.25">
      <c r="A1623" s="1">
        <v>43910</v>
      </c>
      <c r="B1623">
        <v>8.25</v>
      </c>
    </row>
    <row r="1624" spans="1:2" x14ac:dyDescent="0.25">
      <c r="A1624" s="1">
        <v>43913</v>
      </c>
      <c r="B1624">
        <v>8.85</v>
      </c>
    </row>
    <row r="1625" spans="1:2" x14ac:dyDescent="0.25">
      <c r="A1625" s="1">
        <v>43914</v>
      </c>
      <c r="B1625">
        <v>7.91</v>
      </c>
    </row>
    <row r="1626" spans="1:2" x14ac:dyDescent="0.25">
      <c r="A1626" s="1">
        <v>43915</v>
      </c>
      <c r="B1626">
        <v>6.98</v>
      </c>
    </row>
    <row r="1627" spans="1:2" x14ac:dyDescent="0.25">
      <c r="A1627" s="1">
        <v>43916</v>
      </c>
      <c r="B1627">
        <v>6.73</v>
      </c>
    </row>
    <row r="1628" spans="1:2" x14ac:dyDescent="0.25">
      <c r="A1628" s="1">
        <v>43917</v>
      </c>
      <c r="B1628">
        <v>6.79</v>
      </c>
    </row>
    <row r="1629" spans="1:2" x14ac:dyDescent="0.25">
      <c r="A1629" s="1">
        <v>43920</v>
      </c>
      <c r="B1629">
        <v>6.7249999999999996</v>
      </c>
    </row>
    <row r="1630" spans="1:2" x14ac:dyDescent="0.25">
      <c r="A1630" s="1">
        <v>43921</v>
      </c>
      <c r="B1630">
        <v>6.3425000000000002</v>
      </c>
    </row>
    <row r="1631" spans="1:2" x14ac:dyDescent="0.25">
      <c r="A1631" s="1">
        <v>43922</v>
      </c>
      <c r="B1631">
        <v>6.27</v>
      </c>
    </row>
    <row r="1632" spans="1:2" x14ac:dyDescent="0.25">
      <c r="A1632" s="1">
        <v>43923</v>
      </c>
      <c r="B1632">
        <v>6.3425000000000002</v>
      </c>
    </row>
    <row r="1633" spans="1:2" x14ac:dyDescent="0.25">
      <c r="A1633" s="1">
        <v>43924</v>
      </c>
      <c r="B1633">
        <v>6.2225000000000001</v>
      </c>
    </row>
    <row r="1634" spans="1:2" x14ac:dyDescent="0.25">
      <c r="A1634" s="1">
        <v>43927</v>
      </c>
      <c r="B1634">
        <v>6.3049999999999997</v>
      </c>
    </row>
    <row r="1635" spans="1:2" x14ac:dyDescent="0.25">
      <c r="A1635" s="1">
        <v>43928</v>
      </c>
      <c r="B1635">
        <v>5.96</v>
      </c>
    </row>
    <row r="1636" spans="1:2" x14ac:dyDescent="0.25">
      <c r="A1636" s="1">
        <v>43929</v>
      </c>
      <c r="B1636">
        <v>5.8274999999999997</v>
      </c>
    </row>
    <row r="1637" spans="1:2" x14ac:dyDescent="0.25">
      <c r="A1637" s="1">
        <v>43930</v>
      </c>
      <c r="B1637">
        <v>5.3849999999999998</v>
      </c>
    </row>
    <row r="1638" spans="1:2" x14ac:dyDescent="0.25">
      <c r="A1638" s="1">
        <v>43931</v>
      </c>
      <c r="B1638">
        <v>5.3650000000000002</v>
      </c>
    </row>
    <row r="1639" spans="1:2" x14ac:dyDescent="0.25">
      <c r="A1639" s="1">
        <v>43934</v>
      </c>
      <c r="B1639">
        <v>5.5549999999999997</v>
      </c>
    </row>
    <row r="1640" spans="1:2" x14ac:dyDescent="0.25">
      <c r="A1640" s="1">
        <v>43935</v>
      </c>
      <c r="B1640">
        <v>5.2975000000000003</v>
      </c>
    </row>
    <row r="1641" spans="1:2" x14ac:dyDescent="0.25">
      <c r="A1641" s="1">
        <v>43936</v>
      </c>
      <c r="B1641">
        <v>5.26</v>
      </c>
    </row>
    <row r="1642" spans="1:2" x14ac:dyDescent="0.25">
      <c r="A1642" s="1">
        <v>43937</v>
      </c>
      <c r="B1642">
        <v>5.2925000000000004</v>
      </c>
    </row>
    <row r="1643" spans="1:2" x14ac:dyDescent="0.25">
      <c r="A1643" s="1">
        <v>43938</v>
      </c>
      <c r="B1643">
        <v>5.2549999999999999</v>
      </c>
    </row>
    <row r="1644" spans="1:2" x14ac:dyDescent="0.25">
      <c r="A1644" s="1">
        <v>43941</v>
      </c>
      <c r="B1644">
        <v>5.375</v>
      </c>
    </row>
    <row r="1645" spans="1:2" x14ac:dyDescent="0.25">
      <c r="A1645" s="1">
        <v>43942</v>
      </c>
      <c r="B1645">
        <v>5.5575000000000001</v>
      </c>
    </row>
    <row r="1646" spans="1:2" x14ac:dyDescent="0.25">
      <c r="A1646" s="1">
        <v>43943</v>
      </c>
      <c r="B1646">
        <v>5.3449999999999998</v>
      </c>
    </row>
    <row r="1647" spans="1:2" x14ac:dyDescent="0.25">
      <c r="A1647" s="1">
        <v>43944</v>
      </c>
      <c r="B1647">
        <v>5.0425000000000004</v>
      </c>
    </row>
    <row r="1648" spans="1:2" x14ac:dyDescent="0.25">
      <c r="A1648" s="1">
        <v>43945</v>
      </c>
      <c r="B1648">
        <v>4.8550000000000004</v>
      </c>
    </row>
    <row r="1649" spans="1:2" x14ac:dyDescent="0.25">
      <c r="A1649" s="1">
        <v>43948</v>
      </c>
      <c r="B1649">
        <v>4.95</v>
      </c>
    </row>
    <row r="1650" spans="1:2" x14ac:dyDescent="0.25">
      <c r="A1650" s="1">
        <v>43949</v>
      </c>
      <c r="B1650">
        <v>4.95</v>
      </c>
    </row>
    <row r="1651" spans="1:2" x14ac:dyDescent="0.25">
      <c r="A1651" s="1">
        <v>43950</v>
      </c>
      <c r="B1651">
        <v>4.96</v>
      </c>
    </row>
    <row r="1652" spans="1:2" x14ac:dyDescent="0.25">
      <c r="A1652" s="1">
        <v>43951</v>
      </c>
      <c r="B1652">
        <v>5.07</v>
      </c>
    </row>
    <row r="1653" spans="1:2" x14ac:dyDescent="0.25">
      <c r="A1653" s="1">
        <v>43952</v>
      </c>
      <c r="B1653">
        <v>6.24</v>
      </c>
    </row>
    <row r="1654" spans="1:2" x14ac:dyDescent="0.25">
      <c r="A1654" s="1">
        <v>43955</v>
      </c>
      <c r="B1654">
        <v>6.73</v>
      </c>
    </row>
    <row r="1655" spans="1:2" x14ac:dyDescent="0.25">
      <c r="A1655" s="1">
        <v>43956</v>
      </c>
      <c r="B1655">
        <v>6.3550000000000004</v>
      </c>
    </row>
    <row r="1656" spans="1:2" x14ac:dyDescent="0.25">
      <c r="A1656" s="1">
        <v>43957</v>
      </c>
      <c r="B1656">
        <v>5.7750000000000004</v>
      </c>
    </row>
    <row r="1657" spans="1:2" x14ac:dyDescent="0.25">
      <c r="A1657" s="1">
        <v>43958</v>
      </c>
      <c r="B1657">
        <v>5.72</v>
      </c>
    </row>
    <row r="1658" spans="1:2" x14ac:dyDescent="0.25">
      <c r="A1658" s="1">
        <v>43959</v>
      </c>
      <c r="B1658">
        <v>5.5750000000000002</v>
      </c>
    </row>
    <row r="1659" spans="1:2" x14ac:dyDescent="0.25">
      <c r="A1659" s="1">
        <v>43962</v>
      </c>
      <c r="B1659">
        <v>5.64</v>
      </c>
    </row>
    <row r="1660" spans="1:2" x14ac:dyDescent="0.25">
      <c r="A1660" s="1">
        <v>43963</v>
      </c>
      <c r="B1660">
        <v>5.5875000000000004</v>
      </c>
    </row>
    <row r="1661" spans="1:2" x14ac:dyDescent="0.25">
      <c r="A1661" s="1">
        <v>43964</v>
      </c>
      <c r="B1661">
        <v>5.3475000000000001</v>
      </c>
    </row>
    <row r="1662" spans="1:2" x14ac:dyDescent="0.25">
      <c r="A1662" s="1">
        <v>43965</v>
      </c>
      <c r="B1662">
        <v>5.5149999999999997</v>
      </c>
    </row>
    <row r="1663" spans="1:2" x14ac:dyDescent="0.25">
      <c r="A1663" s="1">
        <v>43966</v>
      </c>
      <c r="B1663">
        <v>5.65</v>
      </c>
    </row>
    <row r="1664" spans="1:2" x14ac:dyDescent="0.25">
      <c r="A1664" s="1">
        <v>43969</v>
      </c>
      <c r="B1664">
        <v>5.665</v>
      </c>
    </row>
    <row r="1665" spans="1:2" x14ac:dyDescent="0.25">
      <c r="A1665" s="1">
        <v>43970</v>
      </c>
      <c r="B1665">
        <v>5.5225</v>
      </c>
    </row>
    <row r="1666" spans="1:2" x14ac:dyDescent="0.25">
      <c r="A1666" s="1">
        <v>43971</v>
      </c>
      <c r="B1666">
        <v>5.38</v>
      </c>
    </row>
    <row r="1667" spans="1:2" x14ac:dyDescent="0.25">
      <c r="A1667" s="1">
        <v>43972</v>
      </c>
      <c r="B1667">
        <v>5.2725</v>
      </c>
    </row>
    <row r="1668" spans="1:2" x14ac:dyDescent="0.25">
      <c r="A1668" s="1">
        <v>43973</v>
      </c>
      <c r="B1668">
        <v>5.9349999999999996</v>
      </c>
    </row>
    <row r="1669" spans="1:2" x14ac:dyDescent="0.25">
      <c r="A1669" s="1">
        <v>43976</v>
      </c>
      <c r="B1669">
        <v>6.0350000000000001</v>
      </c>
    </row>
    <row r="1670" spans="1:2" x14ac:dyDescent="0.25">
      <c r="A1670" s="1">
        <v>43977</v>
      </c>
      <c r="B1670">
        <v>5.7</v>
      </c>
    </row>
    <row r="1671" spans="1:2" x14ac:dyDescent="0.25">
      <c r="A1671" s="1">
        <v>43978</v>
      </c>
      <c r="B1671">
        <v>6.27</v>
      </c>
    </row>
    <row r="1672" spans="1:2" x14ac:dyDescent="0.25">
      <c r="A1672" s="1">
        <v>43979</v>
      </c>
      <c r="B1672">
        <v>6.2024999999999997</v>
      </c>
    </row>
    <row r="1673" spans="1:2" x14ac:dyDescent="0.25">
      <c r="A1673" s="1">
        <v>43980</v>
      </c>
      <c r="B1673">
        <v>5.9950000000000001</v>
      </c>
    </row>
    <row r="1674" spans="1:2" x14ac:dyDescent="0.25">
      <c r="A1674" s="1">
        <v>43983</v>
      </c>
      <c r="B1674">
        <v>5.65</v>
      </c>
    </row>
    <row r="1675" spans="1:2" x14ac:dyDescent="0.25">
      <c r="A1675" s="1">
        <v>43984</v>
      </c>
      <c r="B1675">
        <v>5.2774999999999999</v>
      </c>
    </row>
    <row r="1676" spans="1:2" x14ac:dyDescent="0.25">
      <c r="A1676" s="1">
        <v>43985</v>
      </c>
      <c r="B1676">
        <v>5.2149999999999999</v>
      </c>
    </row>
    <row r="1677" spans="1:2" x14ac:dyDescent="0.25">
      <c r="A1677" s="1">
        <v>43986</v>
      </c>
      <c r="B1677">
        <v>5.1449999999999996</v>
      </c>
    </row>
    <row r="1678" spans="1:2" x14ac:dyDescent="0.25">
      <c r="A1678" s="1">
        <v>43987</v>
      </c>
      <c r="B1678">
        <v>5.0549999999999997</v>
      </c>
    </row>
    <row r="1679" spans="1:2" x14ac:dyDescent="0.25">
      <c r="A1679" s="1">
        <v>43990</v>
      </c>
      <c r="B1679">
        <v>5.1349999999999998</v>
      </c>
    </row>
    <row r="1680" spans="1:2" x14ac:dyDescent="0.25">
      <c r="A1680" s="1">
        <v>43991</v>
      </c>
      <c r="B1680">
        <v>5.3049999999999997</v>
      </c>
    </row>
    <row r="1681" spans="1:2" x14ac:dyDescent="0.25">
      <c r="A1681" s="1">
        <v>43992</v>
      </c>
      <c r="B1681">
        <v>5.32</v>
      </c>
    </row>
    <row r="1682" spans="1:2" x14ac:dyDescent="0.25">
      <c r="A1682" s="1">
        <v>43993</v>
      </c>
      <c r="B1682">
        <v>5.2175000000000002</v>
      </c>
    </row>
    <row r="1683" spans="1:2" x14ac:dyDescent="0.25">
      <c r="A1683" s="1">
        <v>43994</v>
      </c>
      <c r="B1683">
        <v>5.27</v>
      </c>
    </row>
    <row r="1684" spans="1:2" x14ac:dyDescent="0.25">
      <c r="A1684" s="1">
        <v>43997</v>
      </c>
      <c r="B1684">
        <v>5.3849999999999998</v>
      </c>
    </row>
    <row r="1685" spans="1:2" x14ac:dyDescent="0.25">
      <c r="A1685" s="1">
        <v>43998</v>
      </c>
      <c r="B1685">
        <v>5.3049999999999997</v>
      </c>
    </row>
    <row r="1686" spans="1:2" x14ac:dyDescent="0.25">
      <c r="A1686" s="1">
        <v>43999</v>
      </c>
      <c r="B1686">
        <v>5.29</v>
      </c>
    </row>
    <row r="1687" spans="1:2" x14ac:dyDescent="0.25">
      <c r="A1687" s="1">
        <v>44000</v>
      </c>
      <c r="B1687">
        <v>4.9649999999999999</v>
      </c>
    </row>
    <row r="1688" spans="1:2" x14ac:dyDescent="0.25">
      <c r="A1688" s="1">
        <v>44001</v>
      </c>
      <c r="B1688">
        <v>4.8550000000000004</v>
      </c>
    </row>
    <row r="1689" spans="1:2" x14ac:dyDescent="0.25">
      <c r="A1689" s="1">
        <v>44004</v>
      </c>
      <c r="B1689">
        <v>4.67</v>
      </c>
    </row>
    <row r="1690" spans="1:2" x14ac:dyDescent="0.25">
      <c r="A1690" s="1">
        <v>44005</v>
      </c>
      <c r="B1690">
        <v>4.8075000000000001</v>
      </c>
    </row>
    <row r="1691" spans="1:2" x14ac:dyDescent="0.25">
      <c r="A1691" s="1">
        <v>44006</v>
      </c>
      <c r="B1691">
        <v>4.875</v>
      </c>
    </row>
    <row r="1692" spans="1:2" x14ac:dyDescent="0.25">
      <c r="A1692" s="1">
        <v>44007</v>
      </c>
      <c r="B1692">
        <v>4.8899999999999997</v>
      </c>
    </row>
    <row r="1693" spans="1:2" x14ac:dyDescent="0.25">
      <c r="A1693" s="1">
        <v>44008</v>
      </c>
      <c r="B1693">
        <v>4.75</v>
      </c>
    </row>
    <row r="1694" spans="1:2" x14ac:dyDescent="0.25">
      <c r="A1694" s="1">
        <v>44011</v>
      </c>
      <c r="B1694">
        <v>4.7</v>
      </c>
    </row>
    <row r="1695" spans="1:2" x14ac:dyDescent="0.25">
      <c r="A1695" s="1">
        <v>44012</v>
      </c>
      <c r="B1695">
        <v>4.5</v>
      </c>
    </row>
    <row r="1696" spans="1:2" x14ac:dyDescent="0.25">
      <c r="A1696" s="1">
        <v>44013</v>
      </c>
      <c r="B1696">
        <v>4.47</v>
      </c>
    </row>
    <row r="1697" spans="1:2" x14ac:dyDescent="0.25">
      <c r="A1697" s="1">
        <v>44014</v>
      </c>
      <c r="B1697">
        <v>4.3</v>
      </c>
    </row>
    <row r="1698" spans="1:2" x14ac:dyDescent="0.25">
      <c r="A1698" s="1">
        <v>44015</v>
      </c>
      <c r="B1698">
        <v>4.0350000000000001</v>
      </c>
    </row>
    <row r="1699" spans="1:2" x14ac:dyDescent="0.25">
      <c r="A1699" s="1">
        <v>44018</v>
      </c>
      <c r="B1699">
        <v>4.47</v>
      </c>
    </row>
    <row r="1700" spans="1:2" x14ac:dyDescent="0.25">
      <c r="A1700" s="1">
        <v>44019</v>
      </c>
      <c r="B1700">
        <v>4.8</v>
      </c>
    </row>
    <row r="1701" spans="1:2" x14ac:dyDescent="0.25">
      <c r="A1701" s="1">
        <v>44020</v>
      </c>
      <c r="B1701">
        <v>4.57</v>
      </c>
    </row>
    <row r="1702" spans="1:2" x14ac:dyDescent="0.25">
      <c r="A1702" s="1">
        <v>44021</v>
      </c>
      <c r="B1702">
        <v>4.7850000000000001</v>
      </c>
    </row>
    <row r="1703" spans="1:2" x14ac:dyDescent="0.25">
      <c r="A1703" s="1">
        <v>44022</v>
      </c>
      <c r="B1703">
        <v>4.79</v>
      </c>
    </row>
    <row r="1704" spans="1:2" x14ac:dyDescent="0.25">
      <c r="A1704" s="1">
        <v>44025</v>
      </c>
      <c r="B1704">
        <v>4.72</v>
      </c>
    </row>
    <row r="1705" spans="1:2" x14ac:dyDescent="0.25">
      <c r="A1705" s="1">
        <v>44026</v>
      </c>
      <c r="B1705">
        <v>4.7649999999999997</v>
      </c>
    </row>
    <row r="1706" spans="1:2" x14ac:dyDescent="0.25">
      <c r="A1706" s="1">
        <v>44027</v>
      </c>
      <c r="B1706">
        <v>4.72</v>
      </c>
    </row>
    <row r="1707" spans="1:2" x14ac:dyDescent="0.25">
      <c r="A1707" s="1">
        <v>44028</v>
      </c>
      <c r="B1707">
        <v>4.7</v>
      </c>
    </row>
    <row r="1708" spans="1:2" x14ac:dyDescent="0.25">
      <c r="A1708" s="1">
        <v>44029</v>
      </c>
      <c r="B1708">
        <v>4.4675000000000002</v>
      </c>
    </row>
    <row r="1709" spans="1:2" x14ac:dyDescent="0.25">
      <c r="A1709" s="1">
        <v>44032</v>
      </c>
      <c r="B1709">
        <v>4.4249999999999998</v>
      </c>
    </row>
    <row r="1710" spans="1:2" x14ac:dyDescent="0.25">
      <c r="A1710" s="1">
        <v>44033</v>
      </c>
      <c r="B1710">
        <v>4.4749999999999996</v>
      </c>
    </row>
    <row r="1711" spans="1:2" x14ac:dyDescent="0.25">
      <c r="A1711" s="1">
        <v>44034</v>
      </c>
      <c r="B1711">
        <v>5.1550000000000002</v>
      </c>
    </row>
    <row r="1712" spans="1:2" x14ac:dyDescent="0.25">
      <c r="A1712" s="1">
        <v>44035</v>
      </c>
      <c r="B1712">
        <v>5.0949999999999998</v>
      </c>
    </row>
    <row r="1713" spans="1:2" x14ac:dyDescent="0.25">
      <c r="A1713" s="1">
        <v>44036</v>
      </c>
      <c r="B1713">
        <v>5.1224999999999996</v>
      </c>
    </row>
    <row r="1714" spans="1:2" x14ac:dyDescent="0.25">
      <c r="A1714" s="1">
        <v>44039</v>
      </c>
      <c r="B1714">
        <v>5.18</v>
      </c>
    </row>
    <row r="1715" spans="1:2" x14ac:dyDescent="0.25">
      <c r="A1715" s="1">
        <v>44040</v>
      </c>
      <c r="B1715">
        <v>5.24</v>
      </c>
    </row>
    <row r="1716" spans="1:2" x14ac:dyDescent="0.25">
      <c r="A1716" s="1">
        <v>44041</v>
      </c>
      <c r="B1716">
        <v>4.99</v>
      </c>
    </row>
    <row r="1717" spans="1:2" x14ac:dyDescent="0.25">
      <c r="A1717" s="1">
        <v>44042</v>
      </c>
      <c r="B1717">
        <v>4.8650000000000002</v>
      </c>
    </row>
    <row r="1718" spans="1:2" x14ac:dyDescent="0.25">
      <c r="A1718" s="1">
        <v>44043</v>
      </c>
      <c r="B1718">
        <v>5.1174999999999997</v>
      </c>
    </row>
    <row r="1719" spans="1:2" x14ac:dyDescent="0.25">
      <c r="A1719" s="1">
        <v>44046</v>
      </c>
      <c r="B1719">
        <v>5.28</v>
      </c>
    </row>
    <row r="1720" spans="1:2" x14ac:dyDescent="0.25">
      <c r="A1720" s="1">
        <v>44047</v>
      </c>
      <c r="B1720">
        <v>5.0575000000000001</v>
      </c>
    </row>
    <row r="1721" spans="1:2" x14ac:dyDescent="0.25">
      <c r="A1721" s="1">
        <v>44048</v>
      </c>
      <c r="B1721">
        <v>5.41</v>
      </c>
    </row>
    <row r="1722" spans="1:2" x14ac:dyDescent="0.25">
      <c r="A1722" s="1">
        <v>44049</v>
      </c>
      <c r="B1722">
        <v>5.415</v>
      </c>
    </row>
    <row r="1723" spans="1:2" x14ac:dyDescent="0.25">
      <c r="A1723" s="1">
        <v>44050</v>
      </c>
      <c r="B1723">
        <v>5.5350000000000001</v>
      </c>
    </row>
    <row r="1724" spans="1:2" x14ac:dyDescent="0.25">
      <c r="A1724" s="1">
        <v>44053</v>
      </c>
      <c r="B1724">
        <v>5.415</v>
      </c>
    </row>
    <row r="1725" spans="1:2" x14ac:dyDescent="0.25">
      <c r="A1725" s="1">
        <v>44054</v>
      </c>
      <c r="B1725">
        <v>5.41</v>
      </c>
    </row>
    <row r="1726" spans="1:2" x14ac:dyDescent="0.25">
      <c r="A1726" s="1">
        <v>44055</v>
      </c>
      <c r="B1726">
        <v>5.42</v>
      </c>
    </row>
    <row r="1727" spans="1:2" x14ac:dyDescent="0.25">
      <c r="A1727" s="1">
        <v>44056</v>
      </c>
      <c r="B1727">
        <v>5.14</v>
      </c>
    </row>
    <row r="1728" spans="1:2" x14ac:dyDescent="0.25">
      <c r="A1728" s="1">
        <v>44057</v>
      </c>
      <c r="B1728">
        <v>5.25</v>
      </c>
    </row>
    <row r="1729" spans="1:2" x14ac:dyDescent="0.25">
      <c r="A1729" s="1">
        <v>44060</v>
      </c>
      <c r="B1729">
        <v>5.0549999999999997</v>
      </c>
    </row>
    <row r="1730" spans="1:2" x14ac:dyDescent="0.25">
      <c r="A1730" s="1">
        <v>44061</v>
      </c>
      <c r="B1730">
        <v>5.0949999999999998</v>
      </c>
    </row>
    <row r="1731" spans="1:2" x14ac:dyDescent="0.25">
      <c r="A1731" s="1">
        <v>44062</v>
      </c>
      <c r="B1731">
        <v>5.17</v>
      </c>
    </row>
    <row r="1732" spans="1:2" x14ac:dyDescent="0.25">
      <c r="A1732" s="1">
        <v>44063</v>
      </c>
      <c r="B1732">
        <v>5.09</v>
      </c>
    </row>
    <row r="1733" spans="1:2" x14ac:dyDescent="0.25">
      <c r="A1733" s="1">
        <v>44064</v>
      </c>
      <c r="B1733">
        <v>5.0475000000000003</v>
      </c>
    </row>
    <row r="1734" spans="1:2" x14ac:dyDescent="0.25">
      <c r="A1734" s="1">
        <v>44067</v>
      </c>
      <c r="B1734">
        <v>5.0075000000000003</v>
      </c>
    </row>
    <row r="1735" spans="1:2" x14ac:dyDescent="0.25">
      <c r="A1735" s="1">
        <v>44068</v>
      </c>
      <c r="B1735">
        <v>4.8324999999999996</v>
      </c>
    </row>
    <row r="1736" spans="1:2" x14ac:dyDescent="0.25">
      <c r="A1736" s="1">
        <v>44069</v>
      </c>
      <c r="B1736">
        <v>4.87</v>
      </c>
    </row>
    <row r="1737" spans="1:2" x14ac:dyDescent="0.25">
      <c r="A1737" s="1">
        <v>44070</v>
      </c>
      <c r="B1737">
        <v>4.7175000000000002</v>
      </c>
    </row>
    <row r="1738" spans="1:2" x14ac:dyDescent="0.25">
      <c r="A1738" s="1">
        <v>44071</v>
      </c>
      <c r="B1738">
        <v>4.8250000000000002</v>
      </c>
    </row>
    <row r="1739" spans="1:2" x14ac:dyDescent="0.25">
      <c r="A1739" s="1">
        <v>44074</v>
      </c>
      <c r="B1739">
        <v>4.9950000000000001</v>
      </c>
    </row>
    <row r="1740" spans="1:2" x14ac:dyDescent="0.25">
      <c r="A1740" s="1">
        <v>44075</v>
      </c>
      <c r="B1740">
        <v>5.2649999999999997</v>
      </c>
    </row>
    <row r="1741" spans="1:2" x14ac:dyDescent="0.25">
      <c r="A1741" s="1">
        <v>44076</v>
      </c>
      <c r="B1741">
        <v>5.1349999999999998</v>
      </c>
    </row>
    <row r="1742" spans="1:2" x14ac:dyDescent="0.25">
      <c r="A1742" s="1">
        <v>44077</v>
      </c>
      <c r="B1742">
        <v>5.1100000000000003</v>
      </c>
    </row>
    <row r="1743" spans="1:2" x14ac:dyDescent="0.25">
      <c r="A1743" s="1">
        <v>44078</v>
      </c>
      <c r="B1743">
        <v>4.9400000000000004</v>
      </c>
    </row>
    <row r="1744" spans="1:2" x14ac:dyDescent="0.25">
      <c r="A1744" s="1">
        <v>44081</v>
      </c>
      <c r="B1744">
        <v>4.6349999999999998</v>
      </c>
    </row>
    <row r="1745" spans="1:2" x14ac:dyDescent="0.25">
      <c r="A1745" s="1">
        <v>44082</v>
      </c>
      <c r="B1745">
        <v>4.8324999999999996</v>
      </c>
    </row>
    <row r="1746" spans="1:2" x14ac:dyDescent="0.25">
      <c r="A1746" s="1">
        <v>44083</v>
      </c>
      <c r="B1746">
        <v>5.0149999999999997</v>
      </c>
    </row>
    <row r="1747" spans="1:2" x14ac:dyDescent="0.25">
      <c r="A1747" s="1">
        <v>44084</v>
      </c>
      <c r="B1747">
        <v>4.72</v>
      </c>
    </row>
    <row r="1748" spans="1:2" x14ac:dyDescent="0.25">
      <c r="A1748" s="1">
        <v>44085</v>
      </c>
      <c r="B1748">
        <v>4.47</v>
      </c>
    </row>
    <row r="1749" spans="1:2" x14ac:dyDescent="0.25">
      <c r="A1749" s="1">
        <v>44088</v>
      </c>
      <c r="B1749">
        <v>4.5</v>
      </c>
    </row>
    <row r="1750" spans="1:2" x14ac:dyDescent="0.25">
      <c r="A1750" s="1">
        <v>44089</v>
      </c>
      <c r="B1750">
        <v>5.0975000000000001</v>
      </c>
    </row>
    <row r="1751" spans="1:2" x14ac:dyDescent="0.25">
      <c r="A1751" s="1">
        <v>44090</v>
      </c>
      <c r="B1751">
        <v>5.2</v>
      </c>
    </row>
    <row r="1752" spans="1:2" x14ac:dyDescent="0.25">
      <c r="A1752" s="1">
        <v>44091</v>
      </c>
      <c r="B1752">
        <v>5.1825000000000001</v>
      </c>
    </row>
    <row r="1753" spans="1:2" x14ac:dyDescent="0.25">
      <c r="A1753" s="1">
        <v>44092</v>
      </c>
      <c r="B1753">
        <v>5.3849999999999998</v>
      </c>
    </row>
    <row r="1754" spans="1:2" x14ac:dyDescent="0.25">
      <c r="A1754" s="1">
        <v>44095</v>
      </c>
      <c r="B1754">
        <v>5.54</v>
      </c>
    </row>
    <row r="1755" spans="1:2" x14ac:dyDescent="0.25">
      <c r="A1755" s="1">
        <v>44096</v>
      </c>
      <c r="B1755">
        <v>5.5125000000000002</v>
      </c>
    </row>
    <row r="1756" spans="1:2" x14ac:dyDescent="0.25">
      <c r="A1756" s="1">
        <v>44097</v>
      </c>
      <c r="B1756">
        <v>5.4024999999999999</v>
      </c>
    </row>
    <row r="1757" spans="1:2" x14ac:dyDescent="0.25">
      <c r="A1757" s="1">
        <v>44098</v>
      </c>
      <c r="B1757">
        <v>5.6974999999999998</v>
      </c>
    </row>
    <row r="1758" spans="1:2" x14ac:dyDescent="0.25">
      <c r="A1758" s="1">
        <v>44099</v>
      </c>
      <c r="B1758">
        <v>5.415</v>
      </c>
    </row>
    <row r="1759" spans="1:2" x14ac:dyDescent="0.25">
      <c r="A1759" s="1">
        <v>44102</v>
      </c>
      <c r="B1759">
        <v>5.4524999999999997</v>
      </c>
    </row>
    <row r="1760" spans="1:2" x14ac:dyDescent="0.25">
      <c r="A1760" s="1">
        <v>44103</v>
      </c>
      <c r="B1760">
        <v>6.4574999999999996</v>
      </c>
    </row>
    <row r="1761" spans="1:2" x14ac:dyDescent="0.25">
      <c r="A1761" s="1">
        <v>44104</v>
      </c>
      <c r="B1761">
        <v>6.41</v>
      </c>
    </row>
    <row r="1762" spans="1:2" x14ac:dyDescent="0.25">
      <c r="A1762" s="1">
        <v>44105</v>
      </c>
      <c r="B1762">
        <v>6.6675000000000004</v>
      </c>
    </row>
    <row r="1763" spans="1:2" x14ac:dyDescent="0.25">
      <c r="A1763" s="1">
        <v>44106</v>
      </c>
      <c r="B1763">
        <v>6.74</v>
      </c>
    </row>
    <row r="1764" spans="1:2" x14ac:dyDescent="0.25">
      <c r="A1764" s="1">
        <v>44109</v>
      </c>
      <c r="B1764">
        <v>6.9249999999999998</v>
      </c>
    </row>
    <row r="1765" spans="1:2" x14ac:dyDescent="0.25">
      <c r="A1765" s="1">
        <v>44110</v>
      </c>
      <c r="B1765">
        <v>6.9574999999999996</v>
      </c>
    </row>
    <row r="1766" spans="1:2" x14ac:dyDescent="0.25">
      <c r="A1766" s="1">
        <v>44111</v>
      </c>
      <c r="B1766">
        <v>7.05</v>
      </c>
    </row>
    <row r="1767" spans="1:2" x14ac:dyDescent="0.25">
      <c r="A1767" s="1">
        <v>44112</v>
      </c>
      <c r="B1767">
        <v>7.06</v>
      </c>
    </row>
    <row r="1768" spans="1:2" x14ac:dyDescent="0.25">
      <c r="A1768" s="1">
        <v>44113</v>
      </c>
      <c r="B1768">
        <v>7.07</v>
      </c>
    </row>
    <row r="1769" spans="1:2" x14ac:dyDescent="0.25">
      <c r="A1769" s="1">
        <v>44116</v>
      </c>
      <c r="B1769">
        <v>7.3250000000000002</v>
      </c>
    </row>
    <row r="1770" spans="1:2" x14ac:dyDescent="0.25">
      <c r="A1770" s="1">
        <v>44117</v>
      </c>
      <c r="B1770">
        <v>7.3449999999999998</v>
      </c>
    </row>
    <row r="1771" spans="1:2" x14ac:dyDescent="0.25">
      <c r="A1771" s="1">
        <v>44118</v>
      </c>
      <c r="B1771">
        <v>7.1025</v>
      </c>
    </row>
    <row r="1772" spans="1:2" x14ac:dyDescent="0.25">
      <c r="A1772" s="1">
        <v>44119</v>
      </c>
      <c r="B1772">
        <v>7.0525000000000002</v>
      </c>
    </row>
    <row r="1773" spans="1:2" x14ac:dyDescent="0.25">
      <c r="A1773" s="1">
        <v>44120</v>
      </c>
      <c r="B1773">
        <v>6.8925000000000001</v>
      </c>
    </row>
    <row r="1774" spans="1:2" x14ac:dyDescent="0.25">
      <c r="A1774" s="1">
        <v>44123</v>
      </c>
      <c r="B1774">
        <v>7.0250000000000004</v>
      </c>
    </row>
    <row r="1775" spans="1:2" x14ac:dyDescent="0.25">
      <c r="A1775" s="1">
        <v>44124</v>
      </c>
      <c r="B1775">
        <v>7.1624999999999996</v>
      </c>
    </row>
    <row r="1776" spans="1:2" x14ac:dyDescent="0.25">
      <c r="A1776" s="1">
        <v>44125</v>
      </c>
      <c r="B1776">
        <v>7.3775000000000004</v>
      </c>
    </row>
    <row r="1777" spans="1:2" x14ac:dyDescent="0.25">
      <c r="A1777" s="1">
        <v>44126</v>
      </c>
      <c r="B1777">
        <v>7.53</v>
      </c>
    </row>
    <row r="1778" spans="1:2" x14ac:dyDescent="0.25">
      <c r="A1778" s="1">
        <v>44127</v>
      </c>
      <c r="B1778">
        <v>7.55</v>
      </c>
    </row>
    <row r="1779" spans="1:2" x14ac:dyDescent="0.25">
      <c r="A1779" s="1">
        <v>44130</v>
      </c>
      <c r="B1779">
        <v>7.8049999999999997</v>
      </c>
    </row>
    <row r="1780" spans="1:2" x14ac:dyDescent="0.25">
      <c r="A1780" s="1">
        <v>44131</v>
      </c>
      <c r="B1780">
        <v>8.42</v>
      </c>
    </row>
    <row r="1781" spans="1:2" x14ac:dyDescent="0.25">
      <c r="A1781" s="1">
        <v>44132</v>
      </c>
      <c r="B1781">
        <v>8.9474999999999998</v>
      </c>
    </row>
    <row r="1782" spans="1:2" x14ac:dyDescent="0.25">
      <c r="A1782" s="1">
        <v>44133</v>
      </c>
      <c r="B1782">
        <v>8.6675000000000004</v>
      </c>
    </row>
    <row r="1783" spans="1:2" x14ac:dyDescent="0.25">
      <c r="A1783" s="1">
        <v>44134</v>
      </c>
      <c r="B1783">
        <v>8.4674999999999994</v>
      </c>
    </row>
    <row r="1784" spans="1:2" x14ac:dyDescent="0.25">
      <c r="A1784" s="1">
        <v>44137</v>
      </c>
      <c r="B1784">
        <v>8.7424999999999997</v>
      </c>
    </row>
    <row r="1785" spans="1:2" x14ac:dyDescent="0.25">
      <c r="A1785" s="1">
        <v>44138</v>
      </c>
      <c r="B1785">
        <v>8.7050000000000001</v>
      </c>
    </row>
    <row r="1786" spans="1:2" x14ac:dyDescent="0.25">
      <c r="A1786" s="1">
        <v>44139</v>
      </c>
      <c r="B1786">
        <v>7.6349999999999998</v>
      </c>
    </row>
    <row r="1787" spans="1:2" x14ac:dyDescent="0.25">
      <c r="A1787" s="1">
        <v>44140</v>
      </c>
      <c r="B1787">
        <v>6.7324999999999999</v>
      </c>
    </row>
    <row r="1788" spans="1:2" x14ac:dyDescent="0.25">
      <c r="A1788" s="1">
        <v>44141</v>
      </c>
      <c r="B1788">
        <v>6.27</v>
      </c>
    </row>
    <row r="1789" spans="1:2" x14ac:dyDescent="0.25">
      <c r="A1789" s="1">
        <v>44144</v>
      </c>
      <c r="B1789">
        <v>5.9824999999999999</v>
      </c>
    </row>
    <row r="1790" spans="1:2" x14ac:dyDescent="0.25">
      <c r="A1790" s="1">
        <v>44145</v>
      </c>
      <c r="B1790">
        <v>6.3925000000000001</v>
      </c>
    </row>
    <row r="1791" spans="1:2" x14ac:dyDescent="0.25">
      <c r="A1791" s="1">
        <v>44146</v>
      </c>
      <c r="B1791">
        <v>6.2125000000000004</v>
      </c>
    </row>
    <row r="1792" spans="1:2" x14ac:dyDescent="0.25">
      <c r="A1792" s="1">
        <v>44147</v>
      </c>
      <c r="B1792">
        <v>5.9749999999999996</v>
      </c>
    </row>
    <row r="1793" spans="1:2" x14ac:dyDescent="0.25">
      <c r="A1793" s="1">
        <v>44148</v>
      </c>
      <c r="B1793">
        <v>5.7050000000000001</v>
      </c>
    </row>
    <row r="1794" spans="1:2" x14ac:dyDescent="0.25">
      <c r="A1794" s="1">
        <v>44151</v>
      </c>
      <c r="B1794">
        <v>5.7125000000000004</v>
      </c>
    </row>
    <row r="1795" spans="1:2" x14ac:dyDescent="0.25">
      <c r="A1795" s="1">
        <v>44152</v>
      </c>
      <c r="B1795">
        <v>5.88</v>
      </c>
    </row>
    <row r="1796" spans="1:2" x14ac:dyDescent="0.25">
      <c r="A1796" s="1">
        <v>44153</v>
      </c>
      <c r="B1796">
        <v>6.0225</v>
      </c>
    </row>
    <row r="1797" spans="1:2" x14ac:dyDescent="0.25">
      <c r="A1797" s="1">
        <v>44154</v>
      </c>
      <c r="B1797">
        <v>5.9824999999999999</v>
      </c>
    </row>
    <row r="1798" spans="1:2" x14ac:dyDescent="0.25">
      <c r="A1798" s="1">
        <v>44155</v>
      </c>
      <c r="B1798">
        <v>5.835</v>
      </c>
    </row>
    <row r="1799" spans="1:2" x14ac:dyDescent="0.25">
      <c r="A1799" s="1">
        <v>44158</v>
      </c>
      <c r="B1799">
        <v>5.83</v>
      </c>
    </row>
    <row r="1800" spans="1:2" x14ac:dyDescent="0.25">
      <c r="A1800" s="1">
        <v>44159</v>
      </c>
      <c r="B1800">
        <v>5.68</v>
      </c>
    </row>
    <row r="1801" spans="1:2" x14ac:dyDescent="0.25">
      <c r="A1801" s="1">
        <v>44160</v>
      </c>
      <c r="B1801">
        <v>5.58</v>
      </c>
    </row>
    <row r="1802" spans="1:2" x14ac:dyDescent="0.25">
      <c r="A1802" s="1">
        <v>44161</v>
      </c>
      <c r="B1802">
        <v>5.3324999999999996</v>
      </c>
    </row>
    <row r="1803" spans="1:2" x14ac:dyDescent="0.25">
      <c r="A1803" s="1">
        <v>44162</v>
      </c>
      <c r="B1803">
        <v>5.2649999999999997</v>
      </c>
    </row>
    <row r="1804" spans="1:2" x14ac:dyDescent="0.25">
      <c r="A1804" s="1">
        <v>44165</v>
      </c>
      <c r="B1804">
        <v>5.2024999999999997</v>
      </c>
    </row>
    <row r="1805" spans="1:2" x14ac:dyDescent="0.25">
      <c r="A1805" s="1">
        <v>44166</v>
      </c>
      <c r="B1805">
        <v>5.1725000000000003</v>
      </c>
    </row>
    <row r="1806" spans="1:2" x14ac:dyDescent="0.25">
      <c r="A1806" s="1">
        <v>44167</v>
      </c>
      <c r="B1806">
        <v>5.2474999999999996</v>
      </c>
    </row>
    <row r="1807" spans="1:2" x14ac:dyDescent="0.25">
      <c r="A1807" s="1">
        <v>44168</v>
      </c>
      <c r="B1807">
        <v>5.27</v>
      </c>
    </row>
    <row r="1808" spans="1:2" x14ac:dyDescent="0.25">
      <c r="A1808" s="1">
        <v>44169</v>
      </c>
      <c r="B1808">
        <v>5.5549999999999997</v>
      </c>
    </row>
    <row r="1809" spans="1:2" x14ac:dyDescent="0.25">
      <c r="A1809" s="1">
        <v>44172</v>
      </c>
      <c r="B1809">
        <v>5.73</v>
      </c>
    </row>
    <row r="1810" spans="1:2" x14ac:dyDescent="0.25">
      <c r="A1810" s="1">
        <v>44173</v>
      </c>
      <c r="B1810">
        <v>5.58</v>
      </c>
    </row>
    <row r="1811" spans="1:2" x14ac:dyDescent="0.25">
      <c r="A1811" s="1">
        <v>44174</v>
      </c>
      <c r="B1811">
        <v>5.4050000000000002</v>
      </c>
    </row>
    <row r="1812" spans="1:2" x14ac:dyDescent="0.25">
      <c r="A1812" s="1">
        <v>44175</v>
      </c>
      <c r="B1812">
        <v>5.07</v>
      </c>
    </row>
    <row r="1813" spans="1:2" x14ac:dyDescent="0.25">
      <c r="A1813" s="1">
        <v>44176</v>
      </c>
      <c r="B1813">
        <v>5.085</v>
      </c>
    </row>
    <row r="1814" spans="1:2" x14ac:dyDescent="0.25">
      <c r="A1814" s="1">
        <v>44179</v>
      </c>
      <c r="B1814">
        <v>5.165</v>
      </c>
    </row>
    <row r="1815" spans="1:2" x14ac:dyDescent="0.25">
      <c r="A1815" s="1">
        <v>44180</v>
      </c>
      <c r="B1815">
        <v>5.2750000000000004</v>
      </c>
    </row>
    <row r="1816" spans="1:2" x14ac:dyDescent="0.25">
      <c r="A1816" s="1">
        <v>44181</v>
      </c>
      <c r="B1816">
        <v>5.31</v>
      </c>
    </row>
    <row r="1817" spans="1:2" x14ac:dyDescent="0.25">
      <c r="A1817" s="1">
        <v>44182</v>
      </c>
      <c r="B1817">
        <v>5.2850000000000001</v>
      </c>
    </row>
    <row r="1818" spans="1:2" x14ac:dyDescent="0.25">
      <c r="A1818" s="1">
        <v>44183</v>
      </c>
      <c r="B1818">
        <v>5.4649999999999999</v>
      </c>
    </row>
    <row r="1819" spans="1:2" x14ac:dyDescent="0.25">
      <c r="A1819" s="1">
        <v>44186</v>
      </c>
      <c r="B1819">
        <v>5.4950000000000001</v>
      </c>
    </row>
    <row r="1820" spans="1:2" x14ac:dyDescent="0.25">
      <c r="A1820" s="1">
        <v>44187</v>
      </c>
      <c r="B1820">
        <v>5.4249999999999998</v>
      </c>
    </row>
    <row r="1821" spans="1:2" x14ac:dyDescent="0.25">
      <c r="A1821" s="1">
        <v>44188</v>
      </c>
      <c r="B1821">
        <v>5.2750000000000004</v>
      </c>
    </row>
    <row r="1822" spans="1:2" x14ac:dyDescent="0.25">
      <c r="A1822" s="1">
        <v>44189</v>
      </c>
      <c r="B1822">
        <v>5.2</v>
      </c>
    </row>
    <row r="1823" spans="1:2" x14ac:dyDescent="0.25">
      <c r="A1823" s="1">
        <v>44190</v>
      </c>
      <c r="B1823">
        <v>5.2024999999999997</v>
      </c>
    </row>
    <row r="1824" spans="1:2" x14ac:dyDescent="0.25">
      <c r="A1824" s="1">
        <v>44193</v>
      </c>
      <c r="B1824">
        <v>5.4574999999999996</v>
      </c>
    </row>
    <row r="1825" spans="1:2" x14ac:dyDescent="0.25">
      <c r="A1825" s="1">
        <v>44194</v>
      </c>
      <c r="B1825">
        <v>5.5250000000000004</v>
      </c>
    </row>
    <row r="1826" spans="1:2" x14ac:dyDescent="0.25">
      <c r="A1826" s="1">
        <v>44195</v>
      </c>
      <c r="B1826">
        <v>5.7925000000000004</v>
      </c>
    </row>
    <row r="1827" spans="1:2" x14ac:dyDescent="0.25">
      <c r="A1827" s="1">
        <v>44196</v>
      </c>
      <c r="B1827">
        <v>6.07</v>
      </c>
    </row>
    <row r="1828" spans="1:2" x14ac:dyDescent="0.25">
      <c r="A1828" s="1">
        <v>44197</v>
      </c>
      <c r="B1828">
        <v>6.1475</v>
      </c>
    </row>
    <row r="1829" spans="1:2" x14ac:dyDescent="0.25">
      <c r="A1829" s="1">
        <v>44200</v>
      </c>
      <c r="B1829">
        <v>6.35</v>
      </c>
    </row>
    <row r="1830" spans="1:2" x14ac:dyDescent="0.25">
      <c r="A1830" s="1">
        <v>44201</v>
      </c>
      <c r="B1830">
        <v>6.5925000000000002</v>
      </c>
    </row>
    <row r="1831" spans="1:2" x14ac:dyDescent="0.25">
      <c r="A1831" s="1">
        <v>44202</v>
      </c>
      <c r="B1831">
        <v>5.9924999999999997</v>
      </c>
    </row>
    <row r="1832" spans="1:2" x14ac:dyDescent="0.25">
      <c r="A1832" s="1">
        <v>44203</v>
      </c>
      <c r="B1832">
        <v>5.5449999999999999</v>
      </c>
    </row>
    <row r="1833" spans="1:2" x14ac:dyDescent="0.25">
      <c r="A1833" s="1">
        <v>44204</v>
      </c>
      <c r="B1833">
        <v>5.2949999999999999</v>
      </c>
    </row>
    <row r="1834" spans="1:2" x14ac:dyDescent="0.25">
      <c r="A1834" s="1">
        <v>44207</v>
      </c>
      <c r="B1834">
        <v>5.375</v>
      </c>
    </row>
    <row r="1835" spans="1:2" x14ac:dyDescent="0.25">
      <c r="A1835" s="1">
        <v>44208</v>
      </c>
      <c r="B1835">
        <v>5.3449999999999998</v>
      </c>
    </row>
    <row r="1836" spans="1:2" x14ac:dyDescent="0.25">
      <c r="A1836" s="1">
        <v>44209</v>
      </c>
      <c r="B1836">
        <v>5.2850000000000001</v>
      </c>
    </row>
    <row r="1837" spans="1:2" x14ac:dyDescent="0.25">
      <c r="A1837" s="1">
        <v>44210</v>
      </c>
      <c r="B1837">
        <v>5.1050000000000004</v>
      </c>
    </row>
    <row r="1838" spans="1:2" x14ac:dyDescent="0.25">
      <c r="A1838" s="1">
        <v>44211</v>
      </c>
      <c r="B1838">
        <v>4.93</v>
      </c>
    </row>
    <row r="1839" spans="1:2" x14ac:dyDescent="0.25">
      <c r="A1839" s="1">
        <v>44214</v>
      </c>
      <c r="B1839">
        <v>5.2575000000000003</v>
      </c>
    </row>
    <row r="1840" spans="1:2" x14ac:dyDescent="0.25">
      <c r="A1840" s="1">
        <v>44215</v>
      </c>
      <c r="B1840">
        <v>5.0750000000000002</v>
      </c>
    </row>
    <row r="1841" spans="1:2" x14ac:dyDescent="0.25">
      <c r="A1841" s="1">
        <v>44216</v>
      </c>
      <c r="B1841">
        <v>4.99</v>
      </c>
    </row>
    <row r="1842" spans="1:2" x14ac:dyDescent="0.25">
      <c r="A1842" s="1">
        <v>44217</v>
      </c>
      <c r="B1842">
        <v>4.9550000000000001</v>
      </c>
    </row>
    <row r="1843" spans="1:2" x14ac:dyDescent="0.25">
      <c r="A1843" s="1">
        <v>44218</v>
      </c>
      <c r="B1843">
        <v>4.9400000000000004</v>
      </c>
    </row>
    <row r="1844" spans="1:2" x14ac:dyDescent="0.25">
      <c r="A1844" s="1">
        <v>44221</v>
      </c>
      <c r="B1844">
        <v>4.87</v>
      </c>
    </row>
    <row r="1845" spans="1:2" x14ac:dyDescent="0.25">
      <c r="A1845" s="1">
        <v>44222</v>
      </c>
      <c r="B1845">
        <v>4.76</v>
      </c>
    </row>
    <row r="1846" spans="1:2" x14ac:dyDescent="0.25">
      <c r="A1846" s="1">
        <v>44223</v>
      </c>
      <c r="B1846">
        <v>4.8724999999999996</v>
      </c>
    </row>
    <row r="1847" spans="1:2" x14ac:dyDescent="0.25">
      <c r="A1847" s="1">
        <v>44224</v>
      </c>
      <c r="B1847">
        <v>5.1174999999999997</v>
      </c>
    </row>
    <row r="1848" spans="1:2" x14ac:dyDescent="0.25">
      <c r="A1848" s="1">
        <v>44225</v>
      </c>
      <c r="B1848">
        <v>5.0975000000000001</v>
      </c>
    </row>
    <row r="1849" spans="1:2" x14ac:dyDescent="0.25">
      <c r="A1849" s="1">
        <v>44228</v>
      </c>
      <c r="B1849">
        <v>5.0724999999999998</v>
      </c>
    </row>
    <row r="1850" spans="1:2" x14ac:dyDescent="0.25">
      <c r="A1850" s="1">
        <v>44229</v>
      </c>
      <c r="B1850">
        <v>4.97</v>
      </c>
    </row>
    <row r="1851" spans="1:2" x14ac:dyDescent="0.25">
      <c r="A1851" s="1">
        <v>44230</v>
      </c>
      <c r="B1851">
        <v>4.7525000000000004</v>
      </c>
    </row>
    <row r="1852" spans="1:2" x14ac:dyDescent="0.25">
      <c r="A1852" s="1">
        <v>44231</v>
      </c>
      <c r="B1852">
        <v>4.665</v>
      </c>
    </row>
    <row r="1853" spans="1:2" x14ac:dyDescent="0.25">
      <c r="A1853" s="1">
        <v>44232</v>
      </c>
      <c r="B1853">
        <v>4.7024999999999997</v>
      </c>
    </row>
    <row r="1854" spans="1:2" x14ac:dyDescent="0.25">
      <c r="A1854" s="1">
        <v>44235</v>
      </c>
      <c r="B1854">
        <v>4.7149999999999999</v>
      </c>
    </row>
    <row r="1855" spans="1:2" x14ac:dyDescent="0.25">
      <c r="A1855" s="1">
        <v>44236</v>
      </c>
      <c r="B1855">
        <v>5.125</v>
      </c>
    </row>
    <row r="1856" spans="1:2" x14ac:dyDescent="0.25">
      <c r="A1856" s="1">
        <v>44237</v>
      </c>
      <c r="B1856">
        <v>5.0025000000000004</v>
      </c>
    </row>
    <row r="1857" spans="1:2" x14ac:dyDescent="0.25">
      <c r="A1857" s="1">
        <v>44238</v>
      </c>
      <c r="B1857">
        <v>4.9775</v>
      </c>
    </row>
    <row r="1858" spans="1:2" x14ac:dyDescent="0.25">
      <c r="A1858" s="1">
        <v>44239</v>
      </c>
      <c r="B1858">
        <v>4.835</v>
      </c>
    </row>
    <row r="1859" spans="1:2" x14ac:dyDescent="0.25">
      <c r="A1859" s="1">
        <v>44242</v>
      </c>
      <c r="B1859">
        <v>4.9325000000000001</v>
      </c>
    </row>
    <row r="1860" spans="1:2" x14ac:dyDescent="0.25">
      <c r="A1860" s="1">
        <v>44243</v>
      </c>
      <c r="B1860">
        <v>4.9675000000000002</v>
      </c>
    </row>
    <row r="1861" spans="1:2" x14ac:dyDescent="0.25">
      <c r="A1861" s="1">
        <v>44244</v>
      </c>
      <c r="B1861">
        <v>5.2074999999999996</v>
      </c>
    </row>
    <row r="1862" spans="1:2" x14ac:dyDescent="0.25">
      <c r="A1862" s="1">
        <v>44245</v>
      </c>
      <c r="B1862">
        <v>5.2225000000000001</v>
      </c>
    </row>
    <row r="1863" spans="1:2" x14ac:dyDescent="0.25">
      <c r="A1863" s="1">
        <v>44246</v>
      </c>
      <c r="B1863">
        <v>5.0724999999999998</v>
      </c>
    </row>
    <row r="1864" spans="1:2" x14ac:dyDescent="0.25">
      <c r="A1864" s="1">
        <v>44249</v>
      </c>
      <c r="B1864">
        <v>4.9974999999999996</v>
      </c>
    </row>
    <row r="1865" spans="1:2" x14ac:dyDescent="0.25">
      <c r="A1865" s="1">
        <v>44250</v>
      </c>
      <c r="B1865">
        <v>5.0324999999999998</v>
      </c>
    </row>
    <row r="1866" spans="1:2" x14ac:dyDescent="0.25">
      <c r="A1866" s="1">
        <v>44251</v>
      </c>
      <c r="B1866">
        <v>4.9574999999999996</v>
      </c>
    </row>
    <row r="1867" spans="1:2" x14ac:dyDescent="0.25">
      <c r="A1867" s="1">
        <v>44252</v>
      </c>
      <c r="B1867">
        <v>5.0949999999999998</v>
      </c>
    </row>
    <row r="1868" spans="1:2" x14ac:dyDescent="0.25">
      <c r="A1868" s="1">
        <v>44253</v>
      </c>
      <c r="B1868">
        <v>5.2350000000000003</v>
      </c>
    </row>
    <row r="1869" spans="1:2" x14ac:dyDescent="0.25">
      <c r="A1869" s="1">
        <v>44256</v>
      </c>
      <c r="B1869">
        <v>4.9550000000000001</v>
      </c>
    </row>
    <row r="1870" spans="1:2" x14ac:dyDescent="0.25">
      <c r="A1870" s="1">
        <v>44257</v>
      </c>
      <c r="B1870">
        <v>4.8025000000000002</v>
      </c>
    </row>
    <row r="1871" spans="1:2" x14ac:dyDescent="0.25">
      <c r="A1871" s="1">
        <v>44258</v>
      </c>
      <c r="B1871">
        <v>4.5824999999999996</v>
      </c>
    </row>
    <row r="1872" spans="1:2" x14ac:dyDescent="0.25">
      <c r="A1872" s="1">
        <v>44259</v>
      </c>
      <c r="B1872">
        <v>4.5875000000000004</v>
      </c>
    </row>
    <row r="1873" spans="1:2" x14ac:dyDescent="0.25">
      <c r="A1873" s="1">
        <v>44260</v>
      </c>
      <c r="B1873">
        <v>4.8375000000000004</v>
      </c>
    </row>
    <row r="1874" spans="1:2" x14ac:dyDescent="0.25">
      <c r="A1874" s="1">
        <v>44263</v>
      </c>
      <c r="B1874">
        <v>5.19</v>
      </c>
    </row>
    <row r="1875" spans="1:2" x14ac:dyDescent="0.25">
      <c r="A1875" s="1">
        <v>44264</v>
      </c>
      <c r="B1875">
        <v>4.96</v>
      </c>
    </row>
    <row r="1876" spans="1:2" x14ac:dyDescent="0.25">
      <c r="A1876" s="1">
        <v>44265</v>
      </c>
      <c r="B1876">
        <v>4.8600000000000003</v>
      </c>
    </row>
    <row r="1877" spans="1:2" x14ac:dyDescent="0.25">
      <c r="A1877" s="1">
        <v>44266</v>
      </c>
      <c r="B1877">
        <v>4.7649999999999997</v>
      </c>
    </row>
    <row r="1878" spans="1:2" x14ac:dyDescent="0.25">
      <c r="A1878" s="1">
        <v>44267</v>
      </c>
      <c r="B1878">
        <v>4.8250000000000002</v>
      </c>
    </row>
    <row r="1879" spans="1:2" x14ac:dyDescent="0.25">
      <c r="A1879" s="1">
        <v>44270</v>
      </c>
      <c r="B1879">
        <v>4.8949999999999996</v>
      </c>
    </row>
    <row r="1880" spans="1:2" x14ac:dyDescent="0.25">
      <c r="A1880" s="1">
        <v>44271</v>
      </c>
      <c r="B1880">
        <v>4.82</v>
      </c>
    </row>
    <row r="1881" spans="1:2" x14ac:dyDescent="0.25">
      <c r="A1881" s="1">
        <v>44272</v>
      </c>
      <c r="B1881">
        <v>4.8250000000000002</v>
      </c>
    </row>
    <row r="1882" spans="1:2" x14ac:dyDescent="0.25">
      <c r="A1882" s="1">
        <v>44273</v>
      </c>
      <c r="B1882">
        <v>4.625</v>
      </c>
    </row>
    <row r="1883" spans="1:2" x14ac:dyDescent="0.25">
      <c r="A1883" s="1">
        <v>44274</v>
      </c>
      <c r="B1883">
        <v>4.6950000000000003</v>
      </c>
    </row>
    <row r="1884" spans="1:2" x14ac:dyDescent="0.25">
      <c r="A1884" s="1">
        <v>44277</v>
      </c>
      <c r="B1884">
        <v>4.72</v>
      </c>
    </row>
    <row r="1885" spans="1:2" x14ac:dyDescent="0.25">
      <c r="A1885" s="1">
        <v>44278</v>
      </c>
      <c r="B1885">
        <v>4.6150000000000002</v>
      </c>
    </row>
    <row r="1886" spans="1:2" x14ac:dyDescent="0.25">
      <c r="A1886" s="1">
        <v>44279</v>
      </c>
      <c r="B1886">
        <v>4.7050000000000001</v>
      </c>
    </row>
    <row r="1887" spans="1:2" x14ac:dyDescent="0.25">
      <c r="A1887" s="1">
        <v>44280</v>
      </c>
      <c r="B1887">
        <v>4.57</v>
      </c>
    </row>
    <row r="1888" spans="1:2" x14ac:dyDescent="0.25">
      <c r="A1888" s="1">
        <v>44281</v>
      </c>
      <c r="B1888">
        <v>4.5674999999999999</v>
      </c>
    </row>
    <row r="1889" spans="1:2" x14ac:dyDescent="0.25">
      <c r="A1889" s="1">
        <v>44284</v>
      </c>
      <c r="B1889">
        <v>4.8049999999999997</v>
      </c>
    </row>
    <row r="1890" spans="1:2" x14ac:dyDescent="0.25">
      <c r="A1890" s="1">
        <v>44285</v>
      </c>
      <c r="B1890">
        <v>4.8324999999999996</v>
      </c>
    </row>
    <row r="1891" spans="1:2" x14ac:dyDescent="0.25">
      <c r="A1891" s="1">
        <v>44286</v>
      </c>
      <c r="B1891">
        <v>4.7249999999999996</v>
      </c>
    </row>
    <row r="1892" spans="1:2" x14ac:dyDescent="0.25">
      <c r="A1892" s="1">
        <v>44287</v>
      </c>
      <c r="B1892">
        <v>4.66</v>
      </c>
    </row>
    <row r="1893" spans="1:2" x14ac:dyDescent="0.25">
      <c r="A1893" s="1">
        <v>44288</v>
      </c>
      <c r="B1893">
        <v>4.4749999999999996</v>
      </c>
    </row>
    <row r="1894" spans="1:2" x14ac:dyDescent="0.25">
      <c r="A1894" s="1">
        <v>44291</v>
      </c>
      <c r="B1894">
        <v>4.63</v>
      </c>
    </row>
    <row r="1895" spans="1:2" x14ac:dyDescent="0.25">
      <c r="A1895" s="1">
        <v>44292</v>
      </c>
      <c r="B1895">
        <v>4.6150000000000002</v>
      </c>
    </row>
    <row r="1896" spans="1:2" x14ac:dyDescent="0.25">
      <c r="A1896" s="1">
        <v>44293</v>
      </c>
      <c r="B1896">
        <v>4.5674999999999999</v>
      </c>
    </row>
    <row r="1897" spans="1:2" x14ac:dyDescent="0.25">
      <c r="A1897" s="1">
        <v>44294</v>
      </c>
      <c r="B1897">
        <v>4.4249999999999998</v>
      </c>
    </row>
    <row r="1898" spans="1:2" x14ac:dyDescent="0.25">
      <c r="A1898" s="1">
        <v>44295</v>
      </c>
      <c r="B1898">
        <v>4.2874999999999996</v>
      </c>
    </row>
    <row r="1899" spans="1:2" x14ac:dyDescent="0.25">
      <c r="A1899" s="1">
        <v>44298</v>
      </c>
      <c r="B1899">
        <v>4.1100000000000003</v>
      </c>
    </row>
    <row r="1900" spans="1:2" x14ac:dyDescent="0.25">
      <c r="A1900" s="1">
        <v>44299</v>
      </c>
      <c r="B1900">
        <v>4.0774999999999997</v>
      </c>
    </row>
    <row r="1901" spans="1:2" x14ac:dyDescent="0.25">
      <c r="A1901" s="1">
        <v>44300</v>
      </c>
      <c r="B1901">
        <v>4.0374999999999996</v>
      </c>
    </row>
    <row r="1902" spans="1:2" x14ac:dyDescent="0.25">
      <c r="A1902" s="1">
        <v>44301</v>
      </c>
      <c r="B1902">
        <v>4.0049999999999999</v>
      </c>
    </row>
    <row r="1903" spans="1:2" x14ac:dyDescent="0.25">
      <c r="A1903" s="1">
        <v>44302</v>
      </c>
      <c r="B1903">
        <v>3.9925000000000002</v>
      </c>
    </row>
    <row r="1904" spans="1:2" x14ac:dyDescent="0.25">
      <c r="A1904" s="1">
        <v>44305</v>
      </c>
      <c r="B1904">
        <v>4.1124999999999998</v>
      </c>
    </row>
    <row r="1905" spans="1:2" x14ac:dyDescent="0.25">
      <c r="A1905" s="1">
        <v>44306</v>
      </c>
      <c r="B1905">
        <v>4.2874999999999996</v>
      </c>
    </row>
    <row r="1906" spans="1:2" x14ac:dyDescent="0.25">
      <c r="A1906" s="1">
        <v>44307</v>
      </c>
      <c r="B1906">
        <v>4.1924999999999999</v>
      </c>
    </row>
    <row r="1907" spans="1:2" x14ac:dyDescent="0.25">
      <c r="A1907" s="1">
        <v>44308</v>
      </c>
      <c r="B1907">
        <v>4.1574999999999998</v>
      </c>
    </row>
    <row r="1908" spans="1:2" x14ac:dyDescent="0.25">
      <c r="A1908" s="1">
        <v>44309</v>
      </c>
      <c r="B1908">
        <v>3.9775</v>
      </c>
    </row>
    <row r="1909" spans="1:2" x14ac:dyDescent="0.25">
      <c r="A1909" s="1">
        <v>44312</v>
      </c>
      <c r="B1909">
        <v>3.9275000000000002</v>
      </c>
    </row>
    <row r="1910" spans="1:2" x14ac:dyDescent="0.25">
      <c r="A1910" s="1">
        <v>44313</v>
      </c>
      <c r="B1910">
        <v>3.82</v>
      </c>
    </row>
    <row r="1911" spans="1:2" x14ac:dyDescent="0.25">
      <c r="A1911" s="1">
        <v>44314</v>
      </c>
      <c r="B1911">
        <v>3.7149999999999999</v>
      </c>
    </row>
    <row r="1912" spans="1:2" x14ac:dyDescent="0.25">
      <c r="A1912" s="1">
        <v>44315</v>
      </c>
      <c r="B1912">
        <v>3.7574999999999998</v>
      </c>
    </row>
    <row r="1913" spans="1:2" x14ac:dyDescent="0.25">
      <c r="A1913" s="1">
        <v>44316</v>
      </c>
      <c r="B1913">
        <v>3.7524999999999999</v>
      </c>
    </row>
    <row r="1914" spans="1:2" x14ac:dyDescent="0.25">
      <c r="A1914" s="1">
        <v>44319</v>
      </c>
      <c r="B1914">
        <v>3.8424999999999998</v>
      </c>
    </row>
    <row r="1915" spans="1:2" x14ac:dyDescent="0.25">
      <c r="A1915" s="1">
        <v>44320</v>
      </c>
      <c r="B1915">
        <v>3.7749999999999999</v>
      </c>
    </row>
    <row r="1916" spans="1:2" x14ac:dyDescent="0.25">
      <c r="A1916" s="1">
        <v>44321</v>
      </c>
      <c r="B1916">
        <v>3.7425000000000002</v>
      </c>
    </row>
    <row r="1917" spans="1:2" x14ac:dyDescent="0.25">
      <c r="A1917" s="1">
        <v>44322</v>
      </c>
      <c r="B1917">
        <v>3.5874999999999999</v>
      </c>
    </row>
    <row r="1918" spans="1:2" x14ac:dyDescent="0.25">
      <c r="A1918" s="1">
        <v>44323</v>
      </c>
      <c r="B1918">
        <v>3.9925000000000002</v>
      </c>
    </row>
    <row r="1919" spans="1:2" x14ac:dyDescent="0.25">
      <c r="A1919" s="1">
        <v>44326</v>
      </c>
      <c r="B1919">
        <v>4.5075000000000003</v>
      </c>
    </row>
    <row r="1920" spans="1:2" x14ac:dyDescent="0.25">
      <c r="A1920" s="1">
        <v>44327</v>
      </c>
      <c r="B1920">
        <v>4.3025000000000002</v>
      </c>
    </row>
    <row r="1921" spans="1:2" x14ac:dyDescent="0.25">
      <c r="A1921" s="1">
        <v>44328</v>
      </c>
      <c r="B1921">
        <v>4.2374999999999998</v>
      </c>
    </row>
    <row r="1922" spans="1:2" x14ac:dyDescent="0.25">
      <c r="A1922" s="1">
        <v>44329</v>
      </c>
      <c r="B1922">
        <v>4.1974999999999998</v>
      </c>
    </row>
    <row r="1923" spans="1:2" x14ac:dyDescent="0.25">
      <c r="A1923" s="1">
        <v>44330</v>
      </c>
      <c r="B1923">
        <v>4</v>
      </c>
    </row>
    <row r="1924" spans="1:2" x14ac:dyDescent="0.25">
      <c r="A1924" s="1">
        <v>44333</v>
      </c>
      <c r="B1924">
        <v>3.9649999999999999</v>
      </c>
    </row>
    <row r="1925" spans="1:2" x14ac:dyDescent="0.25">
      <c r="A1925" s="1">
        <v>44334</v>
      </c>
      <c r="B1925">
        <v>4.09</v>
      </c>
    </row>
    <row r="1926" spans="1:2" x14ac:dyDescent="0.25">
      <c r="A1926" s="1">
        <v>44335</v>
      </c>
      <c r="B1926">
        <v>4.0824999999999996</v>
      </c>
    </row>
    <row r="1927" spans="1:2" x14ac:dyDescent="0.25">
      <c r="A1927" s="1">
        <v>44336</v>
      </c>
      <c r="B1927">
        <v>3.9325000000000001</v>
      </c>
    </row>
    <row r="1928" spans="1:2" x14ac:dyDescent="0.25">
      <c r="A1928" s="1">
        <v>44337</v>
      </c>
      <c r="B1928">
        <v>3.9</v>
      </c>
    </row>
    <row r="1929" spans="1:2" x14ac:dyDescent="0.25">
      <c r="A1929" s="1">
        <v>44340</v>
      </c>
      <c r="B1929">
        <v>4.1725000000000003</v>
      </c>
    </row>
    <row r="1930" spans="1:2" x14ac:dyDescent="0.25">
      <c r="A1930" s="1">
        <v>44341</v>
      </c>
      <c r="B1930">
        <v>4.4800000000000004</v>
      </c>
    </row>
    <row r="1931" spans="1:2" x14ac:dyDescent="0.25">
      <c r="A1931" s="1">
        <v>44342</v>
      </c>
      <c r="B1931">
        <v>4.7</v>
      </c>
    </row>
    <row r="1932" spans="1:2" x14ac:dyDescent="0.25">
      <c r="A1932" s="1">
        <v>44343</v>
      </c>
      <c r="B1932">
        <v>4.6675000000000004</v>
      </c>
    </row>
    <row r="1933" spans="1:2" x14ac:dyDescent="0.25">
      <c r="A1933" s="1">
        <v>44344</v>
      </c>
      <c r="B1933">
        <v>4.4649999999999999</v>
      </c>
    </row>
    <row r="1934" spans="1:2" x14ac:dyDescent="0.25">
      <c r="A1934" s="1">
        <v>44347</v>
      </c>
      <c r="B1934">
        <v>4.415</v>
      </c>
    </row>
    <row r="1935" spans="1:2" x14ac:dyDescent="0.25">
      <c r="A1935" s="1">
        <v>44348</v>
      </c>
      <c r="B1935">
        <v>4.1275000000000004</v>
      </c>
    </row>
    <row r="1936" spans="1:2" x14ac:dyDescent="0.25">
      <c r="A1936" s="1">
        <v>44349</v>
      </c>
      <c r="B1936">
        <v>4.1124999999999998</v>
      </c>
    </row>
    <row r="1937" spans="1:2" x14ac:dyDescent="0.25">
      <c r="A1937" s="1">
        <v>44350</v>
      </c>
      <c r="B1937">
        <v>4.0250000000000004</v>
      </c>
    </row>
    <row r="1938" spans="1:2" x14ac:dyDescent="0.25">
      <c r="A1938" s="1">
        <v>44351</v>
      </c>
      <c r="B1938">
        <v>4.1124999999999998</v>
      </c>
    </row>
    <row r="1939" spans="1:2" x14ac:dyDescent="0.25">
      <c r="A1939" s="1">
        <v>44354</v>
      </c>
      <c r="B1939">
        <v>4.0449999999999999</v>
      </c>
    </row>
    <row r="1940" spans="1:2" x14ac:dyDescent="0.25">
      <c r="A1940" s="1">
        <v>44355</v>
      </c>
      <c r="B1940">
        <v>3.8174999999999999</v>
      </c>
    </row>
    <row r="1941" spans="1:2" x14ac:dyDescent="0.25">
      <c r="A1941" s="1">
        <v>44356</v>
      </c>
      <c r="B1941">
        <v>3.83</v>
      </c>
    </row>
    <row r="1942" spans="1:2" x14ac:dyDescent="0.25">
      <c r="A1942" s="1">
        <v>44357</v>
      </c>
      <c r="B1942">
        <v>3.86</v>
      </c>
    </row>
    <row r="1943" spans="1:2" x14ac:dyDescent="0.25">
      <c r="A1943" s="1">
        <v>44358</v>
      </c>
      <c r="B1943">
        <v>3.6974999999999998</v>
      </c>
    </row>
    <row r="1944" spans="1:2" x14ac:dyDescent="0.25">
      <c r="A1944" s="1">
        <v>44361</v>
      </c>
      <c r="B1944">
        <v>3.88</v>
      </c>
    </row>
    <row r="1945" spans="1:2" x14ac:dyDescent="0.25">
      <c r="A1945" s="1">
        <v>44362</v>
      </c>
      <c r="B1945">
        <v>3.91</v>
      </c>
    </row>
    <row r="1946" spans="1:2" x14ac:dyDescent="0.25">
      <c r="A1946" s="1">
        <v>44363</v>
      </c>
      <c r="B1946">
        <v>3.8725000000000001</v>
      </c>
    </row>
    <row r="1947" spans="1:2" x14ac:dyDescent="0.25">
      <c r="A1947" s="1">
        <v>44364</v>
      </c>
      <c r="B1947">
        <v>4.05</v>
      </c>
    </row>
    <row r="1948" spans="1:2" x14ac:dyDescent="0.25">
      <c r="A1948" s="1">
        <v>44365</v>
      </c>
      <c r="B1948">
        <v>3.9275000000000002</v>
      </c>
    </row>
    <row r="1949" spans="1:2" x14ac:dyDescent="0.25">
      <c r="A1949" s="1">
        <v>44368</v>
      </c>
      <c r="B1949">
        <v>4.1399999999999997</v>
      </c>
    </row>
    <row r="1950" spans="1:2" x14ac:dyDescent="0.25">
      <c r="A1950" s="1">
        <v>44369</v>
      </c>
      <c r="B1950">
        <v>3.9624999999999999</v>
      </c>
    </row>
    <row r="1951" spans="1:2" x14ac:dyDescent="0.25">
      <c r="A1951" s="1">
        <v>44370</v>
      </c>
      <c r="B1951">
        <v>4.01</v>
      </c>
    </row>
    <row r="1952" spans="1:2" x14ac:dyDescent="0.25">
      <c r="A1952" s="1">
        <v>44371</v>
      </c>
      <c r="B1952">
        <v>3.88</v>
      </c>
    </row>
    <row r="1953" spans="1:2" x14ac:dyDescent="0.25">
      <c r="A1953" s="1">
        <v>44372</v>
      </c>
      <c r="B1953">
        <v>3.8325</v>
      </c>
    </row>
    <row r="1954" spans="1:2" x14ac:dyDescent="0.25">
      <c r="A1954" s="1">
        <v>44375</v>
      </c>
      <c r="B1954">
        <v>3.9224999999999999</v>
      </c>
    </row>
    <row r="1955" spans="1:2" x14ac:dyDescent="0.25">
      <c r="A1955" s="1">
        <v>44376</v>
      </c>
      <c r="B1955">
        <v>3.93</v>
      </c>
    </row>
    <row r="1956" spans="1:2" x14ac:dyDescent="0.25">
      <c r="A1956" s="1">
        <v>44377</v>
      </c>
      <c r="B1956">
        <v>3.94</v>
      </c>
    </row>
    <row r="1957" spans="1:2" x14ac:dyDescent="0.25">
      <c r="A1957" s="1">
        <v>44378</v>
      </c>
      <c r="B1957">
        <v>3.99</v>
      </c>
    </row>
    <row r="1958" spans="1:2" x14ac:dyDescent="0.25">
      <c r="A1958" s="1">
        <v>44379</v>
      </c>
      <c r="B1958">
        <v>3.8450000000000002</v>
      </c>
    </row>
    <row r="1959" spans="1:2" x14ac:dyDescent="0.25">
      <c r="A1959" s="1">
        <v>44382</v>
      </c>
      <c r="B1959">
        <v>3.8675000000000002</v>
      </c>
    </row>
    <row r="1960" spans="1:2" x14ac:dyDescent="0.25">
      <c r="A1960" s="1">
        <v>44383</v>
      </c>
      <c r="B1960">
        <v>3.8125</v>
      </c>
    </row>
    <row r="1961" spans="1:2" x14ac:dyDescent="0.25">
      <c r="A1961" s="1">
        <v>44384</v>
      </c>
      <c r="B1961">
        <v>3.8450000000000002</v>
      </c>
    </row>
    <row r="1962" spans="1:2" x14ac:dyDescent="0.25">
      <c r="A1962" s="1">
        <v>44385</v>
      </c>
      <c r="B1962">
        <v>3.9975000000000001</v>
      </c>
    </row>
    <row r="1963" spans="1:2" x14ac:dyDescent="0.25">
      <c r="A1963" s="1">
        <v>44386</v>
      </c>
      <c r="B1963">
        <v>3.86</v>
      </c>
    </row>
    <row r="1964" spans="1:2" x14ac:dyDescent="0.25">
      <c r="A1964" s="1">
        <v>44389</v>
      </c>
      <c r="B1964">
        <v>3.9049999999999998</v>
      </c>
    </row>
    <row r="1965" spans="1:2" x14ac:dyDescent="0.25">
      <c r="A1965" s="1">
        <v>44390</v>
      </c>
      <c r="B1965">
        <v>3.84</v>
      </c>
    </row>
    <row r="1966" spans="1:2" x14ac:dyDescent="0.25">
      <c r="A1966" s="1">
        <v>44391</v>
      </c>
      <c r="B1966">
        <v>3.7949999999999999</v>
      </c>
    </row>
    <row r="1967" spans="1:2" x14ac:dyDescent="0.25">
      <c r="A1967" s="1">
        <v>44392</v>
      </c>
      <c r="B1967">
        <v>3.72</v>
      </c>
    </row>
    <row r="1968" spans="1:2" x14ac:dyDescent="0.25">
      <c r="A1968" s="1">
        <v>44393</v>
      </c>
      <c r="B1968">
        <v>3.7</v>
      </c>
    </row>
    <row r="1969" spans="1:2" x14ac:dyDescent="0.25">
      <c r="A1969" s="1">
        <v>44396</v>
      </c>
      <c r="B1969">
        <v>3.99</v>
      </c>
    </row>
    <row r="1970" spans="1:2" x14ac:dyDescent="0.25">
      <c r="A1970" s="1">
        <v>44397</v>
      </c>
      <c r="B1970">
        <v>3.9824999999999999</v>
      </c>
    </row>
    <row r="1971" spans="1:2" x14ac:dyDescent="0.25">
      <c r="A1971" s="1">
        <v>44398</v>
      </c>
      <c r="B1971">
        <v>3.9925000000000002</v>
      </c>
    </row>
    <row r="1972" spans="1:2" x14ac:dyDescent="0.25">
      <c r="A1972" s="1">
        <v>44399</v>
      </c>
      <c r="B1972">
        <v>3.9950000000000001</v>
      </c>
    </row>
    <row r="1973" spans="1:2" x14ac:dyDescent="0.25">
      <c r="A1973" s="1">
        <v>44400</v>
      </c>
      <c r="B1973">
        <v>3.855</v>
      </c>
    </row>
    <row r="1974" spans="1:2" x14ac:dyDescent="0.25">
      <c r="A1974" s="1">
        <v>44403</v>
      </c>
      <c r="B1974">
        <v>3.92</v>
      </c>
    </row>
    <row r="1975" spans="1:2" x14ac:dyDescent="0.25">
      <c r="A1975" s="1">
        <v>44404</v>
      </c>
      <c r="B1975">
        <v>4.49</v>
      </c>
    </row>
    <row r="1976" spans="1:2" x14ac:dyDescent="0.25">
      <c r="A1976" s="1">
        <v>44405</v>
      </c>
      <c r="B1976">
        <v>4.53</v>
      </c>
    </row>
    <row r="1977" spans="1:2" x14ac:dyDescent="0.25">
      <c r="A1977" s="1">
        <v>44406</v>
      </c>
      <c r="B1977">
        <v>4.32</v>
      </c>
    </row>
    <row r="1978" spans="1:2" x14ac:dyDescent="0.25">
      <c r="A1978" s="1">
        <v>44407</v>
      </c>
      <c r="B1978">
        <v>4.26</v>
      </c>
    </row>
    <row r="1979" spans="1:2" x14ac:dyDescent="0.25">
      <c r="A1979" s="1">
        <v>44410</v>
      </c>
      <c r="B1979">
        <v>4.16</v>
      </c>
    </row>
    <row r="1980" spans="1:2" x14ac:dyDescent="0.25">
      <c r="A1980" s="1">
        <v>44411</v>
      </c>
      <c r="B1980">
        <v>4.1574999999999998</v>
      </c>
    </row>
    <row r="1981" spans="1:2" x14ac:dyDescent="0.25">
      <c r="A1981" s="1">
        <v>44412</v>
      </c>
      <c r="B1981">
        <v>4.1475</v>
      </c>
    </row>
    <row r="1982" spans="1:2" x14ac:dyDescent="0.25">
      <c r="A1982" s="1">
        <v>44413</v>
      </c>
      <c r="B1982">
        <v>4.1174999999999997</v>
      </c>
    </row>
    <row r="1983" spans="1:2" x14ac:dyDescent="0.25">
      <c r="A1983" s="1">
        <v>44414</v>
      </c>
      <c r="B1983">
        <v>4.1749999999999998</v>
      </c>
    </row>
    <row r="1984" spans="1:2" x14ac:dyDescent="0.25">
      <c r="A1984" s="1">
        <v>44417</v>
      </c>
      <c r="B1984">
        <v>4.2300000000000004</v>
      </c>
    </row>
    <row r="1985" spans="1:2" x14ac:dyDescent="0.25">
      <c r="A1985" s="1">
        <v>44418</v>
      </c>
      <c r="B1985">
        <v>4.1275000000000004</v>
      </c>
    </row>
    <row r="1986" spans="1:2" x14ac:dyDescent="0.25">
      <c r="A1986" s="1">
        <v>44419</v>
      </c>
      <c r="B1986">
        <v>4.1675000000000004</v>
      </c>
    </row>
    <row r="1987" spans="1:2" x14ac:dyDescent="0.25">
      <c r="A1987" s="1">
        <v>44420</v>
      </c>
      <c r="B1987">
        <v>4.0250000000000004</v>
      </c>
    </row>
    <row r="1988" spans="1:2" x14ac:dyDescent="0.25">
      <c r="A1988" s="1">
        <v>44421</v>
      </c>
      <c r="B1988">
        <v>3.88</v>
      </c>
    </row>
    <row r="1989" spans="1:2" x14ac:dyDescent="0.25">
      <c r="A1989" s="1">
        <v>44424</v>
      </c>
      <c r="B1989">
        <v>3.915</v>
      </c>
    </row>
    <row r="1990" spans="1:2" x14ac:dyDescent="0.25">
      <c r="A1990" s="1">
        <v>44425</v>
      </c>
      <c r="B1990">
        <v>4.0175000000000001</v>
      </c>
    </row>
    <row r="1991" spans="1:2" x14ac:dyDescent="0.25">
      <c r="A1991" s="1">
        <v>44426</v>
      </c>
      <c r="B1991">
        <v>3.8125</v>
      </c>
    </row>
    <row r="1992" spans="1:2" x14ac:dyDescent="0.25">
      <c r="A1992" s="1">
        <v>44427</v>
      </c>
      <c r="B1992">
        <v>4</v>
      </c>
    </row>
    <row r="1993" spans="1:2" x14ac:dyDescent="0.25">
      <c r="A1993" s="1">
        <v>44428</v>
      </c>
      <c r="B1993">
        <v>4.0575000000000001</v>
      </c>
    </row>
    <row r="1994" spans="1:2" x14ac:dyDescent="0.25">
      <c r="A1994" s="1">
        <v>44431</v>
      </c>
      <c r="B1994">
        <v>4.0475000000000003</v>
      </c>
    </row>
    <row r="1995" spans="1:2" x14ac:dyDescent="0.25">
      <c r="A1995" s="1">
        <v>44432</v>
      </c>
      <c r="B1995">
        <v>4.0025000000000004</v>
      </c>
    </row>
    <row r="1996" spans="1:2" x14ac:dyDescent="0.25">
      <c r="A1996" s="1">
        <v>44433</v>
      </c>
      <c r="B1996">
        <v>3.9449999999999998</v>
      </c>
    </row>
    <row r="1997" spans="1:2" x14ac:dyDescent="0.25">
      <c r="A1997" s="1">
        <v>44434</v>
      </c>
      <c r="B1997">
        <v>3.79</v>
      </c>
    </row>
    <row r="1998" spans="1:2" x14ac:dyDescent="0.25">
      <c r="A1998" s="1">
        <v>44435</v>
      </c>
      <c r="B1998">
        <v>3.7549999999999999</v>
      </c>
    </row>
    <row r="1999" spans="1:2" x14ac:dyDescent="0.25">
      <c r="A1999" s="1">
        <v>44438</v>
      </c>
      <c r="B1999">
        <v>3.7850000000000001</v>
      </c>
    </row>
    <row r="2000" spans="1:2" x14ac:dyDescent="0.25">
      <c r="A2000" s="1">
        <v>44439</v>
      </c>
      <c r="B2000">
        <v>3.7349999999999999</v>
      </c>
    </row>
    <row r="2001" spans="1:2" x14ac:dyDescent="0.25">
      <c r="A2001" s="1">
        <v>44440</v>
      </c>
      <c r="B2001">
        <v>3.74</v>
      </c>
    </row>
    <row r="2002" spans="1:2" x14ac:dyDescent="0.25">
      <c r="A2002" s="1">
        <v>44441</v>
      </c>
      <c r="B2002">
        <v>3.7374999999999998</v>
      </c>
    </row>
    <row r="2003" spans="1:2" x14ac:dyDescent="0.25">
      <c r="A2003" s="1">
        <v>44442</v>
      </c>
      <c r="B2003">
        <v>3.8675000000000002</v>
      </c>
    </row>
    <row r="2004" spans="1:2" x14ac:dyDescent="0.25">
      <c r="A2004" s="1">
        <v>44445</v>
      </c>
      <c r="B2004">
        <v>3.9649999999999999</v>
      </c>
    </row>
    <row r="2005" spans="1:2" x14ac:dyDescent="0.25">
      <c r="A2005" s="1">
        <v>44446</v>
      </c>
      <c r="B2005">
        <v>3.79</v>
      </c>
    </row>
    <row r="2006" spans="1:2" x14ac:dyDescent="0.25">
      <c r="A2006" s="1">
        <v>44447</v>
      </c>
      <c r="B2006">
        <v>3.6850000000000001</v>
      </c>
    </row>
    <row r="2007" spans="1:2" x14ac:dyDescent="0.25">
      <c r="A2007" s="1">
        <v>44448</v>
      </c>
      <c r="B2007">
        <v>3.5575000000000001</v>
      </c>
    </row>
    <row r="2008" spans="1:2" x14ac:dyDescent="0.25">
      <c r="A2008" s="1">
        <v>44449</v>
      </c>
      <c r="B2008">
        <v>3.76</v>
      </c>
    </row>
    <row r="2009" spans="1:2" x14ac:dyDescent="0.25">
      <c r="A2009" s="1">
        <v>44452</v>
      </c>
      <c r="B2009">
        <v>3.7450000000000001</v>
      </c>
    </row>
    <row r="2010" spans="1:2" x14ac:dyDescent="0.25">
      <c r="A2010" s="1">
        <v>44453</v>
      </c>
      <c r="B2010">
        <v>3.6949999999999998</v>
      </c>
    </row>
    <row r="2011" spans="1:2" x14ac:dyDescent="0.25">
      <c r="A2011" s="1">
        <v>44454</v>
      </c>
      <c r="B2011">
        <v>3.6850000000000001</v>
      </c>
    </row>
    <row r="2012" spans="1:2" x14ac:dyDescent="0.25">
      <c r="A2012" s="1">
        <v>44455</v>
      </c>
      <c r="B2012">
        <v>3.7749999999999999</v>
      </c>
    </row>
    <row r="2013" spans="1:2" x14ac:dyDescent="0.25">
      <c r="A2013" s="1">
        <v>44456</v>
      </c>
      <c r="B2013">
        <v>3.8875000000000002</v>
      </c>
    </row>
    <row r="2014" spans="1:2" x14ac:dyDescent="0.25">
      <c r="A2014" s="1">
        <v>44459</v>
      </c>
      <c r="B2014">
        <v>4.4524999999999997</v>
      </c>
    </row>
    <row r="2015" spans="1:2" x14ac:dyDescent="0.25">
      <c r="A2015" s="1">
        <v>44460</v>
      </c>
      <c r="B2015">
        <v>4.3375000000000004</v>
      </c>
    </row>
    <row r="2016" spans="1:2" x14ac:dyDescent="0.25">
      <c r="A2016" s="1">
        <v>44461</v>
      </c>
      <c r="B2016">
        <v>4.2975000000000003</v>
      </c>
    </row>
    <row r="2017" spans="1:2" x14ac:dyDescent="0.25">
      <c r="A2017" s="1">
        <v>44462</v>
      </c>
      <c r="B2017">
        <v>3.8424999999999998</v>
      </c>
    </row>
    <row r="2018" spans="1:2" x14ac:dyDescent="0.25">
      <c r="A2018" s="1">
        <v>44463</v>
      </c>
      <c r="B2018">
        <v>3.7850000000000001</v>
      </c>
    </row>
    <row r="2019" spans="1:2" x14ac:dyDescent="0.25">
      <c r="A2019" s="1">
        <v>44466</v>
      </c>
      <c r="B2019">
        <v>3.7850000000000001</v>
      </c>
    </row>
    <row r="2020" spans="1:2" x14ac:dyDescent="0.25">
      <c r="A2020" s="1">
        <v>44467</v>
      </c>
      <c r="B2020">
        <v>3.6775000000000002</v>
      </c>
    </row>
    <row r="2021" spans="1:2" x14ac:dyDescent="0.25">
      <c r="A2021" s="1">
        <v>44468</v>
      </c>
      <c r="B2021">
        <v>3.7774999999999999</v>
      </c>
    </row>
    <row r="2022" spans="1:2" x14ac:dyDescent="0.25">
      <c r="A2022" s="1">
        <v>44469</v>
      </c>
      <c r="B2022">
        <v>3.6974999999999998</v>
      </c>
    </row>
    <row r="2023" spans="1:2" x14ac:dyDescent="0.25">
      <c r="A2023" s="1">
        <v>44470</v>
      </c>
      <c r="B2023">
        <v>3.8275000000000001</v>
      </c>
    </row>
    <row r="2024" spans="1:2" x14ac:dyDescent="0.25">
      <c r="A2024" s="1">
        <v>44473</v>
      </c>
      <c r="B2024">
        <v>3.93</v>
      </c>
    </row>
    <row r="2025" spans="1:2" x14ac:dyDescent="0.25">
      <c r="A2025" s="1">
        <v>44474</v>
      </c>
      <c r="B2025">
        <v>3.93</v>
      </c>
    </row>
    <row r="2026" spans="1:2" x14ac:dyDescent="0.25">
      <c r="A2026" s="1">
        <v>44475</v>
      </c>
      <c r="B2026">
        <v>4.0724999999999998</v>
      </c>
    </row>
    <row r="2027" spans="1:2" x14ac:dyDescent="0.25">
      <c r="A2027" s="1">
        <v>44476</v>
      </c>
      <c r="B2027">
        <v>3.9624999999999999</v>
      </c>
    </row>
    <row r="2028" spans="1:2" x14ac:dyDescent="0.25">
      <c r="A2028" s="1">
        <v>44477</v>
      </c>
      <c r="B2028">
        <v>3.9075000000000002</v>
      </c>
    </row>
    <row r="2029" spans="1:2" x14ac:dyDescent="0.25">
      <c r="A2029" s="1">
        <v>44480</v>
      </c>
      <c r="B2029">
        <v>3.8275000000000001</v>
      </c>
    </row>
    <row r="2030" spans="1:2" x14ac:dyDescent="0.25">
      <c r="A2030" s="1">
        <v>44481</v>
      </c>
      <c r="B2030">
        <v>3.8125</v>
      </c>
    </row>
    <row r="2031" spans="1:2" x14ac:dyDescent="0.25">
      <c r="A2031" s="1">
        <v>44482</v>
      </c>
      <c r="B2031">
        <v>3.7149999999999999</v>
      </c>
    </row>
    <row r="2032" spans="1:2" x14ac:dyDescent="0.25">
      <c r="A2032" s="1">
        <v>44483</v>
      </c>
      <c r="B2032">
        <v>3.7225000000000001</v>
      </c>
    </row>
    <row r="2033" spans="1:2" x14ac:dyDescent="0.25">
      <c r="A2033" s="1">
        <v>44484</v>
      </c>
      <c r="B2033">
        <v>3.7574999999999998</v>
      </c>
    </row>
    <row r="2034" spans="1:2" x14ac:dyDescent="0.25">
      <c r="A2034" s="1">
        <v>44487</v>
      </c>
      <c r="B2034">
        <v>3.7475000000000001</v>
      </c>
    </row>
    <row r="2035" spans="1:2" x14ac:dyDescent="0.25">
      <c r="A2035" s="1">
        <v>44488</v>
      </c>
      <c r="B2035">
        <v>4.08</v>
      </c>
    </row>
    <row r="2036" spans="1:2" x14ac:dyDescent="0.25">
      <c r="A2036" s="1">
        <v>44489</v>
      </c>
      <c r="B2036">
        <v>4.1124999999999998</v>
      </c>
    </row>
    <row r="2037" spans="1:2" x14ac:dyDescent="0.25">
      <c r="A2037" s="1">
        <v>44490</v>
      </c>
      <c r="B2037">
        <v>4.0075000000000003</v>
      </c>
    </row>
    <row r="2038" spans="1:2" x14ac:dyDescent="0.25">
      <c r="A2038" s="1">
        <v>44491</v>
      </c>
      <c r="B2038">
        <v>3.9674999999999998</v>
      </c>
    </row>
    <row r="2039" spans="1:2" x14ac:dyDescent="0.25">
      <c r="A2039" s="1">
        <v>44494</v>
      </c>
      <c r="B2039">
        <v>4.0525000000000002</v>
      </c>
    </row>
    <row r="2040" spans="1:2" x14ac:dyDescent="0.25">
      <c r="A2040" s="1">
        <v>44495</v>
      </c>
      <c r="B2040">
        <v>4.0274999999999999</v>
      </c>
    </row>
    <row r="2041" spans="1:2" x14ac:dyDescent="0.25">
      <c r="A2041" s="1">
        <v>44496</v>
      </c>
      <c r="B2041">
        <v>3.9049999999999998</v>
      </c>
    </row>
    <row r="2042" spans="1:2" x14ac:dyDescent="0.25">
      <c r="A2042" s="1">
        <v>44497</v>
      </c>
      <c r="B2042">
        <v>3.7075</v>
      </c>
    </row>
    <row r="2043" spans="1:2" x14ac:dyDescent="0.25">
      <c r="A2043" s="1">
        <v>44498</v>
      </c>
      <c r="B2043">
        <v>3.6575000000000002</v>
      </c>
    </row>
    <row r="2044" spans="1:2" x14ac:dyDescent="0.25">
      <c r="A2044" s="1">
        <v>44501</v>
      </c>
      <c r="B2044">
        <v>3.665</v>
      </c>
    </row>
    <row r="2045" spans="1:2" x14ac:dyDescent="0.25">
      <c r="A2045" s="1">
        <v>44502</v>
      </c>
      <c r="B2045">
        <v>3.6074999999999999</v>
      </c>
    </row>
    <row r="2046" spans="1:2" x14ac:dyDescent="0.25">
      <c r="A2046" s="1">
        <v>44503</v>
      </c>
      <c r="B2046">
        <v>3.5474999999999999</v>
      </c>
    </row>
    <row r="2047" spans="1:2" x14ac:dyDescent="0.25">
      <c r="A2047" s="1">
        <v>44504</v>
      </c>
      <c r="B2047">
        <v>3.3975</v>
      </c>
    </row>
    <row r="2048" spans="1:2" x14ac:dyDescent="0.25">
      <c r="A2048" s="1">
        <v>44505</v>
      </c>
      <c r="B2048">
        <v>3.3125</v>
      </c>
    </row>
    <row r="2049" spans="1:2" x14ac:dyDescent="0.25">
      <c r="A2049" s="1">
        <v>44508</v>
      </c>
      <c r="B2049">
        <v>3.3475000000000001</v>
      </c>
    </row>
    <row r="2050" spans="1:2" x14ac:dyDescent="0.25">
      <c r="A2050" s="1">
        <v>44509</v>
      </c>
      <c r="B2050">
        <v>3.44</v>
      </c>
    </row>
    <row r="2051" spans="1:2" x14ac:dyDescent="0.25">
      <c r="A2051" s="1">
        <v>44510</v>
      </c>
      <c r="B2051">
        <v>3.46</v>
      </c>
    </row>
    <row r="2052" spans="1:2" x14ac:dyDescent="0.25">
      <c r="A2052" s="1">
        <v>44511</v>
      </c>
      <c r="B2052">
        <v>3.5375000000000001</v>
      </c>
    </row>
    <row r="2053" spans="1:2" x14ac:dyDescent="0.25">
      <c r="A2053" s="1">
        <v>44512</v>
      </c>
      <c r="B2053">
        <v>3.8424999999999998</v>
      </c>
    </row>
    <row r="2054" spans="1:2" x14ac:dyDescent="0.25">
      <c r="A2054" s="1">
        <v>44515</v>
      </c>
      <c r="B2054">
        <v>3.9750000000000001</v>
      </c>
    </row>
    <row r="2055" spans="1:2" x14ac:dyDescent="0.25">
      <c r="A2055" s="1">
        <v>44516</v>
      </c>
      <c r="B2055">
        <v>3.8475000000000001</v>
      </c>
    </row>
    <row r="2056" spans="1:2" x14ac:dyDescent="0.25">
      <c r="A2056" s="1">
        <v>44517</v>
      </c>
      <c r="B2056">
        <v>3.72</v>
      </c>
    </row>
    <row r="2057" spans="1:2" x14ac:dyDescent="0.25">
      <c r="A2057" s="1">
        <v>44518</v>
      </c>
      <c r="B2057">
        <v>3.6575000000000002</v>
      </c>
    </row>
    <row r="2058" spans="1:2" x14ac:dyDescent="0.25">
      <c r="A2058" s="1">
        <v>44519</v>
      </c>
      <c r="B2058">
        <v>3.7475000000000001</v>
      </c>
    </row>
    <row r="2059" spans="1:2" x14ac:dyDescent="0.25">
      <c r="A2059" s="1">
        <v>44522</v>
      </c>
      <c r="B2059">
        <v>3.7475000000000001</v>
      </c>
    </row>
    <row r="2060" spans="1:2" x14ac:dyDescent="0.25">
      <c r="A2060" s="1">
        <v>44523</v>
      </c>
      <c r="B2060">
        <v>3.7675000000000001</v>
      </c>
    </row>
    <row r="2061" spans="1:2" x14ac:dyDescent="0.25">
      <c r="A2061" s="1">
        <v>44524</v>
      </c>
      <c r="B2061">
        <v>3.76</v>
      </c>
    </row>
    <row r="2062" spans="1:2" x14ac:dyDescent="0.25">
      <c r="A2062" s="1">
        <v>44525</v>
      </c>
      <c r="B2062">
        <v>3.625</v>
      </c>
    </row>
    <row r="2063" spans="1:2" x14ac:dyDescent="0.25">
      <c r="A2063" s="1">
        <v>44526</v>
      </c>
      <c r="B2063">
        <v>3.8149999999999999</v>
      </c>
    </row>
    <row r="2064" spans="1:2" x14ac:dyDescent="0.25">
      <c r="A2064" s="1">
        <v>44529</v>
      </c>
      <c r="B2064">
        <v>3.63</v>
      </c>
    </row>
    <row r="2065" spans="1:2" x14ac:dyDescent="0.25">
      <c r="A2065" s="1">
        <v>44530</v>
      </c>
      <c r="B2065">
        <v>3.71</v>
      </c>
    </row>
    <row r="2066" spans="1:2" x14ac:dyDescent="0.25">
      <c r="A2066" s="1">
        <v>44531</v>
      </c>
      <c r="B2066">
        <v>3.645</v>
      </c>
    </row>
    <row r="2067" spans="1:2" x14ac:dyDescent="0.25">
      <c r="A2067" s="1">
        <v>44532</v>
      </c>
      <c r="B2067">
        <v>3.6074999999999999</v>
      </c>
    </row>
    <row r="2068" spans="1:2" x14ac:dyDescent="0.25">
      <c r="A2068" s="1">
        <v>44533</v>
      </c>
      <c r="B2068">
        <v>3.7324999999999999</v>
      </c>
    </row>
    <row r="2069" spans="1:2" x14ac:dyDescent="0.25">
      <c r="A2069" s="1">
        <v>44536</v>
      </c>
      <c r="B2069">
        <v>3.8275000000000001</v>
      </c>
    </row>
    <row r="2070" spans="1:2" x14ac:dyDescent="0.25">
      <c r="A2070" s="1">
        <v>44537</v>
      </c>
      <c r="B2070">
        <v>3.7374999999999998</v>
      </c>
    </row>
    <row r="2071" spans="1:2" x14ac:dyDescent="0.25">
      <c r="A2071" s="1">
        <v>44538</v>
      </c>
      <c r="B2071">
        <v>3.8475000000000001</v>
      </c>
    </row>
    <row r="2072" spans="1:2" x14ac:dyDescent="0.25">
      <c r="A2072" s="1">
        <v>44539</v>
      </c>
      <c r="B2072">
        <v>4.0875000000000004</v>
      </c>
    </row>
    <row r="2073" spans="1:2" x14ac:dyDescent="0.25">
      <c r="A2073" s="1">
        <v>44540</v>
      </c>
      <c r="B2073">
        <v>3.8475000000000001</v>
      </c>
    </row>
    <row r="2074" spans="1:2" x14ac:dyDescent="0.25">
      <c r="A2074" s="1">
        <v>44543</v>
      </c>
      <c r="B2074">
        <v>3.82</v>
      </c>
    </row>
    <row r="2075" spans="1:2" x14ac:dyDescent="0.25">
      <c r="A2075" s="1">
        <v>44544</v>
      </c>
      <c r="B2075">
        <v>3.8</v>
      </c>
    </row>
    <row r="2076" spans="1:2" x14ac:dyDescent="0.25">
      <c r="A2076" s="1">
        <v>44545</v>
      </c>
      <c r="B2076">
        <v>3.6974999999999998</v>
      </c>
    </row>
    <row r="2077" spans="1:2" x14ac:dyDescent="0.25">
      <c r="A2077" s="1">
        <v>44546</v>
      </c>
      <c r="B2077">
        <v>3.2625000000000002</v>
      </c>
    </row>
    <row r="2078" spans="1:2" x14ac:dyDescent="0.25">
      <c r="A2078" s="1">
        <v>44547</v>
      </c>
      <c r="B2078">
        <v>3.26</v>
      </c>
    </row>
    <row r="2079" spans="1:2" x14ac:dyDescent="0.25">
      <c r="A2079" s="1">
        <v>44550</v>
      </c>
      <c r="B2079">
        <v>3.3224999999999998</v>
      </c>
    </row>
    <row r="2080" spans="1:2" x14ac:dyDescent="0.25">
      <c r="A2080" s="1">
        <v>44551</v>
      </c>
      <c r="B2080">
        <v>3.3525</v>
      </c>
    </row>
    <row r="2081" spans="1:2" x14ac:dyDescent="0.25">
      <c r="A2081" s="1">
        <v>44552</v>
      </c>
      <c r="B2081">
        <v>3.32</v>
      </c>
    </row>
    <row r="2082" spans="1:2" x14ac:dyDescent="0.25">
      <c r="A2082" s="1">
        <v>44553</v>
      </c>
      <c r="B2082">
        <v>3.3424999999999998</v>
      </c>
    </row>
    <row r="2083" spans="1:2" x14ac:dyDescent="0.25">
      <c r="A2083" s="1">
        <v>44554</v>
      </c>
      <c r="B2083">
        <v>3.3450000000000002</v>
      </c>
    </row>
    <row r="2084" spans="1:2" x14ac:dyDescent="0.25">
      <c r="A2084" s="1">
        <v>44557</v>
      </c>
      <c r="B2084">
        <v>3.41</v>
      </c>
    </row>
    <row r="2085" spans="1:2" x14ac:dyDescent="0.25">
      <c r="A2085" s="1">
        <v>44558</v>
      </c>
      <c r="B2085">
        <v>3.43</v>
      </c>
    </row>
    <row r="2086" spans="1:2" x14ac:dyDescent="0.25">
      <c r="A2086" s="1">
        <v>44559</v>
      </c>
      <c r="B2086">
        <v>3.3574999999999999</v>
      </c>
    </row>
    <row r="2087" spans="1:2" x14ac:dyDescent="0.25">
      <c r="A2087" s="1">
        <v>44560</v>
      </c>
      <c r="B2087">
        <v>3.4950000000000001</v>
      </c>
    </row>
    <row r="2088" spans="1:2" x14ac:dyDescent="0.25">
      <c r="A2088" s="1">
        <v>44561</v>
      </c>
      <c r="B2088">
        <v>3.4874999999999998</v>
      </c>
    </row>
    <row r="2089" spans="1:2" x14ac:dyDescent="0.25">
      <c r="A2089" s="1">
        <v>44564</v>
      </c>
      <c r="B2089">
        <v>3.6025</v>
      </c>
    </row>
    <row r="2090" spans="1:2" x14ac:dyDescent="0.25">
      <c r="A2090" s="1">
        <v>44565</v>
      </c>
      <c r="B2090">
        <v>3.42</v>
      </c>
    </row>
    <row r="2091" spans="1:2" x14ac:dyDescent="0.25">
      <c r="A2091" s="1">
        <v>44566</v>
      </c>
      <c r="B2091">
        <v>3.1475</v>
      </c>
    </row>
    <row r="2092" spans="1:2" x14ac:dyDescent="0.25">
      <c r="A2092" s="1">
        <v>44567</v>
      </c>
      <c r="B2092">
        <v>3.2174999999999998</v>
      </c>
    </row>
    <row r="2093" spans="1:2" x14ac:dyDescent="0.25">
      <c r="A2093" s="1">
        <v>44568</v>
      </c>
      <c r="B2093">
        <v>3.1549999999999998</v>
      </c>
    </row>
    <row r="2094" spans="1:2" x14ac:dyDescent="0.25">
      <c r="A2094" s="1">
        <v>44571</v>
      </c>
      <c r="B2094">
        <v>3.105</v>
      </c>
    </row>
    <row r="2095" spans="1:2" x14ac:dyDescent="0.25">
      <c r="A2095" s="1">
        <v>44572</v>
      </c>
      <c r="B2095">
        <v>2.95</v>
      </c>
    </row>
    <row r="2096" spans="1:2" x14ac:dyDescent="0.25">
      <c r="A2096" s="1">
        <v>44573</v>
      </c>
      <c r="B2096">
        <v>2.95</v>
      </c>
    </row>
    <row r="2097" spans="1:2" x14ac:dyDescent="0.25">
      <c r="A2097" s="1">
        <v>44574</v>
      </c>
      <c r="B2097">
        <v>2.9849999999999999</v>
      </c>
    </row>
    <row r="2098" spans="1:2" x14ac:dyDescent="0.25">
      <c r="A2098" s="1">
        <v>44575</v>
      </c>
      <c r="B2098">
        <v>3.1749999999999998</v>
      </c>
    </row>
    <row r="2099" spans="1:2" x14ac:dyDescent="0.25">
      <c r="A2099" s="1">
        <v>44578</v>
      </c>
      <c r="B2099">
        <v>3.1575000000000002</v>
      </c>
    </row>
    <row r="2100" spans="1:2" x14ac:dyDescent="0.25">
      <c r="A2100" s="1">
        <v>44579</v>
      </c>
      <c r="B2100">
        <v>3.2075</v>
      </c>
    </row>
    <row r="2101" spans="1:2" x14ac:dyDescent="0.25">
      <c r="A2101" s="1">
        <v>44580</v>
      </c>
      <c r="B2101">
        <v>3.1724999999999999</v>
      </c>
    </row>
    <row r="2102" spans="1:2" x14ac:dyDescent="0.25">
      <c r="A2102" s="1">
        <v>44581</v>
      </c>
      <c r="B2102">
        <v>3.1324999999999998</v>
      </c>
    </row>
    <row r="2103" spans="1:2" x14ac:dyDescent="0.25">
      <c r="A2103" s="1">
        <v>44582</v>
      </c>
      <c r="B2103">
        <v>3.1475</v>
      </c>
    </row>
    <row r="2104" spans="1:2" x14ac:dyDescent="0.25">
      <c r="A2104" s="1">
        <v>44585</v>
      </c>
      <c r="B2104">
        <v>3.2349999999999999</v>
      </c>
    </row>
    <row r="2105" spans="1:2" x14ac:dyDescent="0.25">
      <c r="A2105" s="1">
        <v>44586</v>
      </c>
      <c r="B2105">
        <v>3.2450000000000001</v>
      </c>
    </row>
    <row r="2106" spans="1:2" x14ac:dyDescent="0.25">
      <c r="A2106" s="1">
        <v>44587</v>
      </c>
      <c r="B2106">
        <v>3.1375000000000002</v>
      </c>
    </row>
    <row r="2107" spans="1:2" x14ac:dyDescent="0.25">
      <c r="A2107" s="1">
        <v>44588</v>
      </c>
      <c r="B2107">
        <v>3.3849999999999998</v>
      </c>
    </row>
    <row r="2108" spans="1:2" x14ac:dyDescent="0.25">
      <c r="A2108" s="1">
        <v>44589</v>
      </c>
      <c r="B2108">
        <v>3.3050000000000002</v>
      </c>
    </row>
    <row r="2109" spans="1:2" x14ac:dyDescent="0.25">
      <c r="A2109" s="1">
        <v>44592</v>
      </c>
      <c r="B2109">
        <v>3.33</v>
      </c>
    </row>
    <row r="2110" spans="1:2" x14ac:dyDescent="0.25">
      <c r="A2110" s="1">
        <v>44593</v>
      </c>
      <c r="B2110">
        <v>3.2475000000000001</v>
      </c>
    </row>
    <row r="2111" spans="1:2" x14ac:dyDescent="0.25">
      <c r="A2111" s="1">
        <v>44594</v>
      </c>
      <c r="B2111">
        <v>3.1924999999999999</v>
      </c>
    </row>
    <row r="2112" spans="1:2" x14ac:dyDescent="0.25">
      <c r="A2112" s="1">
        <v>44595</v>
      </c>
      <c r="B2112">
        <v>3.1425000000000001</v>
      </c>
    </row>
    <row r="2113" spans="1:2" x14ac:dyDescent="0.25">
      <c r="A2113" s="1">
        <v>44596</v>
      </c>
      <c r="B2113">
        <v>3.07</v>
      </c>
    </row>
    <row r="2114" spans="1:2" x14ac:dyDescent="0.25">
      <c r="A2114" s="1">
        <v>44599</v>
      </c>
      <c r="B2114">
        <v>3.07</v>
      </c>
    </row>
    <row r="2115" spans="1:2" x14ac:dyDescent="0.25">
      <c r="A2115" s="1">
        <v>44600</v>
      </c>
      <c r="B2115">
        <v>3.01</v>
      </c>
    </row>
    <row r="2116" spans="1:2" x14ac:dyDescent="0.25">
      <c r="A2116" s="1">
        <v>44601</v>
      </c>
      <c r="B2116">
        <v>2.91</v>
      </c>
    </row>
    <row r="2117" spans="1:2" x14ac:dyDescent="0.25">
      <c r="A2117" s="1">
        <v>44602</v>
      </c>
      <c r="B2117">
        <v>2.93</v>
      </c>
    </row>
    <row r="2118" spans="1:2" x14ac:dyDescent="0.25">
      <c r="A2118" s="1">
        <v>44603</v>
      </c>
      <c r="B2118">
        <v>3.25</v>
      </c>
    </row>
    <row r="2119" spans="1:2" x14ac:dyDescent="0.25">
      <c r="A2119" s="1">
        <v>44606</v>
      </c>
      <c r="B2119">
        <v>3.2475000000000001</v>
      </c>
    </row>
    <row r="2120" spans="1:2" x14ac:dyDescent="0.25">
      <c r="A2120" s="1">
        <v>44607</v>
      </c>
      <c r="B2120">
        <v>3.0350000000000001</v>
      </c>
    </row>
    <row r="2121" spans="1:2" x14ac:dyDescent="0.25">
      <c r="A2121" s="1">
        <v>44608</v>
      </c>
      <c r="B2121">
        <v>2.9849999999999999</v>
      </c>
    </row>
    <row r="2122" spans="1:2" x14ac:dyDescent="0.25">
      <c r="A2122" s="1">
        <v>44609</v>
      </c>
      <c r="B2122">
        <v>3.0175000000000001</v>
      </c>
    </row>
    <row r="2123" spans="1:2" x14ac:dyDescent="0.25">
      <c r="A2123" s="1">
        <v>44610</v>
      </c>
      <c r="B2123">
        <v>3.0449999999999999</v>
      </c>
    </row>
    <row r="2124" spans="1:2" x14ac:dyDescent="0.25">
      <c r="A2124" s="1">
        <v>44613</v>
      </c>
      <c r="B2124">
        <v>2.99</v>
      </c>
    </row>
    <row r="2125" spans="1:2" x14ac:dyDescent="0.25">
      <c r="A2125" s="1">
        <v>44614</v>
      </c>
      <c r="B2125">
        <v>3.1475</v>
      </c>
    </row>
    <row r="2126" spans="1:2" x14ac:dyDescent="0.25">
      <c r="A2126" s="1">
        <v>44615</v>
      </c>
      <c r="B2126">
        <v>3.02</v>
      </c>
    </row>
    <row r="2127" spans="1:2" x14ac:dyDescent="0.25">
      <c r="A2127" s="1">
        <v>44616</v>
      </c>
      <c r="B2127">
        <v>3.4474999999999998</v>
      </c>
    </row>
    <row r="2128" spans="1:2" x14ac:dyDescent="0.25">
      <c r="A2128" s="1">
        <v>44617</v>
      </c>
      <c r="B2128">
        <v>3.2749999999999999</v>
      </c>
    </row>
    <row r="2129" spans="1:2" x14ac:dyDescent="0.25">
      <c r="A2129" s="1">
        <v>44620</v>
      </c>
      <c r="B2129">
        <v>3.3450000000000002</v>
      </c>
    </row>
    <row r="2130" spans="1:2" x14ac:dyDescent="0.25">
      <c r="A2130" s="1">
        <v>44621</v>
      </c>
      <c r="B2130">
        <v>3.3250000000000002</v>
      </c>
    </row>
    <row r="2131" spans="1:2" x14ac:dyDescent="0.25">
      <c r="A2131" s="1">
        <v>44622</v>
      </c>
      <c r="B2131">
        <v>3.7149999999999999</v>
      </c>
    </row>
    <row r="2132" spans="1:2" x14ac:dyDescent="0.25">
      <c r="A2132" s="1">
        <v>44623</v>
      </c>
      <c r="B2132">
        <v>3.6</v>
      </c>
    </row>
    <row r="2133" spans="1:2" x14ac:dyDescent="0.25">
      <c r="A2133" s="1">
        <v>44624</v>
      </c>
      <c r="B2133">
        <v>3.645</v>
      </c>
    </row>
    <row r="2134" spans="1:2" x14ac:dyDescent="0.25">
      <c r="A2134" s="1">
        <v>44627</v>
      </c>
      <c r="B2134">
        <v>3.9224999999999999</v>
      </c>
    </row>
    <row r="2135" spans="1:2" x14ac:dyDescent="0.25">
      <c r="A2135" s="1">
        <v>44628</v>
      </c>
      <c r="B2135">
        <v>3.8275000000000001</v>
      </c>
    </row>
    <row r="2136" spans="1:2" x14ac:dyDescent="0.25">
      <c r="A2136" s="1">
        <v>44629</v>
      </c>
      <c r="B2136">
        <v>3.31</v>
      </c>
    </row>
    <row r="2137" spans="1:2" x14ac:dyDescent="0.25">
      <c r="A2137" s="1">
        <v>44630</v>
      </c>
      <c r="B2137">
        <v>3.2850000000000001</v>
      </c>
    </row>
    <row r="2138" spans="1:2" x14ac:dyDescent="0.25">
      <c r="A2138" s="1">
        <v>44631</v>
      </c>
      <c r="B2138">
        <v>3.6274999999999999</v>
      </c>
    </row>
    <row r="2139" spans="1:2" x14ac:dyDescent="0.25">
      <c r="A2139" s="1">
        <v>44634</v>
      </c>
      <c r="B2139">
        <v>4.3224999999999998</v>
      </c>
    </row>
    <row r="2140" spans="1:2" x14ac:dyDescent="0.25">
      <c r="A2140" s="1">
        <v>44635</v>
      </c>
      <c r="B2140">
        <v>4.7525000000000004</v>
      </c>
    </row>
    <row r="2141" spans="1:2" x14ac:dyDescent="0.25">
      <c r="A2141" s="1">
        <v>44636</v>
      </c>
      <c r="B2141">
        <v>4.2750000000000004</v>
      </c>
    </row>
    <row r="2142" spans="1:2" x14ac:dyDescent="0.25">
      <c r="A2142" s="1">
        <v>44637</v>
      </c>
      <c r="B2142">
        <v>3.5175000000000001</v>
      </c>
    </row>
    <row r="2143" spans="1:2" x14ac:dyDescent="0.25">
      <c r="A2143" s="1">
        <v>44638</v>
      </c>
      <c r="B2143">
        <v>3.74</v>
      </c>
    </row>
    <row r="2144" spans="1:2" x14ac:dyDescent="0.25">
      <c r="A2144" s="1">
        <v>44641</v>
      </c>
      <c r="B2144">
        <v>3.77</v>
      </c>
    </row>
    <row r="2145" spans="1:2" x14ac:dyDescent="0.25">
      <c r="A2145" s="1">
        <v>44642</v>
      </c>
      <c r="B2145">
        <v>3.77</v>
      </c>
    </row>
    <row r="2146" spans="1:2" x14ac:dyDescent="0.25">
      <c r="A2146" s="1">
        <v>44643</v>
      </c>
      <c r="B2146">
        <v>3.8250000000000002</v>
      </c>
    </row>
    <row r="2147" spans="1:2" x14ac:dyDescent="0.25">
      <c r="A2147" s="1">
        <v>44644</v>
      </c>
      <c r="B2147">
        <v>3.8224999999999998</v>
      </c>
    </row>
    <row r="2148" spans="1:2" x14ac:dyDescent="0.25">
      <c r="A2148" s="1">
        <v>44645</v>
      </c>
      <c r="B2148">
        <v>3.7374999999999998</v>
      </c>
    </row>
    <row r="2149" spans="1:2" x14ac:dyDescent="0.25">
      <c r="A2149" s="1">
        <v>44648</v>
      </c>
      <c r="B2149">
        <v>4.07</v>
      </c>
    </row>
    <row r="2150" spans="1:2" x14ac:dyDescent="0.25">
      <c r="A2150" s="1">
        <v>44649</v>
      </c>
      <c r="B2150">
        <v>3.835</v>
      </c>
    </row>
    <row r="2151" spans="1:2" x14ac:dyDescent="0.25">
      <c r="A2151" s="1">
        <v>44650</v>
      </c>
      <c r="B2151">
        <v>3.645</v>
      </c>
    </row>
    <row r="2152" spans="1:2" x14ac:dyDescent="0.25">
      <c r="A2152" s="1">
        <v>44651</v>
      </c>
      <c r="B2152">
        <v>3.53</v>
      </c>
    </row>
    <row r="2153" spans="1:2" x14ac:dyDescent="0.25">
      <c r="A2153" s="1">
        <v>44652</v>
      </c>
      <c r="B2153">
        <v>3.3875000000000002</v>
      </c>
    </row>
    <row r="2154" spans="1:2" x14ac:dyDescent="0.25">
      <c r="A2154" s="1">
        <v>44655</v>
      </c>
      <c r="B2154">
        <v>3.41</v>
      </c>
    </row>
    <row r="2155" spans="1:2" x14ac:dyDescent="0.25">
      <c r="A2155" s="1">
        <v>44656</v>
      </c>
      <c r="B2155">
        <v>3.4024999999999999</v>
      </c>
    </row>
    <row r="2156" spans="1:2" x14ac:dyDescent="0.25">
      <c r="A2156" s="1">
        <v>44657</v>
      </c>
      <c r="B2156">
        <v>3.4824999999999999</v>
      </c>
    </row>
    <row r="2157" spans="1:2" x14ac:dyDescent="0.25">
      <c r="A2157" s="1">
        <v>44658</v>
      </c>
      <c r="B2157">
        <v>3.34</v>
      </c>
    </row>
    <row r="2158" spans="1:2" x14ac:dyDescent="0.25">
      <c r="A2158" s="1">
        <v>44659</v>
      </c>
      <c r="B2158">
        <v>3.2749999999999999</v>
      </c>
    </row>
    <row r="2159" spans="1:2" x14ac:dyDescent="0.25">
      <c r="A2159" s="1">
        <v>44662</v>
      </c>
      <c r="B2159">
        <v>3.4849999999999999</v>
      </c>
    </row>
    <row r="2160" spans="1:2" x14ac:dyDescent="0.25">
      <c r="A2160" s="1">
        <v>44663</v>
      </c>
      <c r="B2160">
        <v>3.6749999999999998</v>
      </c>
    </row>
    <row r="2161" spans="1:2" x14ac:dyDescent="0.25">
      <c r="A2161" s="1">
        <v>44664</v>
      </c>
      <c r="B2161">
        <v>3.5950000000000002</v>
      </c>
    </row>
    <row r="2162" spans="1:2" x14ac:dyDescent="0.25">
      <c r="A2162" s="1">
        <v>44665</v>
      </c>
      <c r="B2162">
        <v>3.55</v>
      </c>
    </row>
    <row r="2163" spans="1:2" x14ac:dyDescent="0.25">
      <c r="A2163" s="1">
        <v>44666</v>
      </c>
      <c r="B2163">
        <v>3.5249999999999999</v>
      </c>
    </row>
    <row r="2164" spans="1:2" x14ac:dyDescent="0.25">
      <c r="A2164" s="1">
        <v>44669</v>
      </c>
      <c r="B2164">
        <v>3.4925000000000002</v>
      </c>
    </row>
    <row r="2165" spans="1:2" x14ac:dyDescent="0.25">
      <c r="A2165" s="1">
        <v>44670</v>
      </c>
      <c r="B2165">
        <v>4.1074999999999999</v>
      </c>
    </row>
    <row r="2166" spans="1:2" x14ac:dyDescent="0.25">
      <c r="A2166" s="1">
        <v>44671</v>
      </c>
      <c r="B2166">
        <v>5.3525</v>
      </c>
    </row>
    <row r="2167" spans="1:2" x14ac:dyDescent="0.25">
      <c r="A2167" s="1">
        <v>44672</v>
      </c>
      <c r="B2167">
        <v>5.37</v>
      </c>
    </row>
    <row r="2168" spans="1:2" x14ac:dyDescent="0.25">
      <c r="A2168" s="1">
        <v>44673</v>
      </c>
      <c r="B2168">
        <v>5.8550000000000004</v>
      </c>
    </row>
    <row r="2169" spans="1:2" x14ac:dyDescent="0.25">
      <c r="A2169" s="1">
        <v>44676</v>
      </c>
      <c r="B2169">
        <v>6.335</v>
      </c>
    </row>
    <row r="2170" spans="1:2" x14ac:dyDescent="0.25">
      <c r="A2170" s="1">
        <v>44677</v>
      </c>
      <c r="B2170">
        <v>6.0125000000000002</v>
      </c>
    </row>
    <row r="2171" spans="1:2" x14ac:dyDescent="0.25">
      <c r="A2171" s="1">
        <v>44678</v>
      </c>
      <c r="B2171">
        <v>5.66</v>
      </c>
    </row>
    <row r="2172" spans="1:2" x14ac:dyDescent="0.25">
      <c r="A2172" s="1">
        <v>44679</v>
      </c>
      <c r="B2172">
        <v>6.67</v>
      </c>
    </row>
    <row r="2173" spans="1:2" x14ac:dyDescent="0.25">
      <c r="A2173" s="1">
        <v>44680</v>
      </c>
      <c r="B2173">
        <v>7.0525000000000002</v>
      </c>
    </row>
    <row r="2174" spans="1:2" x14ac:dyDescent="0.25">
      <c r="A2174" s="1">
        <v>44683</v>
      </c>
      <c r="B2174">
        <v>7.6</v>
      </c>
    </row>
    <row r="2175" spans="1:2" x14ac:dyDescent="0.25">
      <c r="A2175" s="1">
        <v>44684</v>
      </c>
      <c r="B2175">
        <v>7.4824999999999999</v>
      </c>
    </row>
    <row r="2176" spans="1:2" x14ac:dyDescent="0.25">
      <c r="A2176" s="1">
        <v>44685</v>
      </c>
      <c r="B2176">
        <v>6.9850000000000003</v>
      </c>
    </row>
    <row r="2177" spans="1:2" x14ac:dyDescent="0.25">
      <c r="A2177" s="1">
        <v>44686</v>
      </c>
      <c r="B2177">
        <v>6.9625000000000004</v>
      </c>
    </row>
    <row r="2178" spans="1:2" x14ac:dyDescent="0.25">
      <c r="A2178" s="1">
        <v>44687</v>
      </c>
      <c r="B2178">
        <v>7.61</v>
      </c>
    </row>
    <row r="2179" spans="1:2" x14ac:dyDescent="0.25">
      <c r="A2179" s="1">
        <v>44690</v>
      </c>
      <c r="B2179">
        <v>8.2524999999999995</v>
      </c>
    </row>
    <row r="2180" spans="1:2" x14ac:dyDescent="0.25">
      <c r="A2180" s="1">
        <v>44691</v>
      </c>
      <c r="B2180">
        <v>7.75</v>
      </c>
    </row>
    <row r="2181" spans="1:2" x14ac:dyDescent="0.25">
      <c r="A2181" s="1">
        <v>44692</v>
      </c>
      <c r="B2181">
        <v>7.0449999999999999</v>
      </c>
    </row>
    <row r="2182" spans="1:2" x14ac:dyDescent="0.25">
      <c r="A2182" s="1">
        <v>44693</v>
      </c>
      <c r="B2182">
        <v>7.6449999999999996</v>
      </c>
    </row>
    <row r="2183" spans="1:2" x14ac:dyDescent="0.25">
      <c r="A2183" s="1">
        <v>44694</v>
      </c>
      <c r="B2183">
        <v>6.8825000000000003</v>
      </c>
    </row>
    <row r="2184" spans="1:2" x14ac:dyDescent="0.25">
      <c r="A2184" s="1">
        <v>44697</v>
      </c>
      <c r="B2184">
        <v>6.72</v>
      </c>
    </row>
    <row r="2185" spans="1:2" x14ac:dyDescent="0.25">
      <c r="A2185" s="1">
        <v>44698</v>
      </c>
      <c r="B2185">
        <v>6.51</v>
      </c>
    </row>
    <row r="2186" spans="1:2" x14ac:dyDescent="0.25">
      <c r="A2186" s="1">
        <v>44699</v>
      </c>
      <c r="B2186">
        <v>6.7450000000000001</v>
      </c>
    </row>
    <row r="2187" spans="1:2" x14ac:dyDescent="0.25">
      <c r="A2187" s="1">
        <v>44700</v>
      </c>
      <c r="B2187">
        <v>6.8975</v>
      </c>
    </row>
    <row r="2188" spans="1:2" x14ac:dyDescent="0.25">
      <c r="A2188" s="1">
        <v>44701</v>
      </c>
      <c r="B2188">
        <v>7.33</v>
      </c>
    </row>
    <row r="2189" spans="1:2" x14ac:dyDescent="0.25">
      <c r="A2189" s="1">
        <v>44704</v>
      </c>
      <c r="B2189">
        <v>7.3624999999999998</v>
      </c>
    </row>
    <row r="2190" spans="1:2" x14ac:dyDescent="0.25">
      <c r="A2190" s="1">
        <v>44705</v>
      </c>
      <c r="B2190">
        <v>7.0250000000000004</v>
      </c>
    </row>
    <row r="2191" spans="1:2" x14ac:dyDescent="0.25">
      <c r="A2191" s="1">
        <v>44706</v>
      </c>
      <c r="B2191">
        <v>7.1</v>
      </c>
    </row>
    <row r="2192" spans="1:2" x14ac:dyDescent="0.25">
      <c r="A2192" s="1">
        <v>44707</v>
      </c>
      <c r="B2192">
        <v>7.41</v>
      </c>
    </row>
    <row r="2193" spans="1:2" x14ac:dyDescent="0.25">
      <c r="A2193" s="1">
        <v>44708</v>
      </c>
      <c r="B2193">
        <v>7.24</v>
      </c>
    </row>
    <row r="2194" spans="1:2" x14ac:dyDescent="0.25">
      <c r="A2194" s="1">
        <v>44711</v>
      </c>
      <c r="B2194">
        <v>7.4649999999999999</v>
      </c>
    </row>
    <row r="2195" spans="1:2" x14ac:dyDescent="0.25">
      <c r="A2195" s="1">
        <v>44712</v>
      </c>
      <c r="B2195">
        <v>7.2450000000000001</v>
      </c>
    </row>
    <row r="2196" spans="1:2" x14ac:dyDescent="0.25">
      <c r="A2196" s="1">
        <v>44713</v>
      </c>
      <c r="B2196">
        <v>6.8849999999999998</v>
      </c>
    </row>
    <row r="2197" spans="1:2" x14ac:dyDescent="0.25">
      <c r="A2197" s="1">
        <v>44714</v>
      </c>
      <c r="B2197">
        <v>6.7249999999999996</v>
      </c>
    </row>
    <row r="2198" spans="1:2" x14ac:dyDescent="0.25">
      <c r="A2198" s="1">
        <v>44715</v>
      </c>
      <c r="B2198">
        <v>6.9050000000000002</v>
      </c>
    </row>
    <row r="2199" spans="1:2" x14ac:dyDescent="0.25">
      <c r="A2199" s="1">
        <v>44718</v>
      </c>
      <c r="B2199">
        <v>6.8125</v>
      </c>
    </row>
    <row r="2200" spans="1:2" x14ac:dyDescent="0.25">
      <c r="A2200" s="1">
        <v>44719</v>
      </c>
      <c r="B2200">
        <v>6.7949999999999999</v>
      </c>
    </row>
    <row r="2201" spans="1:2" x14ac:dyDescent="0.25">
      <c r="A2201" s="1">
        <v>44720</v>
      </c>
      <c r="B2201">
        <v>6.8250000000000002</v>
      </c>
    </row>
    <row r="2202" spans="1:2" x14ac:dyDescent="0.25">
      <c r="A2202" s="1">
        <v>44721</v>
      </c>
      <c r="B2202">
        <v>6.8250000000000002</v>
      </c>
    </row>
    <row r="2203" spans="1:2" x14ac:dyDescent="0.25">
      <c r="A2203" s="1">
        <v>44722</v>
      </c>
      <c r="B2203">
        <v>7.0625</v>
      </c>
    </row>
    <row r="2204" spans="1:2" x14ac:dyDescent="0.25">
      <c r="A2204" s="1">
        <v>44725</v>
      </c>
      <c r="B2204">
        <v>8.1225000000000005</v>
      </c>
    </row>
    <row r="2205" spans="1:2" x14ac:dyDescent="0.25">
      <c r="A2205" s="1">
        <v>44726</v>
      </c>
      <c r="B2205">
        <v>8.1</v>
      </c>
    </row>
    <row r="2206" spans="1:2" x14ac:dyDescent="0.25">
      <c r="A2206" s="1">
        <v>44727</v>
      </c>
      <c r="B2206">
        <v>7.6849999999999996</v>
      </c>
    </row>
    <row r="2207" spans="1:2" x14ac:dyDescent="0.25">
      <c r="A2207" s="1">
        <v>44728</v>
      </c>
      <c r="B2207">
        <v>7.2125000000000004</v>
      </c>
    </row>
    <row r="2208" spans="1:2" x14ac:dyDescent="0.25">
      <c r="A2208" s="1">
        <v>44729</v>
      </c>
      <c r="B2208">
        <v>6.87</v>
      </c>
    </row>
    <row r="2209" spans="1:2" x14ac:dyDescent="0.25">
      <c r="A2209" s="1">
        <v>44732</v>
      </c>
      <c r="B2209">
        <v>6.84</v>
      </c>
    </row>
    <row r="2210" spans="1:2" x14ac:dyDescent="0.25">
      <c r="A2210" s="1">
        <v>44733</v>
      </c>
      <c r="B2210">
        <v>6.57</v>
      </c>
    </row>
    <row r="2211" spans="1:2" x14ac:dyDescent="0.25">
      <c r="A2211" s="1">
        <v>44734</v>
      </c>
      <c r="B2211">
        <v>6.5949999999999998</v>
      </c>
    </row>
    <row r="2212" spans="1:2" x14ac:dyDescent="0.25">
      <c r="A2212" s="1">
        <v>44735</v>
      </c>
      <c r="B2212">
        <v>6.4225000000000003</v>
      </c>
    </row>
    <row r="2213" spans="1:2" x14ac:dyDescent="0.25">
      <c r="A2213" s="1">
        <v>44736</v>
      </c>
      <c r="B2213">
        <v>6.0449999999999999</v>
      </c>
    </row>
    <row r="2214" spans="1:2" x14ac:dyDescent="0.25">
      <c r="A2214" s="1">
        <v>44739</v>
      </c>
      <c r="B2214">
        <v>5.7125000000000004</v>
      </c>
    </row>
    <row r="2215" spans="1:2" x14ac:dyDescent="0.25">
      <c r="A2215" s="1">
        <v>44740</v>
      </c>
      <c r="B2215">
        <v>5.4824999999999999</v>
      </c>
    </row>
    <row r="2216" spans="1:2" x14ac:dyDescent="0.25">
      <c r="A2216" s="1">
        <v>44741</v>
      </c>
      <c r="B2216">
        <v>5.4474999999999998</v>
      </c>
    </row>
    <row r="2217" spans="1:2" x14ac:dyDescent="0.25">
      <c r="A2217" s="1">
        <v>44742</v>
      </c>
      <c r="B2217">
        <v>5.3849999999999998</v>
      </c>
    </row>
    <row r="2218" spans="1:2" x14ac:dyDescent="0.25">
      <c r="A2218" s="1">
        <v>44743</v>
      </c>
      <c r="B2218">
        <v>5.4249999999999998</v>
      </c>
    </row>
    <row r="2219" spans="1:2" x14ac:dyDescent="0.25">
      <c r="A2219" s="1">
        <v>44746</v>
      </c>
      <c r="B2219">
        <v>5.3425000000000002</v>
      </c>
    </row>
    <row r="2220" spans="1:2" x14ac:dyDescent="0.25">
      <c r="A2220" s="1">
        <v>44747</v>
      </c>
      <c r="B2220">
        <v>5.3825000000000003</v>
      </c>
    </row>
    <row r="2221" spans="1:2" x14ac:dyDescent="0.25">
      <c r="A2221" s="1">
        <v>44748</v>
      </c>
      <c r="B2221">
        <v>5.38</v>
      </c>
    </row>
    <row r="2222" spans="1:2" x14ac:dyDescent="0.25">
      <c r="A2222" s="1">
        <v>44749</v>
      </c>
      <c r="B2222">
        <v>5.2725</v>
      </c>
    </row>
    <row r="2223" spans="1:2" x14ac:dyDescent="0.25">
      <c r="A2223" s="1">
        <v>44750</v>
      </c>
      <c r="B2223">
        <v>4.8775000000000004</v>
      </c>
    </row>
    <row r="2224" spans="1:2" x14ac:dyDescent="0.25">
      <c r="A2224" s="1">
        <v>44753</v>
      </c>
      <c r="B2224">
        <v>5.34</v>
      </c>
    </row>
    <row r="2225" spans="1:2" x14ac:dyDescent="0.25">
      <c r="A2225" s="1">
        <v>44754</v>
      </c>
      <c r="B2225">
        <v>6.4874999999999998</v>
      </c>
    </row>
    <row r="2226" spans="1:2" x14ac:dyDescent="0.25">
      <c r="A2226" s="1">
        <v>44755</v>
      </c>
      <c r="B2226">
        <v>5.9474999999999998</v>
      </c>
    </row>
    <row r="2227" spans="1:2" x14ac:dyDescent="0.25">
      <c r="A2227" s="1">
        <v>44756</v>
      </c>
      <c r="B2227">
        <v>6.4550000000000001</v>
      </c>
    </row>
    <row r="2228" spans="1:2" x14ac:dyDescent="0.25">
      <c r="A2228" s="1">
        <v>44757</v>
      </c>
      <c r="B2228">
        <v>6.8875000000000002</v>
      </c>
    </row>
    <row r="2229" spans="1:2" x14ac:dyDescent="0.25">
      <c r="A2229" s="1">
        <v>44760</v>
      </c>
      <c r="B2229">
        <v>6.59</v>
      </c>
    </row>
    <row r="2230" spans="1:2" x14ac:dyDescent="0.25">
      <c r="A2230" s="1">
        <v>44761</v>
      </c>
      <c r="B2230">
        <v>6.4675000000000002</v>
      </c>
    </row>
    <row r="2231" spans="1:2" x14ac:dyDescent="0.25">
      <c r="A2231" s="1">
        <v>44762</v>
      </c>
      <c r="B2231">
        <v>6.4325000000000001</v>
      </c>
    </row>
    <row r="2232" spans="1:2" x14ac:dyDescent="0.25">
      <c r="A2232" s="1">
        <v>44763</v>
      </c>
      <c r="B2232">
        <v>6.6574999999999998</v>
      </c>
    </row>
    <row r="2233" spans="1:2" x14ac:dyDescent="0.25">
      <c r="A2233" s="1">
        <v>44764</v>
      </c>
      <c r="B2233">
        <v>6.4649999999999999</v>
      </c>
    </row>
    <row r="2234" spans="1:2" x14ac:dyDescent="0.25">
      <c r="A2234" s="1">
        <v>44767</v>
      </c>
      <c r="B2234">
        <v>6.15</v>
      </c>
    </row>
    <row r="2235" spans="1:2" x14ac:dyDescent="0.25">
      <c r="A2235" s="1">
        <v>44768</v>
      </c>
      <c r="B2235">
        <v>5.9850000000000003</v>
      </c>
    </row>
    <row r="2236" spans="1:2" x14ac:dyDescent="0.25">
      <c r="A2236" s="1">
        <v>44769</v>
      </c>
      <c r="B2236">
        <v>5.9124999999999996</v>
      </c>
    </row>
    <row r="2237" spans="1:2" x14ac:dyDescent="0.25">
      <c r="A2237" s="1">
        <v>44770</v>
      </c>
      <c r="B2237">
        <v>5.7175000000000002</v>
      </c>
    </row>
    <row r="2238" spans="1:2" x14ac:dyDescent="0.25">
      <c r="A2238" s="1">
        <v>44771</v>
      </c>
      <c r="B2238">
        <v>5.4775</v>
      </c>
    </row>
    <row r="2239" spans="1:2" x14ac:dyDescent="0.25">
      <c r="A2239" s="1">
        <v>44774</v>
      </c>
      <c r="B2239">
        <v>6.0674999999999999</v>
      </c>
    </row>
    <row r="2240" spans="1:2" x14ac:dyDescent="0.25">
      <c r="A2240" s="1">
        <v>44775</v>
      </c>
      <c r="B2240">
        <v>6.5250000000000004</v>
      </c>
    </row>
    <row r="2241" spans="1:2" x14ac:dyDescent="0.25">
      <c r="A2241" s="1">
        <v>44776</v>
      </c>
      <c r="B2241">
        <v>5.9175000000000004</v>
      </c>
    </row>
    <row r="2242" spans="1:2" x14ac:dyDescent="0.25">
      <c r="A2242" s="1">
        <v>44777</v>
      </c>
      <c r="B2242">
        <v>5.4824999999999999</v>
      </c>
    </row>
    <row r="2243" spans="1:2" x14ac:dyDescent="0.25">
      <c r="A2243" s="1">
        <v>44778</v>
      </c>
      <c r="B2243">
        <v>5.15</v>
      </c>
    </row>
    <row r="2244" spans="1:2" x14ac:dyDescent="0.25">
      <c r="A2244" s="1">
        <v>44781</v>
      </c>
      <c r="B2244">
        <v>5.3324999999999996</v>
      </c>
    </row>
    <row r="2245" spans="1:2" x14ac:dyDescent="0.25">
      <c r="A2245" s="1">
        <v>44782</v>
      </c>
      <c r="B2245">
        <v>5.2350000000000003</v>
      </c>
    </row>
    <row r="2246" spans="1:2" x14ac:dyDescent="0.25">
      <c r="A2246" s="1">
        <v>44783</v>
      </c>
      <c r="B2246">
        <v>4.8425000000000002</v>
      </c>
    </row>
    <row r="2247" spans="1:2" x14ac:dyDescent="0.25">
      <c r="A2247" s="1">
        <v>44784</v>
      </c>
      <c r="B2247">
        <v>4.3775000000000004</v>
      </c>
    </row>
    <row r="2248" spans="1:2" x14ac:dyDescent="0.25">
      <c r="A2248" s="1">
        <v>44785</v>
      </c>
      <c r="B2248">
        <v>4.3574999999999999</v>
      </c>
    </row>
    <row r="2249" spans="1:2" x14ac:dyDescent="0.25">
      <c r="A2249" s="1">
        <v>44788</v>
      </c>
      <c r="B2249">
        <v>5.0724999999999998</v>
      </c>
    </row>
    <row r="2250" spans="1:2" x14ac:dyDescent="0.25">
      <c r="A2250" s="1">
        <v>44789</v>
      </c>
      <c r="B2250">
        <v>5.8274999999999997</v>
      </c>
    </row>
    <row r="2251" spans="1:2" x14ac:dyDescent="0.25">
      <c r="A2251" s="1">
        <v>44790</v>
      </c>
      <c r="B2251">
        <v>5.4124999999999996</v>
      </c>
    </row>
    <row r="2252" spans="1:2" x14ac:dyDescent="0.25">
      <c r="A2252" s="1">
        <v>44791</v>
      </c>
      <c r="B2252">
        <v>5.4974999999999996</v>
      </c>
    </row>
    <row r="2253" spans="1:2" x14ac:dyDescent="0.25">
      <c r="A2253" s="1">
        <v>44792</v>
      </c>
      <c r="B2253">
        <v>6.0925000000000002</v>
      </c>
    </row>
    <row r="2254" spans="1:2" x14ac:dyDescent="0.25">
      <c r="A2254" s="1">
        <v>44795</v>
      </c>
      <c r="B2254">
        <v>6.3324999999999996</v>
      </c>
    </row>
    <row r="2255" spans="1:2" x14ac:dyDescent="0.25">
      <c r="A2255" s="1">
        <v>44796</v>
      </c>
      <c r="B2255">
        <v>6.3049999999999997</v>
      </c>
    </row>
    <row r="2256" spans="1:2" x14ac:dyDescent="0.25">
      <c r="A2256" s="1">
        <v>44797</v>
      </c>
      <c r="B2256">
        <v>6.3949999999999996</v>
      </c>
    </row>
    <row r="2257" spans="1:2" x14ac:dyDescent="0.25">
      <c r="A2257" s="1">
        <v>44798</v>
      </c>
      <c r="B2257">
        <v>5.9325000000000001</v>
      </c>
    </row>
    <row r="2258" spans="1:2" x14ac:dyDescent="0.25">
      <c r="A2258" s="1">
        <v>44799</v>
      </c>
      <c r="B2258">
        <v>5.7275</v>
      </c>
    </row>
    <row r="2259" spans="1:2" x14ac:dyDescent="0.25">
      <c r="A2259" s="1">
        <v>44802</v>
      </c>
      <c r="B2259">
        <v>6.125</v>
      </c>
    </row>
    <row r="2260" spans="1:2" x14ac:dyDescent="0.25">
      <c r="A2260" s="1">
        <v>44803</v>
      </c>
      <c r="B2260">
        <v>5.9450000000000003</v>
      </c>
    </row>
    <row r="2261" spans="1:2" x14ac:dyDescent="0.25">
      <c r="A2261" s="1">
        <v>44804</v>
      </c>
      <c r="B2261">
        <v>5.7374999999999998</v>
      </c>
    </row>
    <row r="2262" spans="1:2" x14ac:dyDescent="0.25">
      <c r="A2262" s="1">
        <v>44805</v>
      </c>
      <c r="B2262">
        <v>5.7374999999999998</v>
      </c>
    </row>
    <row r="2263" spans="1:2" x14ac:dyDescent="0.25">
      <c r="A2263" s="1">
        <v>44806</v>
      </c>
      <c r="B2263">
        <v>5.54</v>
      </c>
    </row>
    <row r="2264" spans="1:2" x14ac:dyDescent="0.25">
      <c r="A2264" s="1">
        <v>44809</v>
      </c>
      <c r="B2264">
        <v>5.7774999999999999</v>
      </c>
    </row>
    <row r="2265" spans="1:2" x14ac:dyDescent="0.25">
      <c r="A2265" s="1">
        <v>44810</v>
      </c>
      <c r="B2265">
        <v>6.0274999999999999</v>
      </c>
    </row>
    <row r="2266" spans="1:2" x14ac:dyDescent="0.25">
      <c r="A2266" s="1">
        <v>44811</v>
      </c>
      <c r="B2266">
        <v>6.4375</v>
      </c>
    </row>
    <row r="2267" spans="1:2" x14ac:dyDescent="0.25">
      <c r="A2267" s="1">
        <v>44812</v>
      </c>
      <c r="B2267">
        <v>5.9349999999999996</v>
      </c>
    </row>
    <row r="2268" spans="1:2" x14ac:dyDescent="0.25">
      <c r="A2268" s="1">
        <v>44813</v>
      </c>
      <c r="B2268">
        <v>5.8724999999999996</v>
      </c>
    </row>
    <row r="2269" spans="1:2" x14ac:dyDescent="0.25">
      <c r="A2269" s="1">
        <v>44816</v>
      </c>
      <c r="B2269">
        <v>5.8825000000000003</v>
      </c>
    </row>
    <row r="2270" spans="1:2" x14ac:dyDescent="0.25">
      <c r="A2270" s="1">
        <v>44817</v>
      </c>
      <c r="B2270">
        <v>6.0350000000000001</v>
      </c>
    </row>
    <row r="2271" spans="1:2" x14ac:dyDescent="0.25">
      <c r="A2271" s="1">
        <v>44818</v>
      </c>
      <c r="B2271">
        <v>5.93</v>
      </c>
    </row>
    <row r="2272" spans="1:2" x14ac:dyDescent="0.25">
      <c r="A2272" s="1">
        <v>44819</v>
      </c>
      <c r="B2272">
        <v>6.3925000000000001</v>
      </c>
    </row>
    <row r="2273" spans="1:2" x14ac:dyDescent="0.25">
      <c r="A2273" s="1">
        <v>44820</v>
      </c>
      <c r="B2273">
        <v>6.7324999999999999</v>
      </c>
    </row>
    <row r="2274" spans="1:2" x14ac:dyDescent="0.25">
      <c r="A2274" s="1">
        <v>44823</v>
      </c>
      <c r="B2274">
        <v>6.7750000000000004</v>
      </c>
    </row>
    <row r="2275" spans="1:2" x14ac:dyDescent="0.25">
      <c r="A2275" s="1">
        <v>44824</v>
      </c>
      <c r="B2275">
        <v>6.65</v>
      </c>
    </row>
    <row r="2276" spans="1:2" x14ac:dyDescent="0.25">
      <c r="A2276" s="1">
        <v>44825</v>
      </c>
      <c r="B2276">
        <v>6.6325000000000003</v>
      </c>
    </row>
    <row r="2277" spans="1:2" x14ac:dyDescent="0.25">
      <c r="A2277" s="1">
        <v>44826</v>
      </c>
      <c r="B2277">
        <v>6.2249999999999996</v>
      </c>
    </row>
    <row r="2278" spans="1:2" x14ac:dyDescent="0.25">
      <c r="A2278" s="1">
        <v>44827</v>
      </c>
      <c r="B2278">
        <v>6.68</v>
      </c>
    </row>
    <row r="2279" spans="1:2" x14ac:dyDescent="0.25">
      <c r="A2279" s="1">
        <v>44830</v>
      </c>
      <c r="B2279">
        <v>7.22</v>
      </c>
    </row>
    <row r="2280" spans="1:2" x14ac:dyDescent="0.25">
      <c r="A2280" s="1">
        <v>44831</v>
      </c>
      <c r="B2280">
        <v>7.4974999999999996</v>
      </c>
    </row>
    <row r="2281" spans="1:2" x14ac:dyDescent="0.25">
      <c r="A2281" s="1">
        <v>44832</v>
      </c>
      <c r="B2281">
        <v>9.0850000000000009</v>
      </c>
    </row>
    <row r="2282" spans="1:2" x14ac:dyDescent="0.25">
      <c r="A2282" s="1">
        <v>44833</v>
      </c>
      <c r="B2282">
        <v>9.125</v>
      </c>
    </row>
    <row r="2283" spans="1:2" x14ac:dyDescent="0.25">
      <c r="A2283" s="1">
        <v>44834</v>
      </c>
      <c r="B2283">
        <v>8.6024999999999991</v>
      </c>
    </row>
    <row r="2284" spans="1:2" x14ac:dyDescent="0.25">
      <c r="A2284" s="1">
        <v>44837</v>
      </c>
      <c r="B2284">
        <v>8.4550000000000001</v>
      </c>
    </row>
    <row r="2285" spans="1:2" x14ac:dyDescent="0.25">
      <c r="A2285" s="1">
        <v>44838</v>
      </c>
      <c r="B2285">
        <v>8.4450000000000003</v>
      </c>
    </row>
    <row r="2286" spans="1:2" x14ac:dyDescent="0.25">
      <c r="A2286" s="1">
        <v>44839</v>
      </c>
      <c r="B2286">
        <v>8.7100000000000009</v>
      </c>
    </row>
    <row r="2287" spans="1:2" x14ac:dyDescent="0.25">
      <c r="A2287" s="1">
        <v>44840</v>
      </c>
      <c r="B2287">
        <v>8.99</v>
      </c>
    </row>
    <row r="2288" spans="1:2" x14ac:dyDescent="0.25">
      <c r="A2288" s="1">
        <v>44841</v>
      </c>
      <c r="B2288">
        <v>9.3550000000000004</v>
      </c>
    </row>
    <row r="2289" spans="1:2" x14ac:dyDescent="0.25">
      <c r="A2289" s="1">
        <v>44844</v>
      </c>
      <c r="B2289">
        <v>9.0449999999999999</v>
      </c>
    </row>
    <row r="2290" spans="1:2" x14ac:dyDescent="0.25">
      <c r="A2290" s="1">
        <v>44845</v>
      </c>
      <c r="B2290">
        <v>9.3524999999999991</v>
      </c>
    </row>
    <row r="2291" spans="1:2" x14ac:dyDescent="0.25">
      <c r="A2291" s="1">
        <v>44846</v>
      </c>
      <c r="B2291">
        <v>9.3800000000000008</v>
      </c>
    </row>
    <row r="2292" spans="1:2" x14ac:dyDescent="0.25">
      <c r="A2292" s="1">
        <v>44847</v>
      </c>
      <c r="B2292">
        <v>9.1850000000000005</v>
      </c>
    </row>
    <row r="2293" spans="1:2" x14ac:dyDescent="0.25">
      <c r="A2293" s="1">
        <v>44848</v>
      </c>
      <c r="B2293">
        <v>9.0299999999999994</v>
      </c>
    </row>
    <row r="2294" spans="1:2" x14ac:dyDescent="0.25">
      <c r="A2294" s="1">
        <v>44851</v>
      </c>
      <c r="B2294">
        <v>8.875</v>
      </c>
    </row>
    <row r="2295" spans="1:2" x14ac:dyDescent="0.25">
      <c r="A2295" s="1">
        <v>44852</v>
      </c>
      <c r="B2295">
        <v>8.6150000000000002</v>
      </c>
    </row>
    <row r="2296" spans="1:2" x14ac:dyDescent="0.25">
      <c r="A2296" s="1">
        <v>44853</v>
      </c>
      <c r="B2296">
        <v>9.2349999999999994</v>
      </c>
    </row>
    <row r="2297" spans="1:2" x14ac:dyDescent="0.25">
      <c r="A2297" s="1">
        <v>44854</v>
      </c>
      <c r="B2297">
        <v>9.0675000000000008</v>
      </c>
    </row>
    <row r="2298" spans="1:2" x14ac:dyDescent="0.25">
      <c r="A2298" s="1">
        <v>44855</v>
      </c>
      <c r="B2298">
        <v>9.1</v>
      </c>
    </row>
    <row r="2299" spans="1:2" x14ac:dyDescent="0.25">
      <c r="A2299" s="1">
        <v>44858</v>
      </c>
      <c r="B2299">
        <v>9.9024999999999999</v>
      </c>
    </row>
    <row r="2300" spans="1:2" x14ac:dyDescent="0.25">
      <c r="A2300" s="1">
        <v>44859</v>
      </c>
      <c r="B2300">
        <v>10.835000000000001</v>
      </c>
    </row>
    <row r="2301" spans="1:2" x14ac:dyDescent="0.25">
      <c r="A2301" s="1">
        <v>44860</v>
      </c>
      <c r="B2301">
        <v>10.645</v>
      </c>
    </row>
    <row r="2302" spans="1:2" x14ac:dyDescent="0.25">
      <c r="A2302" s="1">
        <v>44861</v>
      </c>
      <c r="B2302">
        <v>10.43</v>
      </c>
    </row>
    <row r="2303" spans="1:2" x14ac:dyDescent="0.25">
      <c r="A2303" s="1">
        <v>44862</v>
      </c>
      <c r="B2303">
        <v>10.397500000000001</v>
      </c>
    </row>
    <row r="2304" spans="1:2" x14ac:dyDescent="0.25">
      <c r="A2304" s="1">
        <v>44865</v>
      </c>
      <c r="B2304">
        <v>10.6225</v>
      </c>
    </row>
    <row r="2305" spans="1:2" x14ac:dyDescent="0.25">
      <c r="A2305" s="1">
        <v>44866</v>
      </c>
      <c r="B2305">
        <v>10.407500000000001</v>
      </c>
    </row>
    <row r="2306" spans="1:2" x14ac:dyDescent="0.25">
      <c r="A2306" s="1">
        <v>44867</v>
      </c>
      <c r="B2306">
        <v>9.9250000000000007</v>
      </c>
    </row>
    <row r="2307" spans="1:2" x14ac:dyDescent="0.25">
      <c r="A2307" s="1">
        <v>44868</v>
      </c>
      <c r="B2307">
        <v>9.3975000000000009</v>
      </c>
    </row>
    <row r="2308" spans="1:2" x14ac:dyDescent="0.25">
      <c r="A2308" s="1">
        <v>44869</v>
      </c>
      <c r="B2308">
        <v>9.91</v>
      </c>
    </row>
    <row r="2309" spans="1:2" x14ac:dyDescent="0.25">
      <c r="A2309" s="1">
        <v>44872</v>
      </c>
      <c r="B2309">
        <v>10.442500000000001</v>
      </c>
    </row>
    <row r="2310" spans="1:2" x14ac:dyDescent="0.25">
      <c r="A2310" s="1">
        <v>44873</v>
      </c>
      <c r="B2310">
        <v>10.2225</v>
      </c>
    </row>
    <row r="2311" spans="1:2" x14ac:dyDescent="0.25">
      <c r="A2311" s="1">
        <v>44874</v>
      </c>
      <c r="B2311">
        <v>9.6974999999999998</v>
      </c>
    </row>
    <row r="2312" spans="1:2" x14ac:dyDescent="0.25">
      <c r="A2312" s="1">
        <v>44875</v>
      </c>
      <c r="B2312">
        <v>9.0325000000000006</v>
      </c>
    </row>
    <row r="2313" spans="1:2" x14ac:dyDescent="0.25">
      <c r="A2313" s="1">
        <v>44876</v>
      </c>
      <c r="B2313">
        <v>9.43</v>
      </c>
    </row>
    <row r="2314" spans="1:2" x14ac:dyDescent="0.25">
      <c r="A2314" s="1">
        <v>44879</v>
      </c>
      <c r="B2314">
        <v>9.4625000000000004</v>
      </c>
    </row>
    <row r="2315" spans="1:2" x14ac:dyDescent="0.25">
      <c r="A2315" s="1">
        <v>44880</v>
      </c>
      <c r="B2315">
        <v>9.2575000000000003</v>
      </c>
    </row>
    <row r="2316" spans="1:2" x14ac:dyDescent="0.25">
      <c r="A2316" s="1">
        <v>44881</v>
      </c>
      <c r="B2316">
        <v>9.3849999999999998</v>
      </c>
    </row>
    <row r="2317" spans="1:2" x14ac:dyDescent="0.25">
      <c r="A2317" s="1">
        <v>44882</v>
      </c>
      <c r="B2317">
        <v>9.6024999999999991</v>
      </c>
    </row>
    <row r="2318" spans="1:2" x14ac:dyDescent="0.25">
      <c r="A2318" s="1">
        <v>44883</v>
      </c>
      <c r="B2318">
        <v>9.5525000000000002</v>
      </c>
    </row>
    <row r="2319" spans="1:2" x14ac:dyDescent="0.25">
      <c r="A2319" s="1">
        <v>44886</v>
      </c>
      <c r="B2319">
        <v>9.9124999999999996</v>
      </c>
    </row>
    <row r="2320" spans="1:2" x14ac:dyDescent="0.25">
      <c r="A2320" s="1">
        <v>44887</v>
      </c>
      <c r="B2320">
        <v>9.9474999999999998</v>
      </c>
    </row>
    <row r="2321" spans="1:2" x14ac:dyDescent="0.25">
      <c r="A2321" s="1">
        <v>44888</v>
      </c>
      <c r="B2321">
        <v>9.6950000000000003</v>
      </c>
    </row>
    <row r="2322" spans="1:2" x14ac:dyDescent="0.25">
      <c r="A2322" s="1">
        <v>44889</v>
      </c>
      <c r="B2322">
        <v>9.6374999999999993</v>
      </c>
    </row>
    <row r="2323" spans="1:2" x14ac:dyDescent="0.25">
      <c r="A2323" s="1">
        <v>44890</v>
      </c>
      <c r="B2323">
        <v>9.5975000000000001</v>
      </c>
    </row>
    <row r="2324" spans="1:2" x14ac:dyDescent="0.25">
      <c r="A2324" s="1">
        <v>44893</v>
      </c>
      <c r="B2324">
        <v>10.342499999999999</v>
      </c>
    </row>
    <row r="2325" spans="1:2" x14ac:dyDescent="0.25">
      <c r="A2325" s="1">
        <v>44894</v>
      </c>
      <c r="B2325">
        <v>10.442500000000001</v>
      </c>
    </row>
    <row r="2326" spans="1:2" x14ac:dyDescent="0.25">
      <c r="A2326" s="1">
        <v>44895</v>
      </c>
      <c r="B2326">
        <v>10.2475</v>
      </c>
    </row>
    <row r="2327" spans="1:2" x14ac:dyDescent="0.25">
      <c r="A2327" s="1">
        <v>44896</v>
      </c>
      <c r="B2327">
        <v>9.7025000000000006</v>
      </c>
    </row>
    <row r="2328" spans="1:2" x14ac:dyDescent="0.25">
      <c r="A2328" s="1">
        <v>44897</v>
      </c>
      <c r="B2328">
        <v>9.16</v>
      </c>
    </row>
    <row r="2329" spans="1:2" x14ac:dyDescent="0.25">
      <c r="A2329" s="1">
        <v>44900</v>
      </c>
      <c r="B2329">
        <v>9.3049999999999997</v>
      </c>
    </row>
    <row r="2330" spans="1:2" x14ac:dyDescent="0.25">
      <c r="A2330" s="1">
        <v>44901</v>
      </c>
      <c r="B2330">
        <v>9.3175000000000008</v>
      </c>
    </row>
    <row r="2331" spans="1:2" x14ac:dyDescent="0.25">
      <c r="A2331" s="1">
        <v>44902</v>
      </c>
      <c r="B2331">
        <v>9.0875000000000004</v>
      </c>
    </row>
    <row r="2332" spans="1:2" x14ac:dyDescent="0.25">
      <c r="A2332" s="1">
        <v>44903</v>
      </c>
      <c r="B2332">
        <v>8.2750000000000004</v>
      </c>
    </row>
    <row r="2333" spans="1:2" x14ac:dyDescent="0.25">
      <c r="A2333" s="1">
        <v>44904</v>
      </c>
      <c r="B2333">
        <v>7.6150000000000002</v>
      </c>
    </row>
    <row r="2334" spans="1:2" x14ac:dyDescent="0.25">
      <c r="A2334" s="1">
        <v>44907</v>
      </c>
      <c r="B2334">
        <v>7.8650000000000002</v>
      </c>
    </row>
    <row r="2335" spans="1:2" x14ac:dyDescent="0.25">
      <c r="A2335" s="1">
        <v>44908</v>
      </c>
      <c r="B2335">
        <v>7.3849999999999998</v>
      </c>
    </row>
    <row r="2336" spans="1:2" x14ac:dyDescent="0.25">
      <c r="A2336" s="1">
        <v>44909</v>
      </c>
      <c r="B2336">
        <v>6.0975000000000001</v>
      </c>
    </row>
    <row r="2337" spans="1:2" x14ac:dyDescent="0.25">
      <c r="A2337" s="1">
        <v>44910</v>
      </c>
      <c r="B2337">
        <v>6.0925000000000002</v>
      </c>
    </row>
    <row r="2338" spans="1:2" x14ac:dyDescent="0.25">
      <c r="A2338" s="1">
        <v>44911</v>
      </c>
      <c r="B2338">
        <v>6.34</v>
      </c>
    </row>
    <row r="2339" spans="1:2" x14ac:dyDescent="0.25">
      <c r="A2339" s="1">
        <v>44914</v>
      </c>
      <c r="B2339">
        <v>6.5</v>
      </c>
    </row>
    <row r="2340" spans="1:2" x14ac:dyDescent="0.25">
      <c r="A2340" s="1">
        <v>44915</v>
      </c>
      <c r="B2340">
        <v>6.7575000000000003</v>
      </c>
    </row>
    <row r="2341" spans="1:2" x14ac:dyDescent="0.25">
      <c r="A2341" s="1">
        <v>44916</v>
      </c>
      <c r="B2341">
        <v>6.6475</v>
      </c>
    </row>
    <row r="2342" spans="1:2" x14ac:dyDescent="0.25">
      <c r="A2342" s="1">
        <v>44917</v>
      </c>
      <c r="B2342">
        <v>6.6425000000000001</v>
      </c>
    </row>
    <row r="2343" spans="1:2" x14ac:dyDescent="0.25">
      <c r="A2343" s="1">
        <v>44918</v>
      </c>
      <c r="B2343">
        <v>6.8875000000000002</v>
      </c>
    </row>
    <row r="2344" spans="1:2" x14ac:dyDescent="0.25">
      <c r="A2344" s="1">
        <v>44921</v>
      </c>
      <c r="B2344">
        <v>7.0975000000000001</v>
      </c>
    </row>
    <row r="2345" spans="1:2" x14ac:dyDescent="0.25">
      <c r="A2345" s="1">
        <v>44922</v>
      </c>
      <c r="B2345">
        <v>7.1524999999999999</v>
      </c>
    </row>
    <row r="2346" spans="1:2" x14ac:dyDescent="0.25">
      <c r="A2346" s="1">
        <v>44923</v>
      </c>
      <c r="B2346">
        <v>7.3075000000000001</v>
      </c>
    </row>
    <row r="2347" spans="1:2" x14ac:dyDescent="0.25">
      <c r="A2347" s="1">
        <v>44924</v>
      </c>
      <c r="B2347">
        <v>7.17</v>
      </c>
    </row>
    <row r="2348" spans="1:2" x14ac:dyDescent="0.25">
      <c r="A2348" s="1">
        <v>44925</v>
      </c>
      <c r="B2348">
        <v>7.33</v>
      </c>
    </row>
    <row r="2349" spans="1:2" x14ac:dyDescent="0.25">
      <c r="A2349" s="1">
        <v>44928</v>
      </c>
      <c r="B2349">
        <v>7.5575000000000001</v>
      </c>
    </row>
    <row r="2350" spans="1:2" x14ac:dyDescent="0.25">
      <c r="A2350" s="1">
        <v>44929</v>
      </c>
      <c r="B2350">
        <v>7.1</v>
      </c>
    </row>
    <row r="2351" spans="1:2" x14ac:dyDescent="0.25">
      <c r="A2351" s="1">
        <v>44930</v>
      </c>
      <c r="B2351">
        <v>6.9524999999999997</v>
      </c>
    </row>
    <row r="2352" spans="1:2" x14ac:dyDescent="0.25">
      <c r="A2352" s="1">
        <v>44931</v>
      </c>
      <c r="B2352">
        <v>6.5674999999999999</v>
      </c>
    </row>
    <row r="2353" spans="1:2" x14ac:dyDescent="0.25">
      <c r="A2353" s="1">
        <v>44932</v>
      </c>
      <c r="B2353">
        <v>6.55</v>
      </c>
    </row>
    <row r="2354" spans="1:2" x14ac:dyDescent="0.25">
      <c r="A2354" s="1">
        <v>44935</v>
      </c>
      <c r="B2354">
        <v>6.8849999999999998</v>
      </c>
    </row>
    <row r="2355" spans="1:2" x14ac:dyDescent="0.25">
      <c r="A2355" s="1">
        <v>44936</v>
      </c>
      <c r="B2355">
        <v>6.8425000000000002</v>
      </c>
    </row>
    <row r="2356" spans="1:2" x14ac:dyDescent="0.25">
      <c r="A2356" s="1">
        <v>44937</v>
      </c>
      <c r="B2356">
        <v>6.5750000000000002</v>
      </c>
    </row>
    <row r="2357" spans="1:2" x14ac:dyDescent="0.25">
      <c r="A2357" s="1">
        <v>44938</v>
      </c>
      <c r="B2357">
        <v>6.4050000000000002</v>
      </c>
    </row>
    <row r="2358" spans="1:2" x14ac:dyDescent="0.25">
      <c r="A2358" s="1">
        <v>44939</v>
      </c>
      <c r="B2358">
        <v>6.1624999999999996</v>
      </c>
    </row>
    <row r="2359" spans="1:2" x14ac:dyDescent="0.25">
      <c r="A2359" s="1">
        <v>44942</v>
      </c>
      <c r="B2359">
        <v>6.5824999999999996</v>
      </c>
    </row>
    <row r="2360" spans="1:2" x14ac:dyDescent="0.25">
      <c r="A2360" s="1">
        <v>44943</v>
      </c>
      <c r="B2360">
        <v>6.8624999999999998</v>
      </c>
    </row>
    <row r="2361" spans="1:2" x14ac:dyDescent="0.25">
      <c r="A2361" s="1">
        <v>44944</v>
      </c>
      <c r="B2361">
        <v>6.5274999999999999</v>
      </c>
    </row>
    <row r="2362" spans="1:2" x14ac:dyDescent="0.25">
      <c r="A2362" s="1">
        <v>44945</v>
      </c>
      <c r="B2362">
        <v>6.5225</v>
      </c>
    </row>
    <row r="2363" spans="1:2" x14ac:dyDescent="0.25">
      <c r="A2363" s="1">
        <v>44946</v>
      </c>
      <c r="B2363">
        <v>6.5</v>
      </c>
    </row>
    <row r="2364" spans="1:2" x14ac:dyDescent="0.25">
      <c r="A2364" s="1">
        <v>44949</v>
      </c>
      <c r="B2364">
        <v>6.6574999999999998</v>
      </c>
    </row>
    <row r="2365" spans="1:2" x14ac:dyDescent="0.25">
      <c r="A2365" s="1">
        <v>44950</v>
      </c>
      <c r="B2365">
        <v>6.6325000000000003</v>
      </c>
    </row>
    <row r="2366" spans="1:2" x14ac:dyDescent="0.25">
      <c r="A2366" s="1">
        <v>44951</v>
      </c>
      <c r="B2366">
        <v>6.5750000000000002</v>
      </c>
    </row>
    <row r="2367" spans="1:2" x14ac:dyDescent="0.25">
      <c r="A2367" s="1">
        <v>44952</v>
      </c>
      <c r="B2367">
        <v>6.7474999999999996</v>
      </c>
    </row>
    <row r="2368" spans="1:2" x14ac:dyDescent="0.25">
      <c r="A2368" s="1">
        <v>44953</v>
      </c>
      <c r="B2368">
        <v>6.8025000000000002</v>
      </c>
    </row>
    <row r="2369" spans="1:2" x14ac:dyDescent="0.25">
      <c r="A2369" s="1">
        <v>44956</v>
      </c>
      <c r="B2369">
        <v>6.6775000000000002</v>
      </c>
    </row>
    <row r="2370" spans="1:2" x14ac:dyDescent="0.25">
      <c r="A2370" s="1">
        <v>44957</v>
      </c>
      <c r="B2370">
        <v>6.6275000000000004</v>
      </c>
    </row>
    <row r="2371" spans="1:2" x14ac:dyDescent="0.25">
      <c r="A2371" s="1">
        <v>44958</v>
      </c>
      <c r="B2371">
        <v>6.26</v>
      </c>
    </row>
    <row r="2372" spans="1:2" x14ac:dyDescent="0.25">
      <c r="A2372" s="1">
        <v>44959</v>
      </c>
      <c r="B2372">
        <v>6.085</v>
      </c>
    </row>
    <row r="2373" spans="1:2" x14ac:dyDescent="0.25">
      <c r="A2373" s="1">
        <v>44960</v>
      </c>
      <c r="B2373">
        <v>5.8375000000000004</v>
      </c>
    </row>
    <row r="2374" spans="1:2" x14ac:dyDescent="0.25">
      <c r="A2374" s="1">
        <v>44963</v>
      </c>
      <c r="B2374">
        <v>6.3724999999999996</v>
      </c>
    </row>
    <row r="2375" spans="1:2" x14ac:dyDescent="0.25">
      <c r="A2375" s="1">
        <v>44964</v>
      </c>
      <c r="B2375">
        <v>6.19</v>
      </c>
    </row>
    <row r="2376" spans="1:2" x14ac:dyDescent="0.25">
      <c r="A2376" s="1">
        <v>44965</v>
      </c>
      <c r="B2376">
        <v>6.0925000000000002</v>
      </c>
    </row>
    <row r="2377" spans="1:2" x14ac:dyDescent="0.25">
      <c r="A2377" s="1">
        <v>44966</v>
      </c>
      <c r="B2377">
        <v>6.0875000000000004</v>
      </c>
    </row>
    <row r="2378" spans="1:2" x14ac:dyDescent="0.25">
      <c r="A2378" s="1">
        <v>44967</v>
      </c>
      <c r="B2378">
        <v>6.2649999999999997</v>
      </c>
    </row>
    <row r="2379" spans="1:2" x14ac:dyDescent="0.25">
      <c r="A2379" s="1">
        <v>44970</v>
      </c>
      <c r="B2379">
        <v>6.6050000000000004</v>
      </c>
    </row>
    <row r="2380" spans="1:2" x14ac:dyDescent="0.25">
      <c r="A2380" s="1">
        <v>44971</v>
      </c>
      <c r="B2380">
        <v>6.25</v>
      </c>
    </row>
    <row r="2381" spans="1:2" x14ac:dyDescent="0.25">
      <c r="A2381" s="1">
        <v>44972</v>
      </c>
      <c r="B2381">
        <v>6.3674999999999997</v>
      </c>
    </row>
    <row r="2382" spans="1:2" x14ac:dyDescent="0.25">
      <c r="A2382" s="1">
        <v>44973</v>
      </c>
      <c r="B2382">
        <v>6.3825000000000003</v>
      </c>
    </row>
    <row r="2383" spans="1:2" x14ac:dyDescent="0.25">
      <c r="A2383" s="1">
        <v>44974</v>
      </c>
      <c r="B2383">
        <v>6.4950000000000001</v>
      </c>
    </row>
    <row r="2384" spans="1:2" x14ac:dyDescent="0.25">
      <c r="A2384" s="1">
        <v>44977</v>
      </c>
      <c r="B2384">
        <v>6.2750000000000004</v>
      </c>
    </row>
    <row r="2385" spans="1:2" x14ac:dyDescent="0.25">
      <c r="A2385" s="1">
        <v>44978</v>
      </c>
      <c r="B2385">
        <v>6.2050000000000001</v>
      </c>
    </row>
    <row r="2386" spans="1:2" x14ac:dyDescent="0.25">
      <c r="A2386" s="1">
        <v>44979</v>
      </c>
      <c r="B2386">
        <v>6.4225000000000003</v>
      </c>
    </row>
    <row r="2387" spans="1:2" x14ac:dyDescent="0.25">
      <c r="A2387" s="1">
        <v>44980</v>
      </c>
      <c r="B2387">
        <v>6.3324999999999996</v>
      </c>
    </row>
    <row r="2388" spans="1:2" x14ac:dyDescent="0.25">
      <c r="A2388" s="1">
        <v>44981</v>
      </c>
      <c r="B2388">
        <v>6.8049999999999997</v>
      </c>
    </row>
    <row r="2389" spans="1:2" x14ac:dyDescent="0.25">
      <c r="A2389" s="1">
        <v>44984</v>
      </c>
      <c r="B2389">
        <v>6.8375000000000004</v>
      </c>
    </row>
    <row r="2390" spans="1:2" x14ac:dyDescent="0.25">
      <c r="A2390" s="1">
        <v>44985</v>
      </c>
      <c r="B2390">
        <v>6.5925000000000002</v>
      </c>
    </row>
    <row r="2391" spans="1:2" x14ac:dyDescent="0.25">
      <c r="A2391" s="1">
        <v>44986</v>
      </c>
      <c r="B2391">
        <v>6.5575000000000001</v>
      </c>
    </row>
    <row r="2392" spans="1:2" x14ac:dyDescent="0.25">
      <c r="A2392" s="1">
        <v>44987</v>
      </c>
      <c r="B2392">
        <v>6.6124999999999998</v>
      </c>
    </row>
    <row r="2393" spans="1:2" x14ac:dyDescent="0.25">
      <c r="A2393" s="1">
        <v>44988</v>
      </c>
      <c r="B2393">
        <v>6.6174999999999997</v>
      </c>
    </row>
    <row r="2394" spans="1:2" x14ac:dyDescent="0.25">
      <c r="A2394" s="1">
        <v>44991</v>
      </c>
      <c r="B2394">
        <v>6.85</v>
      </c>
    </row>
    <row r="2395" spans="1:2" x14ac:dyDescent="0.25">
      <c r="A2395" s="1">
        <v>44992</v>
      </c>
      <c r="B2395">
        <v>6.9074999999999998</v>
      </c>
    </row>
    <row r="2396" spans="1:2" x14ac:dyDescent="0.25">
      <c r="A2396" s="1">
        <v>44993</v>
      </c>
      <c r="B2396">
        <v>7.1775000000000002</v>
      </c>
    </row>
    <row r="2397" spans="1:2" x14ac:dyDescent="0.25">
      <c r="A2397" s="1">
        <v>44994</v>
      </c>
      <c r="B2397">
        <v>6.93</v>
      </c>
    </row>
    <row r="2398" spans="1:2" x14ac:dyDescent="0.25">
      <c r="A2398" s="1">
        <v>44995</v>
      </c>
      <c r="B2398">
        <v>7.1675000000000004</v>
      </c>
    </row>
    <row r="2399" spans="1:2" x14ac:dyDescent="0.25">
      <c r="A2399" s="1">
        <v>44998</v>
      </c>
      <c r="B2399">
        <v>7.5724999999999998</v>
      </c>
    </row>
    <row r="2400" spans="1:2" x14ac:dyDescent="0.25">
      <c r="A2400" s="1">
        <v>44999</v>
      </c>
      <c r="B2400">
        <v>7.47</v>
      </c>
    </row>
    <row r="2401" spans="1:2" x14ac:dyDescent="0.25">
      <c r="A2401" s="1">
        <v>45000</v>
      </c>
      <c r="B2401">
        <v>7.4024999999999999</v>
      </c>
    </row>
    <row r="2402" spans="1:2" x14ac:dyDescent="0.25">
      <c r="A2402" s="1">
        <v>45001</v>
      </c>
      <c r="B2402">
        <v>6.9675000000000002</v>
      </c>
    </row>
    <row r="2403" spans="1:2" x14ac:dyDescent="0.25">
      <c r="A2403" s="1">
        <v>45002</v>
      </c>
      <c r="B2403">
        <v>6.6050000000000004</v>
      </c>
    </row>
    <row r="2404" spans="1:2" x14ac:dyDescent="0.25">
      <c r="A2404" s="1">
        <v>45005</v>
      </c>
      <c r="B2404">
        <v>6.9024999999999999</v>
      </c>
    </row>
    <row r="2405" spans="1:2" x14ac:dyDescent="0.25">
      <c r="A2405" s="1">
        <v>45006</v>
      </c>
      <c r="B2405">
        <v>6.8075000000000001</v>
      </c>
    </row>
    <row r="2406" spans="1:2" x14ac:dyDescent="0.25">
      <c r="A2406" s="1">
        <v>45007</v>
      </c>
      <c r="B2406">
        <v>6.5774999999999997</v>
      </c>
    </row>
    <row r="2407" spans="1:2" x14ac:dyDescent="0.25">
      <c r="A2407" s="1">
        <v>45008</v>
      </c>
      <c r="B2407">
        <v>6.4074999999999998</v>
      </c>
    </row>
    <row r="2408" spans="1:2" x14ac:dyDescent="0.25">
      <c r="A2408" s="1">
        <v>45009</v>
      </c>
      <c r="B2408">
        <v>6.72</v>
      </c>
    </row>
    <row r="2409" spans="1:2" x14ac:dyDescent="0.25">
      <c r="A2409" s="1">
        <v>45012</v>
      </c>
      <c r="B2409">
        <v>6.835</v>
      </c>
    </row>
    <row r="2410" spans="1:2" x14ac:dyDescent="0.25">
      <c r="A2410" s="1">
        <v>45013</v>
      </c>
      <c r="B2410">
        <v>6.625</v>
      </c>
    </row>
    <row r="2411" spans="1:2" x14ac:dyDescent="0.25">
      <c r="A2411" s="1">
        <v>45014</v>
      </c>
      <c r="B2411">
        <v>6.5650000000000004</v>
      </c>
    </row>
    <row r="2412" spans="1:2" x14ac:dyDescent="0.25">
      <c r="A2412" s="1">
        <v>45015</v>
      </c>
      <c r="B2412">
        <v>6.66</v>
      </c>
    </row>
    <row r="2413" spans="1:2" x14ac:dyDescent="0.25">
      <c r="A2413" s="1">
        <v>45016</v>
      </c>
      <c r="B2413">
        <v>6.55</v>
      </c>
    </row>
    <row r="2414" spans="1:2" x14ac:dyDescent="0.25">
      <c r="A2414" s="1">
        <v>45019</v>
      </c>
      <c r="B2414">
        <v>6.77</v>
      </c>
    </row>
    <row r="2415" spans="1:2" x14ac:dyDescent="0.25">
      <c r="A2415" s="1">
        <v>45020</v>
      </c>
      <c r="B2415">
        <v>6.1</v>
      </c>
    </row>
    <row r="2416" spans="1:2" x14ac:dyDescent="0.25">
      <c r="A2416" s="1">
        <v>45021</v>
      </c>
      <c r="B2416">
        <v>5.98</v>
      </c>
    </row>
    <row r="2417" spans="1:2" x14ac:dyDescent="0.25">
      <c r="A2417" s="1">
        <v>45022</v>
      </c>
      <c r="B2417">
        <v>5.91</v>
      </c>
    </row>
    <row r="2418" spans="1:2" x14ac:dyDescent="0.25">
      <c r="A2418" s="1">
        <v>45023</v>
      </c>
      <c r="B2418">
        <v>5.835</v>
      </c>
    </row>
    <row r="2419" spans="1:2" x14ac:dyDescent="0.25">
      <c r="A2419" s="1">
        <v>45026</v>
      </c>
      <c r="B2419">
        <v>5.915</v>
      </c>
    </row>
    <row r="2420" spans="1:2" x14ac:dyDescent="0.25">
      <c r="A2420" s="1">
        <v>45027</v>
      </c>
      <c r="B2420">
        <v>5.79</v>
      </c>
    </row>
    <row r="2421" spans="1:2" x14ac:dyDescent="0.25">
      <c r="A2421" s="1">
        <v>45028</v>
      </c>
      <c r="B2421">
        <v>5.47</v>
      </c>
    </row>
    <row r="2422" spans="1:2" x14ac:dyDescent="0.25">
      <c r="A2422" s="1">
        <v>45029</v>
      </c>
      <c r="B2422">
        <v>4.9275000000000002</v>
      </c>
    </row>
    <row r="2423" spans="1:2" x14ac:dyDescent="0.25">
      <c r="A2423" s="1">
        <v>45030</v>
      </c>
      <c r="B2423">
        <v>5.1675000000000004</v>
      </c>
    </row>
    <row r="2424" spans="1:2" x14ac:dyDescent="0.25">
      <c r="A2424" s="1">
        <v>45033</v>
      </c>
      <c r="B2424">
        <v>5.1375000000000002</v>
      </c>
    </row>
    <row r="2425" spans="1:2" x14ac:dyDescent="0.25">
      <c r="A2425" s="1">
        <v>45034</v>
      </c>
      <c r="B2425">
        <v>5.17</v>
      </c>
    </row>
    <row r="2426" spans="1:2" x14ac:dyDescent="0.25">
      <c r="A2426" s="1">
        <v>45035</v>
      </c>
      <c r="B2426">
        <v>5.26</v>
      </c>
    </row>
    <row r="2427" spans="1:2" x14ac:dyDescent="0.25">
      <c r="A2427" s="1">
        <v>45036</v>
      </c>
      <c r="B2427">
        <v>5.0250000000000004</v>
      </c>
    </row>
    <row r="2428" spans="1:2" x14ac:dyDescent="0.25">
      <c r="A2428" s="1">
        <v>45037</v>
      </c>
      <c r="B2428">
        <v>4.9924999999999997</v>
      </c>
    </row>
    <row r="2429" spans="1:2" x14ac:dyDescent="0.25">
      <c r="A2429" s="1">
        <v>45040</v>
      </c>
      <c r="B2429">
        <v>5.0650000000000004</v>
      </c>
    </row>
    <row r="2430" spans="1:2" x14ac:dyDescent="0.25">
      <c r="A2430" s="1">
        <v>45041</v>
      </c>
      <c r="B2430">
        <v>5.4249999999999998</v>
      </c>
    </row>
    <row r="2431" spans="1:2" x14ac:dyDescent="0.25">
      <c r="A2431" s="1">
        <v>45042</v>
      </c>
      <c r="B2431">
        <v>5.2625000000000002</v>
      </c>
    </row>
    <row r="2432" spans="1:2" x14ac:dyDescent="0.25">
      <c r="A2432" s="1">
        <v>45043</v>
      </c>
      <c r="B2432">
        <v>5.2874999999999996</v>
      </c>
    </row>
    <row r="2433" spans="1:2" x14ac:dyDescent="0.25">
      <c r="A2433" s="1">
        <v>45044</v>
      </c>
      <c r="B2433">
        <v>5.0975000000000001</v>
      </c>
    </row>
    <row r="2434" spans="1:2" x14ac:dyDescent="0.25">
      <c r="A2434" s="1">
        <v>45047</v>
      </c>
      <c r="B2434">
        <v>5.2225000000000001</v>
      </c>
    </row>
    <row r="2435" spans="1:2" x14ac:dyDescent="0.25">
      <c r="A2435" s="1">
        <v>45048</v>
      </c>
      <c r="B2435">
        <v>5.2675000000000001</v>
      </c>
    </row>
    <row r="2436" spans="1:2" x14ac:dyDescent="0.25">
      <c r="A2436" s="1">
        <v>45049</v>
      </c>
      <c r="B2436">
        <v>5.125</v>
      </c>
    </row>
    <row r="2437" spans="1:2" x14ac:dyDescent="0.25">
      <c r="A2437" s="1">
        <v>45050</v>
      </c>
      <c r="B2437">
        <v>4.9424999999999999</v>
      </c>
    </row>
    <row r="2438" spans="1:2" x14ac:dyDescent="0.25">
      <c r="A2438" s="1">
        <v>45051</v>
      </c>
      <c r="B2438">
        <v>4.7675000000000001</v>
      </c>
    </row>
    <row r="2439" spans="1:2" x14ac:dyDescent="0.25">
      <c r="A2439" s="1">
        <v>45054</v>
      </c>
      <c r="B2439">
        <v>4.5575000000000001</v>
      </c>
    </row>
    <row r="2440" spans="1:2" x14ac:dyDescent="0.25">
      <c r="A2440" s="1">
        <v>45055</v>
      </c>
      <c r="B2440">
        <v>4.4375</v>
      </c>
    </row>
    <row r="2441" spans="1:2" x14ac:dyDescent="0.25">
      <c r="A2441" s="1">
        <v>45056</v>
      </c>
      <c r="B2441">
        <v>4.2074999999999996</v>
      </c>
    </row>
    <row r="2442" spans="1:2" x14ac:dyDescent="0.25">
      <c r="A2442" s="1">
        <v>45057</v>
      </c>
      <c r="B2442">
        <v>4.6375000000000002</v>
      </c>
    </row>
    <row r="2443" spans="1:2" x14ac:dyDescent="0.25">
      <c r="A2443" s="1">
        <v>45058</v>
      </c>
      <c r="B2443">
        <v>5.0199999999999996</v>
      </c>
    </row>
    <row r="2444" spans="1:2" x14ac:dyDescent="0.25">
      <c r="A2444" s="1">
        <v>45061</v>
      </c>
      <c r="B2444">
        <v>5.19</v>
      </c>
    </row>
    <row r="2445" spans="1:2" x14ac:dyDescent="0.25">
      <c r="A2445" s="1">
        <v>45062</v>
      </c>
      <c r="B2445">
        <v>5.1875</v>
      </c>
    </row>
    <row r="2446" spans="1:2" x14ac:dyDescent="0.25">
      <c r="A2446" s="1">
        <v>45063</v>
      </c>
      <c r="B2446">
        <v>5.7450000000000001</v>
      </c>
    </row>
    <row r="2447" spans="1:2" x14ac:dyDescent="0.25">
      <c r="A2447" s="1">
        <v>45064</v>
      </c>
      <c r="B2447">
        <v>5.7450000000000001</v>
      </c>
    </row>
    <row r="2448" spans="1:2" x14ac:dyDescent="0.25">
      <c r="A2448" s="1">
        <v>45065</v>
      </c>
      <c r="B2448">
        <v>5.7474999999999996</v>
      </c>
    </row>
    <row r="2449" spans="1:2" x14ac:dyDescent="0.25">
      <c r="A2449" s="1">
        <v>45068</v>
      </c>
      <c r="B2449">
        <v>5.5674999999999999</v>
      </c>
    </row>
    <row r="2450" spans="1:2" x14ac:dyDescent="0.25">
      <c r="A2450" s="1">
        <v>45069</v>
      </c>
      <c r="B2450">
        <v>5.5125000000000002</v>
      </c>
    </row>
    <row r="2451" spans="1:2" x14ac:dyDescent="0.25">
      <c r="A2451" s="1">
        <v>45070</v>
      </c>
      <c r="B2451">
        <v>5.4775</v>
      </c>
    </row>
    <row r="2452" spans="1:2" x14ac:dyDescent="0.25">
      <c r="A2452" s="1">
        <v>45071</v>
      </c>
      <c r="B2452">
        <v>5.62</v>
      </c>
    </row>
    <row r="2453" spans="1:2" x14ac:dyDescent="0.25">
      <c r="A2453" s="1">
        <v>45072</v>
      </c>
      <c r="B2453">
        <v>5.5625</v>
      </c>
    </row>
    <row r="2454" spans="1:2" x14ac:dyDescent="0.25">
      <c r="A2454" s="1">
        <v>45075</v>
      </c>
      <c r="B2454">
        <v>5.2774999999999999</v>
      </c>
    </row>
    <row r="2455" spans="1:2" x14ac:dyDescent="0.25">
      <c r="A2455" s="1">
        <v>45076</v>
      </c>
      <c r="B2455">
        <v>5.3949999999999996</v>
      </c>
    </row>
    <row r="2456" spans="1:2" x14ac:dyDescent="0.25">
      <c r="A2456" s="1">
        <v>45077</v>
      </c>
      <c r="B2456">
        <v>5.67</v>
      </c>
    </row>
    <row r="2457" spans="1:2" x14ac:dyDescent="0.25">
      <c r="A2457" s="1">
        <v>45078</v>
      </c>
      <c r="B2457">
        <v>5.72</v>
      </c>
    </row>
    <row r="2458" spans="1:2" x14ac:dyDescent="0.25">
      <c r="A2458" s="1">
        <v>45079</v>
      </c>
      <c r="B2458">
        <v>5.6974999999999998</v>
      </c>
    </row>
    <row r="2459" spans="1:2" x14ac:dyDescent="0.25">
      <c r="A2459" s="1">
        <v>45082</v>
      </c>
      <c r="B2459">
        <v>5.7549999999999999</v>
      </c>
    </row>
    <row r="2460" spans="1:2" x14ac:dyDescent="0.25">
      <c r="A2460" s="1">
        <v>45083</v>
      </c>
      <c r="B2460">
        <v>5.7249999999999996</v>
      </c>
    </row>
    <row r="2461" spans="1:2" x14ac:dyDescent="0.25">
      <c r="A2461" s="1">
        <v>45084</v>
      </c>
      <c r="B2461">
        <v>5.6749999999999998</v>
      </c>
    </row>
    <row r="2462" spans="1:2" x14ac:dyDescent="0.25">
      <c r="A2462" s="1">
        <v>45085</v>
      </c>
      <c r="B2462">
        <v>5.5250000000000004</v>
      </c>
    </row>
    <row r="2463" spans="1:2" x14ac:dyDescent="0.25">
      <c r="A2463" s="1">
        <v>45086</v>
      </c>
      <c r="B2463">
        <v>5.5274999999999999</v>
      </c>
    </row>
    <row r="2464" spans="1:2" x14ac:dyDescent="0.25">
      <c r="A2464" s="1">
        <v>45089</v>
      </c>
      <c r="B2464">
        <v>5.7549999999999999</v>
      </c>
    </row>
    <row r="2465" spans="1:2" x14ac:dyDescent="0.25">
      <c r="A2465" s="1">
        <v>45090</v>
      </c>
      <c r="B2465">
        <v>5.6224999999999996</v>
      </c>
    </row>
    <row r="2466" spans="1:2" x14ac:dyDescent="0.25">
      <c r="A2466" s="1">
        <v>45091</v>
      </c>
      <c r="B2466">
        <v>5.39</v>
      </c>
    </row>
    <row r="2467" spans="1:2" x14ac:dyDescent="0.25">
      <c r="A2467" s="1">
        <v>45092</v>
      </c>
      <c r="B2467">
        <v>5.4775</v>
      </c>
    </row>
    <row r="2468" spans="1:2" x14ac:dyDescent="0.25">
      <c r="A2468" s="1">
        <v>45093</v>
      </c>
      <c r="B2468">
        <v>5.6875</v>
      </c>
    </row>
    <row r="2469" spans="1:2" x14ac:dyDescent="0.25">
      <c r="A2469" s="1">
        <v>45096</v>
      </c>
      <c r="B2469">
        <v>5.6150000000000002</v>
      </c>
    </row>
    <row r="2470" spans="1:2" x14ac:dyDescent="0.25">
      <c r="A2470" s="1">
        <v>45097</v>
      </c>
      <c r="B2470">
        <v>5.37</v>
      </c>
    </row>
    <row r="2471" spans="1:2" x14ac:dyDescent="0.25">
      <c r="A2471" s="1">
        <v>45098</v>
      </c>
      <c r="B2471">
        <v>5.4225000000000003</v>
      </c>
    </row>
    <row r="2472" spans="1:2" x14ac:dyDescent="0.25">
      <c r="A2472" s="1">
        <v>45099</v>
      </c>
      <c r="B2472">
        <v>5.26</v>
      </c>
    </row>
    <row r="2473" spans="1:2" x14ac:dyDescent="0.25">
      <c r="A2473" s="1">
        <v>45100</v>
      </c>
      <c r="B2473">
        <v>5.5250000000000004</v>
      </c>
    </row>
    <row r="2474" spans="1:2" x14ac:dyDescent="0.25">
      <c r="A2474" s="1">
        <v>45103</v>
      </c>
      <c r="B2474">
        <v>5.6325000000000003</v>
      </c>
    </row>
    <row r="2475" spans="1:2" x14ac:dyDescent="0.25">
      <c r="A2475" s="1">
        <v>45104</v>
      </c>
      <c r="B2475">
        <v>5.8125</v>
      </c>
    </row>
    <row r="2476" spans="1:2" x14ac:dyDescent="0.25">
      <c r="A2476" s="1">
        <v>45105</v>
      </c>
      <c r="B2476">
        <v>5.9824999999999999</v>
      </c>
    </row>
    <row r="2477" spans="1:2" x14ac:dyDescent="0.25">
      <c r="A2477" s="1">
        <v>45106</v>
      </c>
      <c r="B2477">
        <v>5.9524999999999997</v>
      </c>
    </row>
    <row r="2478" spans="1:2" x14ac:dyDescent="0.25">
      <c r="A2478" s="1">
        <v>45107</v>
      </c>
      <c r="B2478">
        <v>6.0125000000000002</v>
      </c>
    </row>
    <row r="2479" spans="1:2" x14ac:dyDescent="0.25">
      <c r="A2479" s="1">
        <v>45110</v>
      </c>
      <c r="B2479">
        <v>5.6924999999999999</v>
      </c>
    </row>
    <row r="2480" spans="1:2" x14ac:dyDescent="0.25">
      <c r="A2480" s="1">
        <v>45111</v>
      </c>
      <c r="B2480">
        <v>5.4625000000000004</v>
      </c>
    </row>
    <row r="2481" spans="1:2" x14ac:dyDescent="0.25">
      <c r="A2481" s="1">
        <v>45112</v>
      </c>
      <c r="B2481">
        <v>5.5075000000000003</v>
      </c>
    </row>
    <row r="2482" spans="1:2" x14ac:dyDescent="0.25">
      <c r="A2482" s="1">
        <v>45113</v>
      </c>
      <c r="B2482">
        <v>5.5425000000000004</v>
      </c>
    </row>
    <row r="2483" spans="1:2" x14ac:dyDescent="0.25">
      <c r="A2483" s="1">
        <v>45114</v>
      </c>
      <c r="B2483">
        <v>5.3975</v>
      </c>
    </row>
    <row r="2484" spans="1:2" x14ac:dyDescent="0.25">
      <c r="A2484" s="1">
        <v>45117</v>
      </c>
      <c r="B2484">
        <v>5.3274999999999997</v>
      </c>
    </row>
    <row r="2485" spans="1:2" x14ac:dyDescent="0.25">
      <c r="A2485" s="1">
        <v>45118</v>
      </c>
      <c r="B2485">
        <v>5.3425000000000002</v>
      </c>
    </row>
    <row r="2486" spans="1:2" x14ac:dyDescent="0.25">
      <c r="A2486" s="1">
        <v>45119</v>
      </c>
      <c r="B2486">
        <v>5.2675000000000001</v>
      </c>
    </row>
    <row r="2487" spans="1:2" x14ac:dyDescent="0.25">
      <c r="A2487" s="1">
        <v>45120</v>
      </c>
      <c r="B2487">
        <v>4.9749999999999996</v>
      </c>
    </row>
    <row r="2488" spans="1:2" x14ac:dyDescent="0.25">
      <c r="A2488" s="1">
        <v>45121</v>
      </c>
      <c r="B2488">
        <v>5.1675000000000004</v>
      </c>
    </row>
    <row r="2489" spans="1:2" x14ac:dyDescent="0.25">
      <c r="A2489" s="1">
        <v>45124</v>
      </c>
      <c r="B2489">
        <v>5.2675000000000001</v>
      </c>
    </row>
    <row r="2490" spans="1:2" x14ac:dyDescent="0.25">
      <c r="A2490" s="1">
        <v>45125</v>
      </c>
      <c r="B2490">
        <v>5.2925000000000004</v>
      </c>
    </row>
    <row r="2491" spans="1:2" x14ac:dyDescent="0.25">
      <c r="A2491" s="1">
        <v>45126</v>
      </c>
      <c r="B2491">
        <v>5.8324999999999996</v>
      </c>
    </row>
    <row r="2492" spans="1:2" x14ac:dyDescent="0.25">
      <c r="A2492" s="1">
        <v>45127</v>
      </c>
      <c r="B2492">
        <v>5.8075000000000001</v>
      </c>
    </row>
    <row r="2493" spans="1:2" x14ac:dyDescent="0.25">
      <c r="A2493" s="1">
        <v>45128</v>
      </c>
      <c r="B2493">
        <v>5.7149999999999999</v>
      </c>
    </row>
    <row r="2494" spans="1:2" x14ac:dyDescent="0.25">
      <c r="A2494" s="1">
        <v>45131</v>
      </c>
      <c r="B2494">
        <v>5.8174999999999999</v>
      </c>
    </row>
    <row r="2495" spans="1:2" x14ac:dyDescent="0.25">
      <c r="A2495" s="1">
        <v>45132</v>
      </c>
      <c r="B2495">
        <v>5.8025000000000002</v>
      </c>
    </row>
    <row r="2496" spans="1:2" x14ac:dyDescent="0.25">
      <c r="A2496" s="1">
        <v>45133</v>
      </c>
      <c r="B2496">
        <v>5.7225000000000001</v>
      </c>
    </row>
    <row r="2497" spans="1:2" x14ac:dyDescent="0.25">
      <c r="A2497" s="1">
        <v>45134</v>
      </c>
      <c r="B2497">
        <v>5.6475</v>
      </c>
    </row>
    <row r="2498" spans="1:2" x14ac:dyDescent="0.25">
      <c r="A2498" s="1">
        <v>45135</v>
      </c>
      <c r="B2498">
        <v>5.7949999999999999</v>
      </c>
    </row>
    <row r="2499" spans="1:2" x14ac:dyDescent="0.25">
      <c r="A2499" s="1">
        <v>45138</v>
      </c>
      <c r="B2499">
        <v>5.62</v>
      </c>
    </row>
    <row r="2500" spans="1:2" x14ac:dyDescent="0.25">
      <c r="A2500" s="1">
        <v>45139</v>
      </c>
      <c r="B2500">
        <v>5.6449999999999996</v>
      </c>
    </row>
    <row r="2501" spans="1:2" x14ac:dyDescent="0.25">
      <c r="A2501" s="1">
        <v>45140</v>
      </c>
      <c r="B2501">
        <v>5.7149999999999999</v>
      </c>
    </row>
    <row r="2502" spans="1:2" x14ac:dyDescent="0.25">
      <c r="A2502" s="1">
        <v>45141</v>
      </c>
      <c r="B2502">
        <v>5.63</v>
      </c>
    </row>
    <row r="2503" spans="1:2" x14ac:dyDescent="0.25">
      <c r="A2503" s="1">
        <v>45142</v>
      </c>
      <c r="B2503">
        <v>5.4375</v>
      </c>
    </row>
    <row r="2504" spans="1:2" x14ac:dyDescent="0.25">
      <c r="A2504" s="1">
        <v>45145</v>
      </c>
      <c r="B2504">
        <v>5.44</v>
      </c>
    </row>
    <row r="2505" spans="1:2" x14ac:dyDescent="0.25">
      <c r="A2505" s="1">
        <v>45146</v>
      </c>
      <c r="B2505">
        <v>5.8624999999999998</v>
      </c>
    </row>
    <row r="2506" spans="1:2" x14ac:dyDescent="0.25">
      <c r="A2506" s="1">
        <v>45147</v>
      </c>
      <c r="B2506">
        <v>5.8624999999999998</v>
      </c>
    </row>
    <row r="2507" spans="1:2" x14ac:dyDescent="0.25">
      <c r="A2507" s="1">
        <v>45148</v>
      </c>
      <c r="B2507">
        <v>5.4375</v>
      </c>
    </row>
    <row r="2508" spans="1:2" x14ac:dyDescent="0.25">
      <c r="A2508" s="1">
        <v>45149</v>
      </c>
      <c r="B2508">
        <v>5.6074999999999999</v>
      </c>
    </row>
    <row r="2509" spans="1:2" x14ac:dyDescent="0.25">
      <c r="A2509" s="1">
        <v>45152</v>
      </c>
      <c r="B2509">
        <v>6.16</v>
      </c>
    </row>
    <row r="2510" spans="1:2" x14ac:dyDescent="0.25">
      <c r="A2510" s="1">
        <v>45153</v>
      </c>
      <c r="B2510">
        <v>6.75</v>
      </c>
    </row>
    <row r="2511" spans="1:2" x14ac:dyDescent="0.25">
      <c r="A2511" s="1">
        <v>45154</v>
      </c>
      <c r="B2511">
        <v>6.7824999999999998</v>
      </c>
    </row>
    <row r="2512" spans="1:2" x14ac:dyDescent="0.25">
      <c r="A2512" s="1">
        <v>45155</v>
      </c>
      <c r="B2512">
        <v>6.4249999999999998</v>
      </c>
    </row>
    <row r="2513" spans="1:2" x14ac:dyDescent="0.25">
      <c r="A2513" s="1">
        <v>45156</v>
      </c>
      <c r="B2513">
        <v>6.1425000000000001</v>
      </c>
    </row>
    <row r="2514" spans="1:2" x14ac:dyDescent="0.25">
      <c r="A2514" s="1">
        <v>45159</v>
      </c>
      <c r="B2514">
        <v>6.4175000000000004</v>
      </c>
    </row>
    <row r="2515" spans="1:2" x14ac:dyDescent="0.25">
      <c r="A2515" s="1">
        <v>45160</v>
      </c>
      <c r="B2515">
        <v>6.2575000000000003</v>
      </c>
    </row>
    <row r="2516" spans="1:2" x14ac:dyDescent="0.25">
      <c r="A2516" s="1">
        <v>45161</v>
      </c>
      <c r="B2516">
        <v>6.0525000000000002</v>
      </c>
    </row>
    <row r="2517" spans="1:2" x14ac:dyDescent="0.25">
      <c r="A2517" s="1">
        <v>45162</v>
      </c>
      <c r="B2517">
        <v>5.9349999999999996</v>
      </c>
    </row>
    <row r="2518" spans="1:2" x14ac:dyDescent="0.25">
      <c r="A2518" s="1">
        <v>45163</v>
      </c>
      <c r="B2518">
        <v>5.9175000000000004</v>
      </c>
    </row>
    <row r="2519" spans="1:2" x14ac:dyDescent="0.25">
      <c r="A2519" s="1">
        <v>45166</v>
      </c>
      <c r="B2519">
        <v>5.6974999999999998</v>
      </c>
    </row>
    <row r="2520" spans="1:2" x14ac:dyDescent="0.25">
      <c r="A2520" s="1">
        <v>45167</v>
      </c>
      <c r="B2520">
        <v>5.5374999999999996</v>
      </c>
    </row>
    <row r="2521" spans="1:2" x14ac:dyDescent="0.25">
      <c r="A2521" s="1">
        <v>45168</v>
      </c>
      <c r="B2521">
        <v>5.5425000000000004</v>
      </c>
    </row>
    <row r="2522" spans="1:2" x14ac:dyDescent="0.25">
      <c r="A2522" s="1">
        <v>45169</v>
      </c>
      <c r="B2522">
        <v>5.2774999999999999</v>
      </c>
    </row>
    <row r="2523" spans="1:2" x14ac:dyDescent="0.25">
      <c r="A2523" s="1">
        <v>45170</v>
      </c>
      <c r="B2523">
        <v>5.51</v>
      </c>
    </row>
    <row r="2524" spans="1:2" x14ac:dyDescent="0.25">
      <c r="A2524" s="1">
        <v>45173</v>
      </c>
      <c r="B2524">
        <v>5.34</v>
      </c>
    </row>
    <row r="2525" spans="1:2" x14ac:dyDescent="0.25">
      <c r="A2525" s="1">
        <v>45174</v>
      </c>
      <c r="B2525">
        <v>5.3849999999999998</v>
      </c>
    </row>
    <row r="2526" spans="1:2" x14ac:dyDescent="0.25">
      <c r="A2526" s="1">
        <v>45175</v>
      </c>
      <c r="B2526">
        <v>5.3449999999999998</v>
      </c>
    </row>
    <row r="2527" spans="1:2" x14ac:dyDescent="0.25">
      <c r="A2527" s="1">
        <v>45176</v>
      </c>
      <c r="B2527">
        <v>5.375</v>
      </c>
    </row>
    <row r="2528" spans="1:2" x14ac:dyDescent="0.25">
      <c r="A2528" s="1">
        <v>45177</v>
      </c>
      <c r="B2528">
        <v>5.4124999999999996</v>
      </c>
    </row>
    <row r="2529" spans="1:2" x14ac:dyDescent="0.25">
      <c r="A2529" s="1">
        <v>45180</v>
      </c>
      <c r="B2529">
        <v>5.6725000000000003</v>
      </c>
    </row>
    <row r="2530" spans="1:2" x14ac:dyDescent="0.25">
      <c r="A2530" s="1">
        <v>45181</v>
      </c>
      <c r="B2530">
        <v>5.6074999999999999</v>
      </c>
    </row>
    <row r="2531" spans="1:2" x14ac:dyDescent="0.25">
      <c r="A2531" s="1">
        <v>45182</v>
      </c>
      <c r="B2531">
        <v>5.5525000000000002</v>
      </c>
    </row>
    <row r="2532" spans="1:2" x14ac:dyDescent="0.25">
      <c r="A2532" s="1">
        <v>45183</v>
      </c>
      <c r="B2532">
        <v>5.2474999999999996</v>
      </c>
    </row>
    <row r="2533" spans="1:2" x14ac:dyDescent="0.25">
      <c r="A2533" s="1">
        <v>45184</v>
      </c>
      <c r="B2533">
        <v>5.1124999999999998</v>
      </c>
    </row>
    <row r="2534" spans="1:2" x14ac:dyDescent="0.25">
      <c r="A2534" s="1">
        <v>45187</v>
      </c>
      <c r="B2534">
        <v>5.09</v>
      </c>
    </row>
    <row r="2535" spans="1:2" x14ac:dyDescent="0.25">
      <c r="A2535" s="1">
        <v>45188</v>
      </c>
      <c r="B2535">
        <v>4.9574999999999996</v>
      </c>
    </row>
    <row r="2536" spans="1:2" x14ac:dyDescent="0.25">
      <c r="A2536" s="1">
        <v>45189</v>
      </c>
      <c r="B2536">
        <v>4.9924999999999997</v>
      </c>
    </row>
    <row r="2537" spans="1:2" x14ac:dyDescent="0.25">
      <c r="A2537" s="1">
        <v>45190</v>
      </c>
      <c r="B2537">
        <v>4.96</v>
      </c>
    </row>
    <row r="2538" spans="1:2" x14ac:dyDescent="0.25">
      <c r="A2538" s="1">
        <v>45191</v>
      </c>
      <c r="B2538">
        <v>4.7925000000000004</v>
      </c>
    </row>
    <row r="2539" spans="1:2" x14ac:dyDescent="0.25">
      <c r="A2539" s="1">
        <v>45194</v>
      </c>
      <c r="B2539">
        <v>4.8600000000000003</v>
      </c>
    </row>
    <row r="2540" spans="1:2" x14ac:dyDescent="0.25">
      <c r="A2540" s="1">
        <v>45195</v>
      </c>
      <c r="B2540">
        <v>4.9349999999999996</v>
      </c>
    </row>
    <row r="2541" spans="1:2" x14ac:dyDescent="0.25">
      <c r="A2541" s="1">
        <v>45196</v>
      </c>
      <c r="B2541">
        <v>5.12</v>
      </c>
    </row>
    <row r="2542" spans="1:2" x14ac:dyDescent="0.25">
      <c r="A2542" s="1">
        <v>45197</v>
      </c>
      <c r="B2542">
        <v>5.21</v>
      </c>
    </row>
    <row r="2543" spans="1:2" x14ac:dyDescent="0.25">
      <c r="A2543" s="1">
        <v>45198</v>
      </c>
      <c r="B2543">
        <v>5.1924999999999999</v>
      </c>
    </row>
    <row r="2544" spans="1:2" x14ac:dyDescent="0.25">
      <c r="A2544" s="1">
        <v>45201</v>
      </c>
      <c r="B2544">
        <v>5.2725</v>
      </c>
    </row>
    <row r="2545" spans="1:2" x14ac:dyDescent="0.25">
      <c r="A2545" s="1">
        <v>45202</v>
      </c>
      <c r="B2545">
        <v>5.2824999999999998</v>
      </c>
    </row>
    <row r="2546" spans="1:2" x14ac:dyDescent="0.25">
      <c r="A2546" s="1">
        <v>45203</v>
      </c>
      <c r="B2546">
        <v>5.3674999999999997</v>
      </c>
    </row>
    <row r="2547" spans="1:2" x14ac:dyDescent="0.25">
      <c r="A2547" s="1">
        <v>45204</v>
      </c>
      <c r="B2547">
        <v>5.21</v>
      </c>
    </row>
    <row r="2548" spans="1:2" x14ac:dyDescent="0.25">
      <c r="A2548" s="1">
        <v>45205</v>
      </c>
      <c r="B2548">
        <v>5.09</v>
      </c>
    </row>
    <row r="2549" spans="1:2" x14ac:dyDescent="0.25">
      <c r="A2549" s="1">
        <v>45208</v>
      </c>
      <c r="B2549">
        <v>5.2</v>
      </c>
    </row>
    <row r="2550" spans="1:2" x14ac:dyDescent="0.25">
      <c r="A2550" s="1">
        <v>45209</v>
      </c>
      <c r="B2550">
        <v>5.1150000000000002</v>
      </c>
    </row>
    <row r="2551" spans="1:2" x14ac:dyDescent="0.25">
      <c r="A2551" s="1">
        <v>45210</v>
      </c>
      <c r="B2551">
        <v>4.8650000000000002</v>
      </c>
    </row>
    <row r="2552" spans="1:2" x14ac:dyDescent="0.25">
      <c r="A2552" s="1">
        <v>45211</v>
      </c>
      <c r="B2552">
        <v>4.5650000000000004</v>
      </c>
    </row>
    <row r="2553" spans="1:2" x14ac:dyDescent="0.25">
      <c r="A2553" s="1">
        <v>45212</v>
      </c>
      <c r="B2553">
        <v>4.4974999999999996</v>
      </c>
    </row>
    <row r="2554" spans="1:2" x14ac:dyDescent="0.25">
      <c r="A2554" s="1">
        <v>45215</v>
      </c>
      <c r="B2554">
        <v>4.5549999999999997</v>
      </c>
    </row>
    <row r="2555" spans="1:2" x14ac:dyDescent="0.25">
      <c r="A2555" s="1">
        <v>45216</v>
      </c>
      <c r="B2555">
        <v>4.4874999999999998</v>
      </c>
    </row>
    <row r="2556" spans="1:2" x14ac:dyDescent="0.25">
      <c r="A2556" s="1">
        <v>45217</v>
      </c>
      <c r="B2556">
        <v>4.3475000000000001</v>
      </c>
    </row>
    <row r="2557" spans="1:2" x14ac:dyDescent="0.25">
      <c r="A2557" s="1">
        <v>45218</v>
      </c>
      <c r="B2557">
        <v>4.5599999999999996</v>
      </c>
    </row>
    <row r="2558" spans="1:2" x14ac:dyDescent="0.25">
      <c r="A2558" s="1">
        <v>45219</v>
      </c>
      <c r="B2558">
        <v>4.4675000000000002</v>
      </c>
    </row>
    <row r="2559" spans="1:2" x14ac:dyDescent="0.25">
      <c r="A2559" s="1">
        <v>45222</v>
      </c>
      <c r="B2559">
        <v>4.5075000000000003</v>
      </c>
    </row>
    <row r="2560" spans="1:2" x14ac:dyDescent="0.25">
      <c r="A2560" s="1">
        <v>45223</v>
      </c>
      <c r="B2560">
        <v>4.3899999999999997</v>
      </c>
    </row>
    <row r="2561" spans="1:2" x14ac:dyDescent="0.25">
      <c r="A2561" s="1">
        <v>45224</v>
      </c>
      <c r="B2561">
        <v>4.3449999999999998</v>
      </c>
    </row>
    <row r="2562" spans="1:2" x14ac:dyDescent="0.25">
      <c r="A2562" s="1">
        <v>45225</v>
      </c>
      <c r="B2562">
        <v>4.4249999999999998</v>
      </c>
    </row>
    <row r="2563" spans="1:2" x14ac:dyDescent="0.25">
      <c r="A2563" s="1">
        <v>45226</v>
      </c>
      <c r="B2563">
        <v>4.2474999999999996</v>
      </c>
    </row>
    <row r="2564" spans="1:2" x14ac:dyDescent="0.25">
      <c r="A2564" s="1">
        <v>45229</v>
      </c>
      <c r="B2564">
        <v>4.1974999999999998</v>
      </c>
    </row>
    <row r="2565" spans="1:2" x14ac:dyDescent="0.25">
      <c r="A2565" s="1">
        <v>45230</v>
      </c>
      <c r="B2565">
        <v>3.9874999999999998</v>
      </c>
    </row>
    <row r="2566" spans="1:2" x14ac:dyDescent="0.25">
      <c r="A2566" s="1">
        <v>45231</v>
      </c>
      <c r="B2566">
        <v>3.8075000000000001</v>
      </c>
    </row>
    <row r="2567" spans="1:2" x14ac:dyDescent="0.25">
      <c r="A2567" s="1">
        <v>45232</v>
      </c>
      <c r="B2567">
        <v>3.4624999999999999</v>
      </c>
    </row>
    <row r="2568" spans="1:2" x14ac:dyDescent="0.25">
      <c r="A2568" s="1">
        <v>45233</v>
      </c>
      <c r="B2568">
        <v>3.7225000000000001</v>
      </c>
    </row>
    <row r="2569" spans="1:2" x14ac:dyDescent="0.25">
      <c r="A2569" s="1">
        <v>45236</v>
      </c>
      <c r="B2569">
        <v>3.8450000000000002</v>
      </c>
    </row>
    <row r="2570" spans="1:2" x14ac:dyDescent="0.25">
      <c r="A2570" s="1">
        <v>45237</v>
      </c>
      <c r="B2570">
        <v>3.7450000000000001</v>
      </c>
    </row>
    <row r="2571" spans="1:2" x14ac:dyDescent="0.25">
      <c r="A2571" s="1">
        <v>45238</v>
      </c>
      <c r="B2571">
        <v>3.5350000000000001</v>
      </c>
    </row>
    <row r="2572" spans="1:2" x14ac:dyDescent="0.25">
      <c r="A2572" s="1">
        <v>45239</v>
      </c>
      <c r="B2572">
        <v>3.48</v>
      </c>
    </row>
    <row r="2573" spans="1:2" x14ac:dyDescent="0.25">
      <c r="A2573" s="1">
        <v>45240</v>
      </c>
      <c r="B2573">
        <v>3.5049999999999999</v>
      </c>
    </row>
    <row r="2574" spans="1:2" x14ac:dyDescent="0.25">
      <c r="A2574" s="1">
        <v>45243</v>
      </c>
      <c r="B2574">
        <v>3.66</v>
      </c>
    </row>
    <row r="2575" spans="1:2" x14ac:dyDescent="0.25">
      <c r="A2575" s="1">
        <v>45244</v>
      </c>
      <c r="B2575">
        <v>4.01</v>
      </c>
    </row>
    <row r="2576" spans="1:2" x14ac:dyDescent="0.25">
      <c r="A2576" s="1">
        <v>45245</v>
      </c>
      <c r="B2576">
        <v>4.1449999999999996</v>
      </c>
    </row>
    <row r="2577" spans="1:2" x14ac:dyDescent="0.25">
      <c r="A2577" s="1">
        <v>45246</v>
      </c>
      <c r="B2577">
        <v>4.09</v>
      </c>
    </row>
    <row r="2578" spans="1:2" x14ac:dyDescent="0.25">
      <c r="A2578" s="1">
        <v>45247</v>
      </c>
      <c r="B2578">
        <v>4.3574999999999999</v>
      </c>
    </row>
    <row r="2579" spans="1:2" x14ac:dyDescent="0.25">
      <c r="A2579" s="1">
        <v>45250</v>
      </c>
      <c r="B2579">
        <v>5.1174999999999997</v>
      </c>
    </row>
    <row r="2580" spans="1:2" x14ac:dyDescent="0.25">
      <c r="A2580" s="1">
        <v>45251</v>
      </c>
      <c r="B2580">
        <v>5.17</v>
      </c>
    </row>
    <row r="2581" spans="1:2" x14ac:dyDescent="0.25">
      <c r="A2581" s="1">
        <v>45252</v>
      </c>
      <c r="B2581">
        <v>5.085</v>
      </c>
    </row>
    <row r="2582" spans="1:2" x14ac:dyDescent="0.25">
      <c r="A2582" s="1">
        <v>45253</v>
      </c>
      <c r="B2582">
        <v>5</v>
      </c>
    </row>
    <row r="2583" spans="1:2" x14ac:dyDescent="0.25">
      <c r="A2583" s="1">
        <v>45254</v>
      </c>
      <c r="B2583">
        <v>4.9000000000000004</v>
      </c>
    </row>
    <row r="2584" spans="1:2" x14ac:dyDescent="0.25">
      <c r="A2584" s="1">
        <v>45257</v>
      </c>
      <c r="B2584">
        <v>4.71</v>
      </c>
    </row>
    <row r="2585" spans="1:2" x14ac:dyDescent="0.25">
      <c r="A2585" s="1">
        <v>45258</v>
      </c>
      <c r="B2585">
        <v>4.66</v>
      </c>
    </row>
    <row r="2586" spans="1:2" x14ac:dyDescent="0.25">
      <c r="A2586" s="1">
        <v>45259</v>
      </c>
      <c r="B2586">
        <v>4.835</v>
      </c>
    </row>
    <row r="2587" spans="1:2" x14ac:dyDescent="0.25">
      <c r="A2587" s="1">
        <v>45260</v>
      </c>
      <c r="B2587">
        <v>4.59</v>
      </c>
    </row>
    <row r="2588" spans="1:2" x14ac:dyDescent="0.25">
      <c r="A2588" s="1">
        <v>45261</v>
      </c>
      <c r="B2588">
        <v>4.67</v>
      </c>
    </row>
    <row r="2589" spans="1:2" x14ac:dyDescent="0.25">
      <c r="A2589" s="1">
        <v>45264</v>
      </c>
      <c r="B2589">
        <v>4.6550000000000002</v>
      </c>
    </row>
    <row r="2590" spans="1:2" x14ac:dyDescent="0.25">
      <c r="A2590" s="1">
        <v>45265</v>
      </c>
      <c r="B2590">
        <v>4.6500000000000004</v>
      </c>
    </row>
    <row r="2591" spans="1:2" x14ac:dyDescent="0.25">
      <c r="A2591" s="1">
        <v>45266</v>
      </c>
      <c r="B2591">
        <v>4.78</v>
      </c>
    </row>
    <row r="2592" spans="1:2" x14ac:dyDescent="0.25">
      <c r="A2592" s="1">
        <v>45267</v>
      </c>
      <c r="B2592">
        <v>4.7549999999999999</v>
      </c>
    </row>
    <row r="2593" spans="1:2" x14ac:dyDescent="0.25">
      <c r="A2593" s="1">
        <v>45268</v>
      </c>
      <c r="B2593">
        <v>4.6875</v>
      </c>
    </row>
    <row r="2594" spans="1:2" x14ac:dyDescent="0.25">
      <c r="A2594" s="1">
        <v>45271</v>
      </c>
      <c r="B2594">
        <v>4.8475000000000001</v>
      </c>
    </row>
    <row r="2595" spans="1:2" x14ac:dyDescent="0.25">
      <c r="A2595" s="1">
        <v>45272</v>
      </c>
      <c r="B2595">
        <v>4.6025</v>
      </c>
    </row>
    <row r="2596" spans="1:2" x14ac:dyDescent="0.25">
      <c r="A2596" s="1">
        <v>45273</v>
      </c>
      <c r="B2596">
        <v>4.2149999999999999</v>
      </c>
    </row>
    <row r="2597" spans="1:2" x14ac:dyDescent="0.25">
      <c r="A2597" s="1">
        <v>45274</v>
      </c>
      <c r="B2597">
        <v>4.3550000000000004</v>
      </c>
    </row>
    <row r="2598" spans="1:2" x14ac:dyDescent="0.25">
      <c r="A2598" s="1">
        <v>45275</v>
      </c>
      <c r="B2598">
        <v>4.67</v>
      </c>
    </row>
    <row r="2599" spans="1:2" x14ac:dyDescent="0.25">
      <c r="A2599" s="1">
        <v>45278</v>
      </c>
      <c r="B2599">
        <v>4.5175000000000001</v>
      </c>
    </row>
    <row r="2600" spans="1:2" x14ac:dyDescent="0.25">
      <c r="A2600" s="1">
        <v>45279</v>
      </c>
      <c r="B2600">
        <v>4.4249999999999998</v>
      </c>
    </row>
    <row r="2601" spans="1:2" x14ac:dyDescent="0.25">
      <c r="A2601" s="1">
        <v>45280</v>
      </c>
      <c r="B2601">
        <v>4.5125000000000002</v>
      </c>
    </row>
    <row r="2602" spans="1:2" x14ac:dyDescent="0.25">
      <c r="A2602" s="1">
        <v>45281</v>
      </c>
      <c r="B2602">
        <v>4.6074999999999999</v>
      </c>
    </row>
    <row r="2603" spans="1:2" x14ac:dyDescent="0.25">
      <c r="A2603" s="1">
        <v>45282</v>
      </c>
      <c r="B2603">
        <v>4.7675000000000001</v>
      </c>
    </row>
    <row r="2604" spans="1:2" x14ac:dyDescent="0.25">
      <c r="A2604" s="1">
        <v>45285</v>
      </c>
      <c r="B2604">
        <v>4.9474999999999998</v>
      </c>
    </row>
    <row r="2605" spans="1:2" x14ac:dyDescent="0.25">
      <c r="A2605" s="1">
        <v>45286</v>
      </c>
      <c r="B2605">
        <v>4.9550000000000001</v>
      </c>
    </row>
    <row r="2606" spans="1:2" x14ac:dyDescent="0.25">
      <c r="A2606" s="1">
        <v>45287</v>
      </c>
      <c r="B2606">
        <v>4.9675000000000002</v>
      </c>
    </row>
    <row r="2607" spans="1:2" x14ac:dyDescent="0.25">
      <c r="A2607" s="1">
        <v>45288</v>
      </c>
      <c r="B2607">
        <v>5.3775000000000004</v>
      </c>
    </row>
    <row r="2608" spans="1:2" x14ac:dyDescent="0.25">
      <c r="A2608" s="1">
        <v>45289</v>
      </c>
      <c r="B2608">
        <v>5.69</v>
      </c>
    </row>
    <row r="2609" spans="1:2" x14ac:dyDescent="0.25">
      <c r="A2609" s="1">
        <v>45292</v>
      </c>
      <c r="B2609">
        <v>5.8049999999999997</v>
      </c>
    </row>
    <row r="2610" spans="1:2" x14ac:dyDescent="0.25">
      <c r="A2610" s="1">
        <v>45293</v>
      </c>
      <c r="B2610">
        <v>5.3525</v>
      </c>
    </row>
    <row r="2611" spans="1:2" x14ac:dyDescent="0.25">
      <c r="A2611" s="1">
        <v>45294</v>
      </c>
      <c r="B2611">
        <v>5.2575000000000003</v>
      </c>
    </row>
    <row r="2612" spans="1:2" x14ac:dyDescent="0.25">
      <c r="A2612" s="1">
        <v>45295</v>
      </c>
      <c r="B2612">
        <v>4.8775000000000004</v>
      </c>
    </row>
    <row r="2613" spans="1:2" x14ac:dyDescent="0.25">
      <c r="A2613" s="1">
        <v>45296</v>
      </c>
      <c r="B2613">
        <v>4.78</v>
      </c>
    </row>
    <row r="2614" spans="1:2" x14ac:dyDescent="0.25">
      <c r="A2614" s="1">
        <v>45299</v>
      </c>
      <c r="B2614">
        <v>4.7249999999999996</v>
      </c>
    </row>
    <row r="2615" spans="1:2" x14ac:dyDescent="0.25">
      <c r="A2615" s="1">
        <v>45300</v>
      </c>
      <c r="B2615">
        <v>4.58</v>
      </c>
    </row>
    <row r="2616" spans="1:2" x14ac:dyDescent="0.25">
      <c r="A2616" s="1">
        <v>45301</v>
      </c>
      <c r="B2616">
        <v>4.67</v>
      </c>
    </row>
    <row r="2617" spans="1:2" x14ac:dyDescent="0.25">
      <c r="A2617" s="1">
        <v>45302</v>
      </c>
      <c r="B2617">
        <v>4.4550000000000001</v>
      </c>
    </row>
    <row r="2618" spans="1:2" x14ac:dyDescent="0.25">
      <c r="A2618" s="1">
        <v>45303</v>
      </c>
      <c r="B2618">
        <v>4.26</v>
      </c>
    </row>
    <row r="2619" spans="1:2" x14ac:dyDescent="0.25">
      <c r="A2619" s="1">
        <v>45306</v>
      </c>
      <c r="B2619">
        <v>4.2350000000000003</v>
      </c>
    </row>
    <row r="2620" spans="1:2" x14ac:dyDescent="0.25">
      <c r="A2620" s="1">
        <v>45307</v>
      </c>
      <c r="B2620">
        <v>4.51</v>
      </c>
    </row>
    <row r="2621" spans="1:2" x14ac:dyDescent="0.25">
      <c r="A2621" s="1">
        <v>45308</v>
      </c>
      <c r="B2621">
        <v>4.45</v>
      </c>
    </row>
    <row r="2622" spans="1:2" x14ac:dyDescent="0.25">
      <c r="A2622" s="1">
        <v>45309</v>
      </c>
      <c r="B2622">
        <v>4.2149999999999999</v>
      </c>
    </row>
    <row r="2623" spans="1:2" x14ac:dyDescent="0.25">
      <c r="A2623" s="1">
        <v>45310</v>
      </c>
      <c r="B2623">
        <v>4.0149999999999997</v>
      </c>
    </row>
    <row r="2624" spans="1:2" x14ac:dyDescent="0.25">
      <c r="A2624" s="1">
        <v>45313</v>
      </c>
      <c r="B2624">
        <v>3.91</v>
      </c>
    </row>
    <row r="2625" spans="1:2" x14ac:dyDescent="0.25">
      <c r="A2625" s="1">
        <v>45314</v>
      </c>
      <c r="B2625">
        <v>4.0650000000000004</v>
      </c>
    </row>
    <row r="2626" spans="1:2" x14ac:dyDescent="0.25">
      <c r="A2626" s="1">
        <v>45315</v>
      </c>
      <c r="B2626">
        <v>4.1825000000000001</v>
      </c>
    </row>
    <row r="2627" spans="1:2" x14ac:dyDescent="0.25">
      <c r="A2627" s="1">
        <v>45316</v>
      </c>
      <c r="B2627">
        <v>3.99</v>
      </c>
    </row>
    <row r="2628" spans="1:2" x14ac:dyDescent="0.25">
      <c r="A2628" s="1">
        <v>45317</v>
      </c>
      <c r="B2628">
        <v>3.8725000000000001</v>
      </c>
    </row>
    <row r="2629" spans="1:2" x14ac:dyDescent="0.25">
      <c r="A2629" s="1">
        <v>45320</v>
      </c>
      <c r="B2629">
        <v>3.8875000000000002</v>
      </c>
    </row>
    <row r="2630" spans="1:2" x14ac:dyDescent="0.25">
      <c r="A2630" s="1">
        <v>45321</v>
      </c>
      <c r="B2630">
        <v>3.88</v>
      </c>
    </row>
    <row r="2631" spans="1:2" x14ac:dyDescent="0.25">
      <c r="A2631" s="1">
        <v>45322</v>
      </c>
      <c r="B2631">
        <v>3.8675000000000002</v>
      </c>
    </row>
    <row r="2632" spans="1:2" x14ac:dyDescent="0.25">
      <c r="A2632" s="1">
        <v>45323</v>
      </c>
      <c r="B2632">
        <v>3.8125</v>
      </c>
    </row>
    <row r="2633" spans="1:2" x14ac:dyDescent="0.25">
      <c r="A2633" s="1">
        <v>45324</v>
      </c>
      <c r="B2633">
        <v>3.6850000000000001</v>
      </c>
    </row>
    <row r="2634" spans="1:2" x14ac:dyDescent="0.25">
      <c r="A2634" s="1">
        <v>45327</v>
      </c>
      <c r="B2634">
        <v>3.69</v>
      </c>
    </row>
    <row r="2635" spans="1:2" x14ac:dyDescent="0.25">
      <c r="A2635" s="1">
        <v>45328</v>
      </c>
      <c r="B2635">
        <v>3.6225000000000001</v>
      </c>
    </row>
    <row r="2636" spans="1:2" x14ac:dyDescent="0.25">
      <c r="A2636" s="1">
        <v>45329</v>
      </c>
      <c r="B2636">
        <v>3.5674999999999999</v>
      </c>
    </row>
    <row r="2637" spans="1:2" x14ac:dyDescent="0.25">
      <c r="A2637" s="1">
        <v>45330</v>
      </c>
      <c r="B2637">
        <v>3.49</v>
      </c>
    </row>
    <row r="2638" spans="1:2" x14ac:dyDescent="0.25">
      <c r="A2638" s="1">
        <v>45331</v>
      </c>
      <c r="B2638">
        <v>3.125</v>
      </c>
    </row>
    <row r="2639" spans="1:2" x14ac:dyDescent="0.25">
      <c r="A2639" s="1">
        <v>45334</v>
      </c>
      <c r="B2639">
        <v>3.1425000000000001</v>
      </c>
    </row>
    <row r="2640" spans="1:2" x14ac:dyDescent="0.25">
      <c r="A2640" s="1">
        <v>45335</v>
      </c>
      <c r="B2640">
        <v>3.11</v>
      </c>
    </row>
    <row r="2641" spans="1:2" x14ac:dyDescent="0.25">
      <c r="A2641" s="1">
        <v>45336</v>
      </c>
      <c r="B2641">
        <v>3.1949999999999998</v>
      </c>
    </row>
    <row r="2642" spans="1:2" x14ac:dyDescent="0.25">
      <c r="A2642" s="1">
        <v>45337</v>
      </c>
      <c r="B2642">
        <v>3.04</v>
      </c>
    </row>
    <row r="2643" spans="1:2" x14ac:dyDescent="0.25">
      <c r="A2643" s="1">
        <v>45338</v>
      </c>
      <c r="B2643">
        <v>3.1074999999999999</v>
      </c>
    </row>
    <row r="2644" spans="1:2" x14ac:dyDescent="0.25">
      <c r="A2644" s="1">
        <v>45341</v>
      </c>
      <c r="B2644">
        <v>3.0125000000000002</v>
      </c>
    </row>
    <row r="2645" spans="1:2" x14ac:dyDescent="0.25">
      <c r="A2645" s="1">
        <v>45342</v>
      </c>
      <c r="B2645">
        <v>2.96</v>
      </c>
    </row>
    <row r="2646" spans="1:2" x14ac:dyDescent="0.25">
      <c r="A2646" s="1">
        <v>45343</v>
      </c>
      <c r="B2646">
        <v>3.26</v>
      </c>
    </row>
    <row r="2647" spans="1:2" x14ac:dyDescent="0.25">
      <c r="A2647" s="1">
        <v>45344</v>
      </c>
      <c r="B2647">
        <v>3.1425000000000001</v>
      </c>
    </row>
    <row r="2648" spans="1:2" x14ac:dyDescent="0.25">
      <c r="A2648" s="1">
        <v>45345</v>
      </c>
      <c r="B2648">
        <v>3.0775000000000001</v>
      </c>
    </row>
    <row r="2649" spans="1:2" x14ac:dyDescent="0.25">
      <c r="A2649" s="1">
        <v>45348</v>
      </c>
      <c r="B2649">
        <v>2.9175</v>
      </c>
    </row>
    <row r="2650" spans="1:2" x14ac:dyDescent="0.25">
      <c r="A2650" s="1">
        <v>45349</v>
      </c>
      <c r="B2650">
        <v>2.79</v>
      </c>
    </row>
    <row r="2651" spans="1:2" x14ac:dyDescent="0.25">
      <c r="A2651" s="1">
        <v>45350</v>
      </c>
      <c r="B2651">
        <v>2.9449999999999998</v>
      </c>
    </row>
    <row r="2652" spans="1:2" x14ac:dyDescent="0.25">
      <c r="A2652" s="1">
        <v>45351</v>
      </c>
      <c r="B2652">
        <v>2.895</v>
      </c>
    </row>
    <row r="2653" spans="1:2" x14ac:dyDescent="0.25">
      <c r="A2653" s="1">
        <v>45352</v>
      </c>
      <c r="B2653">
        <v>2.7</v>
      </c>
    </row>
    <row r="2654" spans="1:2" x14ac:dyDescent="0.25">
      <c r="A2654" s="1">
        <v>45355</v>
      </c>
      <c r="B2654">
        <v>2.6749999999999998</v>
      </c>
    </row>
    <row r="2655" spans="1:2" x14ac:dyDescent="0.25">
      <c r="A2655" s="1">
        <v>45356</v>
      </c>
      <c r="B2655">
        <v>2.5299999999999998</v>
      </c>
    </row>
    <row r="2656" spans="1:2" x14ac:dyDescent="0.25">
      <c r="A2656" s="1">
        <v>45357</v>
      </c>
      <c r="B2656">
        <v>2.645</v>
      </c>
    </row>
    <row r="2657" spans="1:2" x14ac:dyDescent="0.25">
      <c r="A2657" s="1">
        <v>45358</v>
      </c>
      <c r="B2657">
        <v>2.7949999999999999</v>
      </c>
    </row>
    <row r="2658" spans="1:2" x14ac:dyDescent="0.25">
      <c r="A2658" s="1">
        <v>45359</v>
      </c>
      <c r="B2658">
        <v>3.0724999999999998</v>
      </c>
    </row>
    <row r="2659" spans="1:2" x14ac:dyDescent="0.25">
      <c r="A2659" s="1">
        <v>45362</v>
      </c>
      <c r="B2659">
        <v>3.1349999999999998</v>
      </c>
    </row>
    <row r="2660" spans="1:2" x14ac:dyDescent="0.25">
      <c r="A2660" s="1">
        <v>45363</v>
      </c>
      <c r="B2660">
        <v>3.0924999999999998</v>
      </c>
    </row>
    <row r="2661" spans="1:2" x14ac:dyDescent="0.25">
      <c r="A2661" s="1">
        <v>45364</v>
      </c>
      <c r="B2661">
        <v>2.7050000000000001</v>
      </c>
    </row>
    <row r="2662" spans="1:2" x14ac:dyDescent="0.25">
      <c r="A2662" s="1">
        <v>45365</v>
      </c>
      <c r="B2662">
        <v>2.68</v>
      </c>
    </row>
    <row r="2663" spans="1:2" x14ac:dyDescent="0.25">
      <c r="A2663" s="1">
        <v>45366</v>
      </c>
      <c r="B2663">
        <v>2.605</v>
      </c>
    </row>
    <row r="2664" spans="1:2" x14ac:dyDescent="0.25">
      <c r="A2664" s="1">
        <v>45369</v>
      </c>
      <c r="B2664">
        <v>2.56</v>
      </c>
    </row>
    <row r="2665" spans="1:2" x14ac:dyDescent="0.25">
      <c r="A2665" s="1">
        <v>45370</v>
      </c>
      <c r="B2665">
        <v>2.5449999999999999</v>
      </c>
    </row>
    <row r="2666" spans="1:2" x14ac:dyDescent="0.25">
      <c r="A2666" s="1">
        <v>45371</v>
      </c>
      <c r="B2666">
        <v>2.6274999999999999</v>
      </c>
    </row>
    <row r="2667" spans="1:2" x14ac:dyDescent="0.25">
      <c r="A2667" s="1">
        <v>45372</v>
      </c>
      <c r="B2667">
        <v>2.6150000000000002</v>
      </c>
    </row>
    <row r="2668" spans="1:2" x14ac:dyDescent="0.25">
      <c r="A2668" s="1">
        <v>45373</v>
      </c>
      <c r="B2668">
        <v>4.4800000000000004</v>
      </c>
    </row>
    <row r="2669" spans="1:2" x14ac:dyDescent="0.25">
      <c r="A2669" s="1">
        <v>45376</v>
      </c>
      <c r="B2669">
        <v>3.5350000000000001</v>
      </c>
    </row>
    <row r="2670" spans="1:2" x14ac:dyDescent="0.25">
      <c r="A2670" s="1">
        <v>45377</v>
      </c>
      <c r="B2670">
        <v>3.1949999999999998</v>
      </c>
    </row>
    <row r="2671" spans="1:2" x14ac:dyDescent="0.25">
      <c r="A2671" s="1">
        <v>45378</v>
      </c>
      <c r="B2671">
        <v>3.3025000000000002</v>
      </c>
    </row>
    <row r="2672" spans="1:2" x14ac:dyDescent="0.25">
      <c r="A2672" s="1">
        <v>45379</v>
      </c>
      <c r="B2672">
        <v>3.4624999999999999</v>
      </c>
    </row>
    <row r="2673" spans="1:2" x14ac:dyDescent="0.25">
      <c r="A2673" s="1">
        <v>45380</v>
      </c>
      <c r="B2673">
        <v>3.3675000000000002</v>
      </c>
    </row>
    <row r="2674" spans="1:2" x14ac:dyDescent="0.25">
      <c r="A2674" s="1">
        <v>45383</v>
      </c>
      <c r="B2674">
        <v>3.3125</v>
      </c>
    </row>
    <row r="2675" spans="1:2" x14ac:dyDescent="0.25">
      <c r="A2675" s="1">
        <v>45384</v>
      </c>
      <c r="B2675">
        <v>3.4375</v>
      </c>
    </row>
    <row r="2676" spans="1:2" x14ac:dyDescent="0.25">
      <c r="A2676" s="1">
        <v>45385</v>
      </c>
      <c r="B2676">
        <v>3.3925000000000001</v>
      </c>
    </row>
    <row r="2677" spans="1:2" x14ac:dyDescent="0.25">
      <c r="A2677" s="1">
        <v>45386</v>
      </c>
      <c r="B2677">
        <v>3.2625000000000002</v>
      </c>
    </row>
    <row r="2678" spans="1:2" x14ac:dyDescent="0.25">
      <c r="A2678" s="1">
        <v>45387</v>
      </c>
      <c r="B2678">
        <v>3.2050000000000001</v>
      </c>
    </row>
    <row r="2679" spans="1:2" x14ac:dyDescent="0.25">
      <c r="A2679" s="1">
        <v>45390</v>
      </c>
      <c r="B2679">
        <v>3.105</v>
      </c>
    </row>
    <row r="2680" spans="1:2" x14ac:dyDescent="0.25">
      <c r="A2680" s="1">
        <v>45391</v>
      </c>
      <c r="B2680">
        <v>2.9849999999999999</v>
      </c>
    </row>
    <row r="2681" spans="1:2" x14ac:dyDescent="0.25">
      <c r="A2681" s="1">
        <v>45392</v>
      </c>
      <c r="B2681">
        <v>3.125</v>
      </c>
    </row>
    <row r="2682" spans="1:2" x14ac:dyDescent="0.25">
      <c r="A2682" s="1">
        <v>45393</v>
      </c>
      <c r="B2682">
        <v>3.0950000000000002</v>
      </c>
    </row>
    <row r="2683" spans="1:2" x14ac:dyDescent="0.25">
      <c r="A2683" s="1">
        <v>45394</v>
      </c>
      <c r="B2683">
        <v>3.665</v>
      </c>
    </row>
    <row r="2684" spans="1:2" x14ac:dyDescent="0.25">
      <c r="A2684" s="1">
        <v>45397</v>
      </c>
      <c r="B2684">
        <v>3.6375000000000002</v>
      </c>
    </row>
    <row r="2685" spans="1:2" x14ac:dyDescent="0.25">
      <c r="A2685" s="1">
        <v>45398</v>
      </c>
      <c r="B2685">
        <v>4.0425000000000004</v>
      </c>
    </row>
    <row r="2686" spans="1:2" x14ac:dyDescent="0.25">
      <c r="A2686" s="1">
        <v>45399</v>
      </c>
      <c r="B2686">
        <v>3.4424999999999999</v>
      </c>
    </row>
    <row r="2687" spans="1:2" x14ac:dyDescent="0.25">
      <c r="A2687" s="1">
        <v>45400</v>
      </c>
      <c r="B2687">
        <v>3.1425000000000001</v>
      </c>
    </row>
    <row r="2688" spans="1:2" x14ac:dyDescent="0.25">
      <c r="A2688" s="1">
        <v>45401</v>
      </c>
      <c r="B2688">
        <v>3.2124999999999999</v>
      </c>
    </row>
    <row r="2689" spans="1:2" x14ac:dyDescent="0.25">
      <c r="A2689" s="1">
        <v>45404</v>
      </c>
      <c r="B2689">
        <v>2.9925000000000002</v>
      </c>
    </row>
    <row r="2690" spans="1:2" x14ac:dyDescent="0.25">
      <c r="A2690" s="1">
        <v>45405</v>
      </c>
      <c r="B2690">
        <v>3.085</v>
      </c>
    </row>
    <row r="2691" spans="1:2" x14ac:dyDescent="0.25">
      <c r="A2691" s="1">
        <v>45406</v>
      </c>
      <c r="B2691">
        <v>3.43</v>
      </c>
    </row>
    <row r="2692" spans="1:2" x14ac:dyDescent="0.25">
      <c r="A2692" s="1">
        <v>45407</v>
      </c>
      <c r="B2692">
        <v>3.3424999999999998</v>
      </c>
    </row>
    <row r="2693" spans="1:2" x14ac:dyDescent="0.25">
      <c r="A2693" s="1">
        <v>45408</v>
      </c>
      <c r="B2693">
        <v>3.32</v>
      </c>
    </row>
    <row r="2694" spans="1:2" x14ac:dyDescent="0.25">
      <c r="A2694" s="1">
        <v>45411</v>
      </c>
      <c r="B2694">
        <v>3.43</v>
      </c>
    </row>
    <row r="2695" spans="1:2" x14ac:dyDescent="0.25">
      <c r="A2695" s="1">
        <v>45412</v>
      </c>
      <c r="B2695">
        <v>3.32</v>
      </c>
    </row>
    <row r="2696" spans="1:2" x14ac:dyDescent="0.25">
      <c r="A2696" s="1">
        <v>45413</v>
      </c>
      <c r="B2696">
        <v>3.1924999999999999</v>
      </c>
    </row>
    <row r="2697" spans="1:2" x14ac:dyDescent="0.25">
      <c r="A2697" s="1">
        <v>45414</v>
      </c>
      <c r="B2697">
        <v>3.64</v>
      </c>
    </row>
    <row r="2698" spans="1:2" x14ac:dyDescent="0.25">
      <c r="A2698" s="1">
        <v>45415</v>
      </c>
      <c r="B2698">
        <v>3.855</v>
      </c>
    </row>
    <row r="2699" spans="1:2" x14ac:dyDescent="0.25">
      <c r="A2699" s="1">
        <v>45418</v>
      </c>
      <c r="B2699">
        <v>3.4350000000000001</v>
      </c>
    </row>
    <row r="2700" spans="1:2" x14ac:dyDescent="0.25">
      <c r="A2700" s="1">
        <v>45419</v>
      </c>
      <c r="B2700">
        <v>3.2124999999999999</v>
      </c>
    </row>
    <row r="2701" spans="1:2" x14ac:dyDescent="0.25">
      <c r="A2701" s="1">
        <v>45420</v>
      </c>
      <c r="B2701">
        <v>3.19</v>
      </c>
    </row>
    <row r="2702" spans="1:2" x14ac:dyDescent="0.25">
      <c r="A2702" s="1">
        <v>45421</v>
      </c>
      <c r="B2702">
        <v>3.0350000000000001</v>
      </c>
    </row>
    <row r="2703" spans="1:2" x14ac:dyDescent="0.25">
      <c r="A2703" s="1">
        <v>45422</v>
      </c>
      <c r="B2703">
        <v>3.12</v>
      </c>
    </row>
    <row r="2704" spans="1:2" x14ac:dyDescent="0.25">
      <c r="A2704" s="1">
        <v>45425</v>
      </c>
      <c r="B2704">
        <v>3.23</v>
      </c>
    </row>
    <row r="2705" spans="1:2" x14ac:dyDescent="0.25">
      <c r="A2705" s="1">
        <v>45426</v>
      </c>
      <c r="B2705">
        <v>3.2</v>
      </c>
    </row>
    <row r="2706" spans="1:2" x14ac:dyDescent="0.25">
      <c r="A2706" s="1">
        <v>45427</v>
      </c>
      <c r="B2706">
        <v>3.2374999999999998</v>
      </c>
    </row>
    <row r="2707" spans="1:2" x14ac:dyDescent="0.25">
      <c r="A2707" s="1">
        <v>45428</v>
      </c>
      <c r="B2707">
        <v>3.2324999999999999</v>
      </c>
    </row>
    <row r="2708" spans="1:2" x14ac:dyDescent="0.25">
      <c r="A2708" s="1">
        <v>45429</v>
      </c>
      <c r="B2708">
        <v>3.1875</v>
      </c>
    </row>
    <row r="2709" spans="1:2" x14ac:dyDescent="0.25">
      <c r="A2709" s="1">
        <v>45432</v>
      </c>
      <c r="B2709">
        <v>3.16</v>
      </c>
    </row>
    <row r="2710" spans="1:2" x14ac:dyDescent="0.25">
      <c r="A2710" s="1">
        <v>45433</v>
      </c>
      <c r="B2710">
        <v>3.1175000000000002</v>
      </c>
    </row>
    <row r="2711" spans="1:2" x14ac:dyDescent="0.25">
      <c r="A2711" s="1">
        <v>45434</v>
      </c>
      <c r="B2711">
        <v>3.2349999999999999</v>
      </c>
    </row>
    <row r="2712" spans="1:2" x14ac:dyDescent="0.25">
      <c r="A2712" s="1">
        <v>45435</v>
      </c>
      <c r="B2712">
        <v>3.1949999999999998</v>
      </c>
    </row>
    <row r="2713" spans="1:2" x14ac:dyDescent="0.25">
      <c r="A2713" s="1">
        <v>45436</v>
      </c>
      <c r="B2713">
        <v>3.0924999999999998</v>
      </c>
    </row>
    <row r="2714" spans="1:2" x14ac:dyDescent="0.25">
      <c r="A2714" s="1">
        <v>45439</v>
      </c>
      <c r="B2714">
        <v>3.0674999999999999</v>
      </c>
    </row>
    <row r="2715" spans="1:2" x14ac:dyDescent="0.25">
      <c r="A2715" s="1">
        <v>45440</v>
      </c>
      <c r="B2715">
        <v>3.05</v>
      </c>
    </row>
    <row r="2716" spans="1:2" x14ac:dyDescent="0.25">
      <c r="A2716" s="1">
        <v>45441</v>
      </c>
      <c r="B2716">
        <v>3.335</v>
      </c>
    </row>
    <row r="2717" spans="1:2" x14ac:dyDescent="0.25">
      <c r="A2717" s="1">
        <v>45442</v>
      </c>
      <c r="B2717">
        <v>3.2974999999999999</v>
      </c>
    </row>
    <row r="2718" spans="1:2" x14ac:dyDescent="0.25">
      <c r="A2718" s="1">
        <v>45443</v>
      </c>
      <c r="B2718">
        <v>3.1875</v>
      </c>
    </row>
    <row r="2719" spans="1:2" x14ac:dyDescent="0.25">
      <c r="A2719" s="1">
        <v>45446</v>
      </c>
      <c r="B2719">
        <v>3.1949999999999998</v>
      </c>
    </row>
    <row r="2720" spans="1:2" x14ac:dyDescent="0.25">
      <c r="A2720" s="1">
        <v>45447</v>
      </c>
      <c r="B2720">
        <v>3.2825000000000002</v>
      </c>
    </row>
    <row r="2721" spans="1:2" x14ac:dyDescent="0.25">
      <c r="A2721" s="1">
        <v>45448</v>
      </c>
      <c r="B2721">
        <v>3.3125</v>
      </c>
    </row>
    <row r="2722" spans="1:2" x14ac:dyDescent="0.25">
      <c r="A2722" s="1">
        <v>45449</v>
      </c>
      <c r="B2722">
        <v>3.3275000000000001</v>
      </c>
    </row>
    <row r="2723" spans="1:2" x14ac:dyDescent="0.25">
      <c r="A2723" s="1">
        <v>45450</v>
      </c>
      <c r="B2723">
        <v>3.31</v>
      </c>
    </row>
    <row r="2724" spans="1:2" x14ac:dyDescent="0.25">
      <c r="A2724" s="1">
        <v>45453</v>
      </c>
      <c r="B2724">
        <v>3.4249999999999998</v>
      </c>
    </row>
    <row r="2725" spans="1:2" x14ac:dyDescent="0.25">
      <c r="A2725" s="1">
        <v>45454</v>
      </c>
      <c r="B2725">
        <v>3.375</v>
      </c>
    </row>
    <row r="2726" spans="1:2" x14ac:dyDescent="0.25">
      <c r="A2726" s="1">
        <v>45455</v>
      </c>
      <c r="B2726">
        <v>3.2349999999999999</v>
      </c>
    </row>
    <row r="2727" spans="1:2" x14ac:dyDescent="0.25">
      <c r="A2727" s="1">
        <v>45456</v>
      </c>
      <c r="B2727">
        <v>2.9449999999999998</v>
      </c>
    </row>
    <row r="2728" spans="1:2" x14ac:dyDescent="0.25">
      <c r="A2728" s="1">
        <v>45457</v>
      </c>
      <c r="B2728">
        <v>3.0375000000000001</v>
      </c>
    </row>
    <row r="2729" spans="1:2" x14ac:dyDescent="0.25">
      <c r="A2729" s="1">
        <v>45460</v>
      </c>
      <c r="B2729">
        <v>2.9624999999999999</v>
      </c>
    </row>
    <row r="2730" spans="1:2" x14ac:dyDescent="0.25">
      <c r="A2730" s="1">
        <v>45461</v>
      </c>
      <c r="B2730">
        <v>2.91</v>
      </c>
    </row>
    <row r="2731" spans="1:2" x14ac:dyDescent="0.25">
      <c r="A2731" s="1">
        <v>45462</v>
      </c>
      <c r="B2731">
        <v>2.92</v>
      </c>
    </row>
    <row r="2732" spans="1:2" x14ac:dyDescent="0.25">
      <c r="A2732" s="1">
        <v>45463</v>
      </c>
      <c r="B2732">
        <v>3.39</v>
      </c>
    </row>
    <row r="2733" spans="1:2" x14ac:dyDescent="0.25">
      <c r="A2733" s="1">
        <v>45464</v>
      </c>
      <c r="B2733">
        <v>3.19</v>
      </c>
    </row>
    <row r="2734" spans="1:2" x14ac:dyDescent="0.25">
      <c r="A2734" s="1">
        <v>45467</v>
      </c>
      <c r="B2734">
        <v>3.1225000000000001</v>
      </c>
    </row>
    <row r="2735" spans="1:2" x14ac:dyDescent="0.25">
      <c r="A2735" s="1">
        <v>45468</v>
      </c>
      <c r="B2735">
        <v>3.16</v>
      </c>
    </row>
    <row r="2736" spans="1:2" x14ac:dyDescent="0.25">
      <c r="A2736" s="1">
        <v>45469</v>
      </c>
      <c r="B2736">
        <v>3.3374999999999999</v>
      </c>
    </row>
    <row r="2737" spans="1:2" x14ac:dyDescent="0.25">
      <c r="A2737" s="1">
        <v>45470</v>
      </c>
      <c r="B2737">
        <v>3.27</v>
      </c>
    </row>
    <row r="2738" spans="1:2" x14ac:dyDescent="0.25">
      <c r="A2738" s="1">
        <v>45471</v>
      </c>
      <c r="B2738">
        <v>3.2374999999999998</v>
      </c>
    </row>
    <row r="2739" spans="1:2" x14ac:dyDescent="0.25">
      <c r="A2739" s="1">
        <v>45474</v>
      </c>
      <c r="B2739">
        <v>3.1825000000000001</v>
      </c>
    </row>
    <row r="2740" spans="1:2" x14ac:dyDescent="0.25">
      <c r="A2740" s="1">
        <v>45475</v>
      </c>
      <c r="B2740">
        <v>3.1675</v>
      </c>
    </row>
    <row r="2741" spans="1:2" x14ac:dyDescent="0.25">
      <c r="A2741" s="1">
        <v>45476</v>
      </c>
      <c r="B2741">
        <v>3.09</v>
      </c>
    </row>
    <row r="2742" spans="1:2" x14ac:dyDescent="0.25">
      <c r="A2742" s="1">
        <v>45477</v>
      </c>
      <c r="B2742">
        <v>3.085</v>
      </c>
    </row>
    <row r="2743" spans="1:2" x14ac:dyDescent="0.25">
      <c r="A2743" s="1">
        <v>45478</v>
      </c>
      <c r="B2743">
        <v>3.0550000000000002</v>
      </c>
    </row>
    <row r="2744" spans="1:2" x14ac:dyDescent="0.25">
      <c r="A2744" s="1">
        <v>45481</v>
      </c>
      <c r="B2744">
        <v>3.02</v>
      </c>
    </row>
    <row r="2745" spans="1:2" x14ac:dyDescent="0.25">
      <c r="A2745" s="1">
        <v>45482</v>
      </c>
      <c r="B2745">
        <v>2.9449999999999998</v>
      </c>
    </row>
    <row r="2746" spans="1:2" x14ac:dyDescent="0.25">
      <c r="A2746" s="1">
        <v>45483</v>
      </c>
      <c r="B2746">
        <v>2.91</v>
      </c>
    </row>
    <row r="2747" spans="1:2" x14ac:dyDescent="0.25">
      <c r="A2747" s="1">
        <v>45484</v>
      </c>
      <c r="B2747">
        <v>3.04</v>
      </c>
    </row>
    <row r="2748" spans="1:2" x14ac:dyDescent="0.25">
      <c r="A2748" s="1">
        <v>45485</v>
      </c>
      <c r="B2748">
        <v>2.9350000000000001</v>
      </c>
    </row>
    <row r="2749" spans="1:2" x14ac:dyDescent="0.25">
      <c r="A2749" s="1">
        <v>45488</v>
      </c>
      <c r="B2749">
        <v>3.02</v>
      </c>
    </row>
    <row r="2750" spans="1:2" x14ac:dyDescent="0.25">
      <c r="A2750" s="1">
        <v>45489</v>
      </c>
      <c r="B2750">
        <v>3.0150000000000001</v>
      </c>
    </row>
    <row r="2751" spans="1:2" x14ac:dyDescent="0.25">
      <c r="A2751" s="1">
        <v>45490</v>
      </c>
      <c r="B2751">
        <v>3.22</v>
      </c>
    </row>
    <row r="2752" spans="1:2" x14ac:dyDescent="0.25">
      <c r="A2752" s="1">
        <v>45491</v>
      </c>
      <c r="B2752">
        <v>3.18</v>
      </c>
    </row>
    <row r="2753" spans="1:2" x14ac:dyDescent="0.25">
      <c r="A2753" s="1">
        <v>45492</v>
      </c>
      <c r="B2753">
        <v>3.21</v>
      </c>
    </row>
    <row r="2754" spans="1:2" x14ac:dyDescent="0.25">
      <c r="A2754" s="1">
        <v>45495</v>
      </c>
      <c r="B2754">
        <v>3.165</v>
      </c>
    </row>
    <row r="2755" spans="1:2" x14ac:dyDescent="0.25">
      <c r="A2755" s="1">
        <v>45496</v>
      </c>
      <c r="B2755">
        <v>3.0150000000000001</v>
      </c>
    </row>
    <row r="2756" spans="1:2" x14ac:dyDescent="0.25">
      <c r="A2756" s="1">
        <v>45497</v>
      </c>
      <c r="B2756">
        <v>3.3574999999999999</v>
      </c>
    </row>
    <row r="2757" spans="1:2" x14ac:dyDescent="0.25">
      <c r="A2757" s="1">
        <v>45498</v>
      </c>
      <c r="B2757">
        <v>4.1475</v>
      </c>
    </row>
    <row r="2758" spans="1:2" x14ac:dyDescent="0.25">
      <c r="A2758" s="1">
        <v>45499</v>
      </c>
      <c r="B2758">
        <v>3.53</v>
      </c>
    </row>
    <row r="2759" spans="1:2" x14ac:dyDescent="0.25">
      <c r="A2759" s="1">
        <v>45502</v>
      </c>
      <c r="B2759">
        <v>3.4649999999999999</v>
      </c>
    </row>
    <row r="2760" spans="1:2" x14ac:dyDescent="0.25">
      <c r="A2760" s="1">
        <v>45503</v>
      </c>
      <c r="B2760">
        <v>3.7949999999999999</v>
      </c>
    </row>
    <row r="2761" spans="1:2" x14ac:dyDescent="0.25">
      <c r="A2761" s="1">
        <v>45504</v>
      </c>
      <c r="B2761">
        <v>4.6349999999999998</v>
      </c>
    </row>
    <row r="2762" spans="1:2" x14ac:dyDescent="0.25">
      <c r="A2762" s="1">
        <v>45505</v>
      </c>
      <c r="B2762">
        <v>4.0525000000000002</v>
      </c>
    </row>
    <row r="2763" spans="1:2" x14ac:dyDescent="0.25">
      <c r="A2763" s="1">
        <v>45506</v>
      </c>
      <c r="B2763">
        <v>5.3624999999999998</v>
      </c>
    </row>
    <row r="2764" spans="1:2" x14ac:dyDescent="0.25">
      <c r="A2764" s="1">
        <v>45509</v>
      </c>
      <c r="B2764">
        <v>6.85</v>
      </c>
    </row>
    <row r="2765" spans="1:2" x14ac:dyDescent="0.25">
      <c r="A2765" s="1">
        <v>45510</v>
      </c>
      <c r="B2765">
        <v>5.6275000000000004</v>
      </c>
    </row>
    <row r="2766" spans="1:2" x14ac:dyDescent="0.25">
      <c r="A2766" s="1">
        <v>45511</v>
      </c>
      <c r="B2766">
        <v>5.3775000000000004</v>
      </c>
    </row>
    <row r="2767" spans="1:2" x14ac:dyDescent="0.25">
      <c r="A2767" s="1">
        <v>45512</v>
      </c>
      <c r="B2767">
        <v>5.4775</v>
      </c>
    </row>
    <row r="2768" spans="1:2" x14ac:dyDescent="0.25">
      <c r="A2768" s="1">
        <v>45513</v>
      </c>
      <c r="B2768">
        <v>5.2424999999999997</v>
      </c>
    </row>
    <row r="2769" spans="1:2" x14ac:dyDescent="0.25">
      <c r="A2769" s="1">
        <v>45516</v>
      </c>
      <c r="B2769">
        <v>5.1375000000000002</v>
      </c>
    </row>
    <row r="2770" spans="1:2" x14ac:dyDescent="0.25">
      <c r="A2770" s="1">
        <v>45517</v>
      </c>
      <c r="B2770">
        <v>5.2024999999999997</v>
      </c>
    </row>
    <row r="2771" spans="1:2" x14ac:dyDescent="0.25">
      <c r="A2771" s="1">
        <v>45518</v>
      </c>
      <c r="B2771">
        <v>5.2874999999999996</v>
      </c>
    </row>
    <row r="2772" spans="1:2" x14ac:dyDescent="0.25">
      <c r="A2772" s="1">
        <v>45519</v>
      </c>
      <c r="B2772">
        <v>4.9024999999999999</v>
      </c>
    </row>
    <row r="2773" spans="1:2" x14ac:dyDescent="0.25">
      <c r="A2773" s="1">
        <v>45520</v>
      </c>
      <c r="B2773">
        <v>4.7024999999999997</v>
      </c>
    </row>
    <row r="2774" spans="1:2" x14ac:dyDescent="0.25">
      <c r="A2774" s="1">
        <v>45523</v>
      </c>
      <c r="B2774">
        <v>5.2874999999999996</v>
      </c>
    </row>
    <row r="2775" spans="1:2" x14ac:dyDescent="0.25">
      <c r="A2775" s="1">
        <v>45524</v>
      </c>
      <c r="B2775">
        <v>5.4775</v>
      </c>
    </row>
    <row r="2776" spans="1:2" x14ac:dyDescent="0.25">
      <c r="A2776" s="1">
        <v>45525</v>
      </c>
      <c r="B2776">
        <v>5.4974999999999996</v>
      </c>
    </row>
    <row r="2777" spans="1:2" x14ac:dyDescent="0.25">
      <c r="A2777" s="1">
        <v>45526</v>
      </c>
      <c r="B2777">
        <v>5.125</v>
      </c>
    </row>
    <row r="2778" spans="1:2" x14ac:dyDescent="0.25">
      <c r="A2778" s="1">
        <v>45527</v>
      </c>
      <c r="B2778">
        <v>5.2225000000000001</v>
      </c>
    </row>
    <row r="2779" spans="1:2" x14ac:dyDescent="0.25">
      <c r="A2779" s="1">
        <v>45530</v>
      </c>
      <c r="B2779">
        <v>5.2374999999999998</v>
      </c>
    </row>
    <row r="2780" spans="1:2" x14ac:dyDescent="0.25">
      <c r="A2780" s="1">
        <v>45531</v>
      </c>
      <c r="B2780">
        <v>5.1275000000000004</v>
      </c>
    </row>
    <row r="2781" spans="1:2" x14ac:dyDescent="0.25">
      <c r="A2781" s="1">
        <v>45532</v>
      </c>
      <c r="B2781">
        <v>5.0674999999999999</v>
      </c>
    </row>
    <row r="2782" spans="1:2" x14ac:dyDescent="0.25">
      <c r="A2782" s="1">
        <v>45533</v>
      </c>
      <c r="B2782">
        <v>5.625</v>
      </c>
    </row>
    <row r="2783" spans="1:2" x14ac:dyDescent="0.25">
      <c r="A2783" s="1">
        <v>45534</v>
      </c>
      <c r="B2783">
        <v>5.58</v>
      </c>
    </row>
    <row r="2784" spans="1:2" x14ac:dyDescent="0.25">
      <c r="A2784" s="1">
        <v>45537</v>
      </c>
      <c r="B2784">
        <v>5.2874999999999996</v>
      </c>
    </row>
    <row r="2785" spans="1:2" x14ac:dyDescent="0.25">
      <c r="A2785" s="1">
        <v>45538</v>
      </c>
      <c r="B2785">
        <v>5.3875000000000002</v>
      </c>
    </row>
    <row r="2786" spans="1:2" x14ac:dyDescent="0.25">
      <c r="A2786" s="1">
        <v>45539</v>
      </c>
      <c r="B2786">
        <v>5.4050000000000002</v>
      </c>
    </row>
    <row r="2787" spans="1:2" x14ac:dyDescent="0.25">
      <c r="A2787" s="1">
        <v>45540</v>
      </c>
      <c r="B2787">
        <v>5.3574999999999999</v>
      </c>
    </row>
    <row r="2788" spans="1:2" x14ac:dyDescent="0.25">
      <c r="A2788" s="1">
        <v>45541</v>
      </c>
      <c r="B2788">
        <v>5.0350000000000001</v>
      </c>
    </row>
    <row r="2789" spans="1:2" x14ac:dyDescent="0.25">
      <c r="A2789" s="1">
        <v>45544</v>
      </c>
      <c r="B2789">
        <v>5.0525000000000002</v>
      </c>
    </row>
    <row r="2790" spans="1:2" x14ac:dyDescent="0.25">
      <c r="A2790" s="1">
        <v>45545</v>
      </c>
      <c r="B2790">
        <v>5.2549999999999999</v>
      </c>
    </row>
    <row r="2791" spans="1:2" x14ac:dyDescent="0.25">
      <c r="A2791" s="1">
        <v>45546</v>
      </c>
      <c r="B2791">
        <v>5.1050000000000004</v>
      </c>
    </row>
    <row r="2792" spans="1:2" x14ac:dyDescent="0.25">
      <c r="A2792" s="1">
        <v>45547</v>
      </c>
      <c r="B2792">
        <v>4.6624999999999996</v>
      </c>
    </row>
    <row r="2793" spans="1:2" x14ac:dyDescent="0.25">
      <c r="A2793" s="1">
        <v>45548</v>
      </c>
      <c r="B2793">
        <v>4.9074999999999998</v>
      </c>
    </row>
    <row r="2794" spans="1:2" x14ac:dyDescent="0.25">
      <c r="A2794" s="1">
        <v>45551</v>
      </c>
      <c r="B2794">
        <v>5.0449999999999999</v>
      </c>
    </row>
    <row r="2795" spans="1:2" x14ac:dyDescent="0.25">
      <c r="A2795" s="1">
        <v>45552</v>
      </c>
      <c r="B2795">
        <v>4.9550000000000001</v>
      </c>
    </row>
    <row r="2796" spans="1:2" x14ac:dyDescent="0.25">
      <c r="A2796" s="1">
        <v>45553</v>
      </c>
      <c r="B2796">
        <v>4.9325000000000001</v>
      </c>
    </row>
    <row r="2797" spans="1:2" x14ac:dyDescent="0.25">
      <c r="A2797" s="1">
        <v>45554</v>
      </c>
      <c r="B2797">
        <v>5.0025000000000004</v>
      </c>
    </row>
    <row r="2798" spans="1:2" x14ac:dyDescent="0.25">
      <c r="A2798" s="1">
        <v>45555</v>
      </c>
      <c r="B2798">
        <v>5.0724999999999998</v>
      </c>
    </row>
    <row r="2799" spans="1:2" x14ac:dyDescent="0.25">
      <c r="A2799" s="1">
        <v>45558</v>
      </c>
      <c r="B2799">
        <v>5.0774999999999997</v>
      </c>
    </row>
    <row r="2800" spans="1:2" x14ac:dyDescent="0.25">
      <c r="A2800" s="1">
        <v>45559</v>
      </c>
      <c r="B2800">
        <v>5.5025000000000004</v>
      </c>
    </row>
    <row r="2801" spans="1:2" x14ac:dyDescent="0.25">
      <c r="A2801" s="1">
        <v>45560</v>
      </c>
      <c r="B2801">
        <v>5.4625000000000004</v>
      </c>
    </row>
    <row r="2802" spans="1:2" x14ac:dyDescent="0.25">
      <c r="A2802" s="1">
        <v>45561</v>
      </c>
      <c r="B2802">
        <v>5.9850000000000003</v>
      </c>
    </row>
    <row r="2803" spans="1:2" x14ac:dyDescent="0.25">
      <c r="A2803" s="1">
        <v>45562</v>
      </c>
      <c r="B2803">
        <v>6.7949999999999999</v>
      </c>
    </row>
    <row r="2804" spans="1:2" x14ac:dyDescent="0.25">
      <c r="A2804" s="1">
        <v>45565</v>
      </c>
      <c r="B2804">
        <v>6.8475000000000001</v>
      </c>
    </row>
    <row r="2805" spans="1:2" x14ac:dyDescent="0.25">
      <c r="A2805" s="1">
        <v>45566</v>
      </c>
      <c r="B2805">
        <v>7.0449999999999999</v>
      </c>
    </row>
    <row r="2806" spans="1:2" x14ac:dyDescent="0.25">
      <c r="A2806" s="1">
        <v>45567</v>
      </c>
      <c r="B2806">
        <v>7.4325000000000001</v>
      </c>
    </row>
    <row r="2807" spans="1:2" x14ac:dyDescent="0.25">
      <c r="A2807" s="1">
        <v>45568</v>
      </c>
      <c r="B2807">
        <v>7.57</v>
      </c>
    </row>
    <row r="2808" spans="1:2" x14ac:dyDescent="0.25">
      <c r="A2808" s="1">
        <v>45569</v>
      </c>
      <c r="B2808">
        <v>7.79</v>
      </c>
    </row>
    <row r="2809" spans="1:2" x14ac:dyDescent="0.25">
      <c r="A2809" s="1">
        <v>45572</v>
      </c>
      <c r="B2809">
        <v>7.9874999999999998</v>
      </c>
    </row>
    <row r="2810" spans="1:2" x14ac:dyDescent="0.25">
      <c r="A2810" s="1">
        <v>45573</v>
      </c>
      <c r="B2810">
        <v>7.9675000000000002</v>
      </c>
    </row>
    <row r="2811" spans="1:2" x14ac:dyDescent="0.25">
      <c r="A2811" s="1">
        <v>45574</v>
      </c>
      <c r="B2811">
        <v>8.0175000000000001</v>
      </c>
    </row>
    <row r="2812" spans="1:2" x14ac:dyDescent="0.25">
      <c r="A2812" s="1">
        <v>45575</v>
      </c>
      <c r="B2812">
        <v>8.1024999999999991</v>
      </c>
    </row>
    <row r="2813" spans="1:2" x14ac:dyDescent="0.25">
      <c r="A2813" s="1">
        <v>45576</v>
      </c>
      <c r="B2813">
        <v>8.2349999999999994</v>
      </c>
    </row>
    <row r="2814" spans="1:2" x14ac:dyDescent="0.25">
      <c r="A2814" s="1">
        <v>45579</v>
      </c>
      <c r="B2814">
        <v>8.02</v>
      </c>
    </row>
    <row r="2815" spans="1:2" x14ac:dyDescent="0.25">
      <c r="A2815" s="1">
        <v>45580</v>
      </c>
      <c r="B2815">
        <v>8.1875</v>
      </c>
    </row>
    <row r="2816" spans="1:2" x14ac:dyDescent="0.25">
      <c r="A2816" s="1">
        <v>45581</v>
      </c>
      <c r="B2816">
        <v>8.3224999999999998</v>
      </c>
    </row>
    <row r="2817" spans="1:2" x14ac:dyDescent="0.25">
      <c r="A2817" s="1">
        <v>45582</v>
      </c>
      <c r="B2817">
        <v>8.2174999999999994</v>
      </c>
    </row>
    <row r="2818" spans="1:2" x14ac:dyDescent="0.25">
      <c r="A2818" s="1">
        <v>45583</v>
      </c>
      <c r="B2818">
        <v>8.1349999999999998</v>
      </c>
    </row>
    <row r="2819" spans="1:2" x14ac:dyDescent="0.25">
      <c r="A2819" s="1">
        <v>45586</v>
      </c>
      <c r="B2819">
        <v>8.2650000000000006</v>
      </c>
    </row>
    <row r="2820" spans="1:2" x14ac:dyDescent="0.25">
      <c r="A2820" s="1">
        <v>45587</v>
      </c>
      <c r="B2820">
        <v>8.31</v>
      </c>
    </row>
    <row r="2821" spans="1:2" x14ac:dyDescent="0.25">
      <c r="A2821" s="1">
        <v>45588</v>
      </c>
      <c r="B2821">
        <v>8.2650000000000006</v>
      </c>
    </row>
    <row r="2822" spans="1:2" x14ac:dyDescent="0.25">
      <c r="A2822" s="1">
        <v>45589</v>
      </c>
      <c r="B2822">
        <v>7.8475000000000001</v>
      </c>
    </row>
    <row r="2823" spans="1:2" x14ac:dyDescent="0.25">
      <c r="A2823" s="1">
        <v>45590</v>
      </c>
      <c r="B2823">
        <v>8.0425000000000004</v>
      </c>
    </row>
    <row r="2824" spans="1:2" x14ac:dyDescent="0.25">
      <c r="A2824" s="1">
        <v>45593</v>
      </c>
      <c r="B2824">
        <v>8.49</v>
      </c>
    </row>
    <row r="2825" spans="1:2" x14ac:dyDescent="0.25">
      <c r="A2825" s="1">
        <v>45594</v>
      </c>
      <c r="B2825">
        <v>9.1174999999999997</v>
      </c>
    </row>
    <row r="2826" spans="1:2" x14ac:dyDescent="0.25">
      <c r="A2826" s="1">
        <v>45595</v>
      </c>
      <c r="B2826">
        <v>9.1649999999999991</v>
      </c>
    </row>
    <row r="2827" spans="1:2" x14ac:dyDescent="0.25">
      <c r="A2827" s="1">
        <v>45596</v>
      </c>
      <c r="B2827">
        <v>8.69</v>
      </c>
    </row>
    <row r="2828" spans="1:2" x14ac:dyDescent="0.25">
      <c r="A2828" s="1">
        <v>45597</v>
      </c>
      <c r="B2828">
        <v>8.5525000000000002</v>
      </c>
    </row>
    <row r="2829" spans="1:2" x14ac:dyDescent="0.25">
      <c r="A2829" s="1">
        <v>45600</v>
      </c>
      <c r="B2829">
        <v>8.8175000000000008</v>
      </c>
    </row>
    <row r="2830" spans="1:2" x14ac:dyDescent="0.25">
      <c r="A2830" s="1">
        <v>45601</v>
      </c>
      <c r="B2830">
        <v>8.8949999999999996</v>
      </c>
    </row>
    <row r="2831" spans="1:2" x14ac:dyDescent="0.25">
      <c r="A2831" s="1">
        <v>45602</v>
      </c>
      <c r="B2831">
        <v>6.7925000000000004</v>
      </c>
    </row>
    <row r="2832" spans="1:2" x14ac:dyDescent="0.25">
      <c r="A2832" s="1">
        <v>45603</v>
      </c>
      <c r="B2832">
        <v>6.5</v>
      </c>
    </row>
    <row r="2833" spans="1:2" x14ac:dyDescent="0.25">
      <c r="A2833" s="1">
        <v>45604</v>
      </c>
      <c r="B2833">
        <v>6.23</v>
      </c>
    </row>
    <row r="2834" spans="1:2" x14ac:dyDescent="0.25">
      <c r="A2834" s="1">
        <v>45607</v>
      </c>
      <c r="B2834">
        <v>6.415</v>
      </c>
    </row>
    <row r="2835" spans="1:2" x14ac:dyDescent="0.25">
      <c r="A2835" s="1">
        <v>45608</v>
      </c>
      <c r="B2835">
        <v>6.16</v>
      </c>
    </row>
    <row r="2836" spans="1:2" x14ac:dyDescent="0.25">
      <c r="A2836" s="1">
        <v>45609</v>
      </c>
      <c r="B2836">
        <v>5.7324999999999999</v>
      </c>
    </row>
    <row r="2837" spans="1:2" x14ac:dyDescent="0.25">
      <c r="A2837" s="1">
        <v>45610</v>
      </c>
      <c r="B2837">
        <v>5.3775000000000004</v>
      </c>
    </row>
    <row r="2838" spans="1:2" x14ac:dyDescent="0.25">
      <c r="A2838" s="1">
        <v>45611</v>
      </c>
      <c r="B2838">
        <v>5.31</v>
      </c>
    </row>
    <row r="2839" spans="1:2" x14ac:dyDescent="0.25">
      <c r="A2839" s="1">
        <v>45614</v>
      </c>
      <c r="B2839">
        <v>4.9800000000000004</v>
      </c>
    </row>
    <row r="2840" spans="1:2" x14ac:dyDescent="0.25">
      <c r="A2840" s="1">
        <v>45615</v>
      </c>
      <c r="B2840">
        <v>4.8899999999999997</v>
      </c>
    </row>
    <row r="2841" spans="1:2" x14ac:dyDescent="0.25">
      <c r="A2841" s="1">
        <v>45616</v>
      </c>
      <c r="B2841">
        <v>4.7774999999999999</v>
      </c>
    </row>
    <row r="2842" spans="1:2" x14ac:dyDescent="0.25">
      <c r="A2842" s="1">
        <v>45617</v>
      </c>
      <c r="B2842">
        <v>4.68</v>
      </c>
    </row>
    <row r="2843" spans="1:2" x14ac:dyDescent="0.25">
      <c r="A2843" s="1">
        <v>45618</v>
      </c>
      <c r="B2843">
        <v>4.8475000000000001</v>
      </c>
    </row>
    <row r="2844" spans="1:2" x14ac:dyDescent="0.25">
      <c r="A2844" s="1">
        <v>45621</v>
      </c>
      <c r="B2844">
        <v>4.63</v>
      </c>
    </row>
    <row r="2845" spans="1:2" x14ac:dyDescent="0.25">
      <c r="A2845" s="1">
        <v>45622</v>
      </c>
      <c r="B2845">
        <v>4.6550000000000002</v>
      </c>
    </row>
    <row r="2846" spans="1:2" x14ac:dyDescent="0.25">
      <c r="A2846" s="1">
        <v>45623</v>
      </c>
      <c r="B2846">
        <v>4.625</v>
      </c>
    </row>
    <row r="2847" spans="1:2" x14ac:dyDescent="0.25">
      <c r="A2847" s="1">
        <v>45624</v>
      </c>
      <c r="B2847">
        <v>4.3574999999999999</v>
      </c>
    </row>
    <row r="2848" spans="1:2" x14ac:dyDescent="0.25">
      <c r="A2848" s="1">
        <v>45625</v>
      </c>
      <c r="B2848">
        <v>4.3224999999999998</v>
      </c>
    </row>
    <row r="2849" spans="1:2" x14ac:dyDescent="0.25">
      <c r="A2849" s="1">
        <v>45628</v>
      </c>
      <c r="B2849">
        <v>4.6775000000000002</v>
      </c>
    </row>
    <row r="2850" spans="1:2" x14ac:dyDescent="0.25">
      <c r="A2850" s="1">
        <v>45629</v>
      </c>
      <c r="B2850">
        <v>5.18</v>
      </c>
    </row>
    <row r="2851" spans="1:2" x14ac:dyDescent="0.25">
      <c r="A2851" s="1">
        <v>45630</v>
      </c>
      <c r="B2851">
        <v>4.9124999999999996</v>
      </c>
    </row>
    <row r="2852" spans="1:2" x14ac:dyDescent="0.25">
      <c r="A2852" s="1">
        <v>45631</v>
      </c>
      <c r="B2852">
        <v>4.7525000000000004</v>
      </c>
    </row>
    <row r="2853" spans="1:2" x14ac:dyDescent="0.25">
      <c r="A2853" s="1">
        <v>45632</v>
      </c>
      <c r="B2853">
        <v>4.6624999999999996</v>
      </c>
    </row>
    <row r="2854" spans="1:2" x14ac:dyDescent="0.25">
      <c r="A2854" s="1">
        <v>45635</v>
      </c>
      <c r="B2854">
        <v>4.8849999999999998</v>
      </c>
    </row>
    <row r="2855" spans="1:2" x14ac:dyDescent="0.25">
      <c r="A2855" s="1">
        <v>45636</v>
      </c>
      <c r="B2855">
        <v>5.0225</v>
      </c>
    </row>
    <row r="2856" spans="1:2" x14ac:dyDescent="0.25">
      <c r="A2856" s="1">
        <v>45637</v>
      </c>
      <c r="B2856">
        <v>4.9249999999999998</v>
      </c>
    </row>
    <row r="2857" spans="1:2" x14ac:dyDescent="0.25">
      <c r="A2857" s="1">
        <v>45638</v>
      </c>
      <c r="B2857">
        <v>4.8925000000000001</v>
      </c>
    </row>
    <row r="2858" spans="1:2" x14ac:dyDescent="0.25">
      <c r="A2858" s="1">
        <v>45639</v>
      </c>
      <c r="B2858">
        <v>4.7</v>
      </c>
    </row>
    <row r="2859" spans="1:2" x14ac:dyDescent="0.25">
      <c r="A2859" s="1">
        <v>45642</v>
      </c>
      <c r="B2859">
        <v>4.88</v>
      </c>
    </row>
    <row r="2860" spans="1:2" x14ac:dyDescent="0.25">
      <c r="A2860" s="1">
        <v>45643</v>
      </c>
      <c r="B2860">
        <v>4.8274999999999997</v>
      </c>
    </row>
    <row r="2861" spans="1:2" x14ac:dyDescent="0.25">
      <c r="A2861" s="1">
        <v>45644</v>
      </c>
      <c r="B2861">
        <v>4.9524999999999997</v>
      </c>
    </row>
    <row r="2862" spans="1:2" x14ac:dyDescent="0.25">
      <c r="A2862" s="1">
        <v>45645</v>
      </c>
      <c r="B2862">
        <v>5.085</v>
      </c>
    </row>
    <row r="2863" spans="1:2" x14ac:dyDescent="0.25">
      <c r="A2863" s="1">
        <v>45646</v>
      </c>
      <c r="B2863">
        <v>5.1150000000000002</v>
      </c>
    </row>
    <row r="2864" spans="1:2" x14ac:dyDescent="0.25">
      <c r="A2864" s="1">
        <v>45649</v>
      </c>
      <c r="B2864">
        <v>5.4649999999999999</v>
      </c>
    </row>
    <row r="2865" spans="1:2" x14ac:dyDescent="0.25">
      <c r="A2865" s="1">
        <v>45650</v>
      </c>
      <c r="B2865">
        <v>5.4225000000000003</v>
      </c>
    </row>
    <row r="2866" spans="1:2" x14ac:dyDescent="0.25">
      <c r="A2866" s="1">
        <v>45651</v>
      </c>
      <c r="B2866">
        <v>5.4749999999999996</v>
      </c>
    </row>
    <row r="2867" spans="1:2" x14ac:dyDescent="0.25">
      <c r="A2867" s="1">
        <v>45652</v>
      </c>
      <c r="B2867">
        <v>5.5125000000000002</v>
      </c>
    </row>
    <row r="2868" spans="1:2" x14ac:dyDescent="0.25">
      <c r="A2868" s="1">
        <v>45653</v>
      </c>
      <c r="B2868">
        <v>5.3825000000000003</v>
      </c>
    </row>
    <row r="2869" spans="1:2" x14ac:dyDescent="0.25">
      <c r="A2869" s="1">
        <v>45656</v>
      </c>
      <c r="B2869">
        <v>5.5350000000000001</v>
      </c>
    </row>
    <row r="2870" spans="1:2" x14ac:dyDescent="0.25">
      <c r="A2870" s="1">
        <v>45657</v>
      </c>
      <c r="B2870">
        <v>5.9550000000000001</v>
      </c>
    </row>
    <row r="2871" spans="1:2" x14ac:dyDescent="0.25">
      <c r="A2871" s="1">
        <v>45658</v>
      </c>
      <c r="B2871">
        <v>6.03</v>
      </c>
    </row>
    <row r="2872" spans="1:2" x14ac:dyDescent="0.25">
      <c r="A2872" s="1">
        <v>45659</v>
      </c>
      <c r="B2872">
        <v>5.3025000000000002</v>
      </c>
    </row>
    <row r="2873" spans="1:2" x14ac:dyDescent="0.25">
      <c r="A2873" s="1">
        <v>45660</v>
      </c>
      <c r="B2873">
        <v>6.05</v>
      </c>
    </row>
    <row r="2874" spans="1:2" x14ac:dyDescent="0.25">
      <c r="A2874" s="1">
        <v>45663</v>
      </c>
      <c r="B2874">
        <v>5.96</v>
      </c>
    </row>
    <row r="2875" spans="1:2" x14ac:dyDescent="0.25">
      <c r="A2875" s="1">
        <v>45664</v>
      </c>
      <c r="B2875">
        <v>5.53</v>
      </c>
    </row>
    <row r="2876" spans="1:2" x14ac:dyDescent="0.25">
      <c r="A2876" s="1">
        <v>45665</v>
      </c>
      <c r="B2876">
        <v>5.75</v>
      </c>
    </row>
    <row r="2877" spans="1:2" x14ac:dyDescent="0.25">
      <c r="A2877" s="1">
        <v>45666</v>
      </c>
      <c r="B2877">
        <v>5.91</v>
      </c>
    </row>
    <row r="2878" spans="1:2" x14ac:dyDescent="0.25">
      <c r="A2878" s="1">
        <v>45667</v>
      </c>
      <c r="B2878">
        <v>6.0449999999999999</v>
      </c>
    </row>
    <row r="2879" spans="1:2" x14ac:dyDescent="0.25">
      <c r="A2879" s="1">
        <v>45670</v>
      </c>
      <c r="B2879">
        <v>6.1174999999999997</v>
      </c>
    </row>
    <row r="2880" spans="1:2" x14ac:dyDescent="0.25">
      <c r="A2880" s="1">
        <v>45671</v>
      </c>
      <c r="B2880">
        <v>5.9574999999999996</v>
      </c>
    </row>
    <row r="2881" spans="1:2" x14ac:dyDescent="0.25">
      <c r="A2881" s="1">
        <v>45672</v>
      </c>
      <c r="B2881">
        <v>5.9175000000000004</v>
      </c>
    </row>
    <row r="2882" spans="1:2" x14ac:dyDescent="0.25">
      <c r="A2882" s="1">
        <v>45673</v>
      </c>
      <c r="B2882">
        <v>5.9649999999999999</v>
      </c>
    </row>
    <row r="2883" spans="1:2" x14ac:dyDescent="0.25">
      <c r="A2883" s="1">
        <v>45674</v>
      </c>
      <c r="B2883">
        <v>6.25</v>
      </c>
    </row>
    <row r="2884" spans="1:2" x14ac:dyDescent="0.25">
      <c r="A2884" s="1">
        <v>45677</v>
      </c>
      <c r="B2884">
        <v>6.2225000000000001</v>
      </c>
    </row>
    <row r="2885" spans="1:2" x14ac:dyDescent="0.25">
      <c r="A2885" s="1">
        <v>45678</v>
      </c>
      <c r="B2885">
        <v>5.36</v>
      </c>
    </row>
    <row r="2886" spans="1:2" x14ac:dyDescent="0.25">
      <c r="A2886" s="1">
        <v>45679</v>
      </c>
      <c r="B2886">
        <v>4.99</v>
      </c>
    </row>
    <row r="2887" spans="1:2" x14ac:dyDescent="0.25">
      <c r="A2887" s="1">
        <v>45680</v>
      </c>
      <c r="B2887">
        <v>4.83</v>
      </c>
    </row>
    <row r="2888" spans="1:2" x14ac:dyDescent="0.25">
      <c r="A2888" s="1">
        <v>45681</v>
      </c>
      <c r="B2888">
        <v>4.8875000000000002</v>
      </c>
    </row>
    <row r="2889" spans="1:2" x14ac:dyDescent="0.25">
      <c r="A2889" s="1">
        <v>45684</v>
      </c>
      <c r="B2889">
        <v>5.2225000000000001</v>
      </c>
    </row>
    <row r="2890" spans="1:2" x14ac:dyDescent="0.25">
      <c r="A2890" s="1">
        <v>45685</v>
      </c>
      <c r="B2890">
        <v>5.415</v>
      </c>
    </row>
    <row r="2891" spans="1:2" x14ac:dyDescent="0.25">
      <c r="A2891" s="1">
        <v>45686</v>
      </c>
      <c r="B2891">
        <v>5.3150000000000004</v>
      </c>
    </row>
    <row r="2892" spans="1:2" x14ac:dyDescent="0.25">
      <c r="A2892" s="1">
        <v>45687</v>
      </c>
      <c r="B2892">
        <v>5.2249999999999996</v>
      </c>
    </row>
    <row r="2893" spans="1:2" x14ac:dyDescent="0.25">
      <c r="A2893" s="1">
        <v>45688</v>
      </c>
      <c r="B2893">
        <v>5.36</v>
      </c>
    </row>
    <row r="2894" spans="1:2" x14ac:dyDescent="0.25">
      <c r="A2894" s="1">
        <v>45691</v>
      </c>
      <c r="B2894">
        <v>5.7625000000000002</v>
      </c>
    </row>
    <row r="2895" spans="1:2" x14ac:dyDescent="0.25">
      <c r="A2895" s="1">
        <v>45692</v>
      </c>
      <c r="B2895">
        <v>5.6325000000000003</v>
      </c>
    </row>
    <row r="2896" spans="1:2" x14ac:dyDescent="0.25">
      <c r="A2896" s="1">
        <v>45693</v>
      </c>
      <c r="B2896">
        <v>5.4924999999999997</v>
      </c>
    </row>
    <row r="2897" spans="1:2" x14ac:dyDescent="0.25">
      <c r="A2897" s="1">
        <v>45694</v>
      </c>
      <c r="B2897">
        <v>5.2525000000000004</v>
      </c>
    </row>
    <row r="2898" spans="1:2" x14ac:dyDescent="0.25">
      <c r="A2898" s="1">
        <v>45695</v>
      </c>
      <c r="B2898">
        <v>5.28</v>
      </c>
    </row>
    <row r="2899" spans="1:2" x14ac:dyDescent="0.25">
      <c r="A2899" s="1">
        <v>45698</v>
      </c>
      <c r="B2899">
        <v>4.9375</v>
      </c>
    </row>
    <row r="2900" spans="1:2" x14ac:dyDescent="0.25">
      <c r="A2900" s="1">
        <v>45699</v>
      </c>
      <c r="B2900">
        <v>4.5549999999999997</v>
      </c>
    </row>
    <row r="2901" spans="1:2" x14ac:dyDescent="0.25">
      <c r="A2901" s="1">
        <v>45700</v>
      </c>
      <c r="B2901">
        <v>4.45</v>
      </c>
    </row>
    <row r="2902" spans="1:2" x14ac:dyDescent="0.25">
      <c r="A2902" s="1">
        <v>45701</v>
      </c>
      <c r="B2902">
        <v>4.5999999999999996</v>
      </c>
    </row>
    <row r="2903" spans="1:2" x14ac:dyDescent="0.25">
      <c r="A2903" s="1">
        <v>45702</v>
      </c>
      <c r="B2903">
        <v>4.5724999999999998</v>
      </c>
    </row>
    <row r="2904" spans="1:2" x14ac:dyDescent="0.25">
      <c r="A2904" s="1">
        <v>45705</v>
      </c>
      <c r="B2904">
        <v>4.59</v>
      </c>
    </row>
    <row r="2905" spans="1:2" x14ac:dyDescent="0.25">
      <c r="A2905" s="1">
        <v>45706</v>
      </c>
      <c r="B2905">
        <v>4.3875000000000002</v>
      </c>
    </row>
    <row r="2906" spans="1:2" x14ac:dyDescent="0.25">
      <c r="A2906" s="1">
        <v>45707</v>
      </c>
      <c r="B2906">
        <v>4.2149999999999999</v>
      </c>
    </row>
    <row r="2907" spans="1:2" x14ac:dyDescent="0.25">
      <c r="A2907" s="1">
        <v>45708</v>
      </c>
      <c r="B2907">
        <v>4.8150000000000004</v>
      </c>
    </row>
    <row r="2908" spans="1:2" x14ac:dyDescent="0.25">
      <c r="A2908" s="1">
        <v>45709</v>
      </c>
      <c r="B2908">
        <v>4.5324999999999998</v>
      </c>
    </row>
    <row r="2909" spans="1:2" x14ac:dyDescent="0.25">
      <c r="A2909" s="1">
        <v>45712</v>
      </c>
      <c r="B2909">
        <v>4.4924999999999997</v>
      </c>
    </row>
    <row r="2910" spans="1:2" x14ac:dyDescent="0.25">
      <c r="A2910" s="1">
        <v>45713</v>
      </c>
      <c r="B2910">
        <v>4.4800000000000004</v>
      </c>
    </row>
    <row r="2911" spans="1:2" x14ac:dyDescent="0.25">
      <c r="A2911" s="1">
        <v>45714</v>
      </c>
      <c r="B2911">
        <v>4.5549999999999997</v>
      </c>
    </row>
    <row r="2912" spans="1:2" x14ac:dyDescent="0.25">
      <c r="A2912" s="1">
        <v>45715</v>
      </c>
      <c r="B2912">
        <v>4.8775000000000004</v>
      </c>
    </row>
    <row r="2913" spans="1:2" x14ac:dyDescent="0.25">
      <c r="A2913" s="1">
        <v>45716</v>
      </c>
      <c r="B2913">
        <v>4.8025000000000002</v>
      </c>
    </row>
    <row r="2914" spans="1:2" x14ac:dyDescent="0.25">
      <c r="A2914" s="1">
        <v>45719</v>
      </c>
      <c r="B2914">
        <v>5.1749999999999998</v>
      </c>
    </row>
    <row r="2915" spans="1:2" x14ac:dyDescent="0.25">
      <c r="A2915" s="1">
        <v>45720</v>
      </c>
      <c r="B2915">
        <v>5.3125</v>
      </c>
    </row>
    <row r="2916" spans="1:2" x14ac:dyDescent="0.25">
      <c r="A2916" s="1">
        <v>45721</v>
      </c>
      <c r="B2916">
        <v>5.2050000000000001</v>
      </c>
    </row>
    <row r="2917" spans="1:2" x14ac:dyDescent="0.25">
      <c r="A2917" s="1">
        <v>45722</v>
      </c>
      <c r="B2917">
        <v>5.1825000000000001</v>
      </c>
    </row>
    <row r="2918" spans="1:2" x14ac:dyDescent="0.25">
      <c r="A2918" s="1">
        <v>45723</v>
      </c>
      <c r="B2918">
        <v>5.0949999999999998</v>
      </c>
    </row>
    <row r="2919" spans="1:2" x14ac:dyDescent="0.25">
      <c r="A2919" s="1">
        <v>45726</v>
      </c>
      <c r="B2919">
        <v>5.21</v>
      </c>
    </row>
    <row r="2920" spans="1:2" x14ac:dyDescent="0.25">
      <c r="A2920" s="1">
        <v>45727</v>
      </c>
      <c r="B2920">
        <v>5.2874999999999996</v>
      </c>
    </row>
    <row r="2921" spans="1:2" x14ac:dyDescent="0.25">
      <c r="A2921" s="1">
        <v>45728</v>
      </c>
      <c r="B2921">
        <v>5.0750000000000002</v>
      </c>
    </row>
    <row r="2922" spans="1:2" x14ac:dyDescent="0.25">
      <c r="A2922" s="1">
        <v>45729</v>
      </c>
      <c r="B2922">
        <v>4.9000000000000004</v>
      </c>
    </row>
    <row r="2923" spans="1:2" x14ac:dyDescent="0.25">
      <c r="A2923" s="1">
        <v>45730</v>
      </c>
      <c r="B2923">
        <v>4.7324999999999999</v>
      </c>
    </row>
    <row r="2924" spans="1:2" x14ac:dyDescent="0.25">
      <c r="A2924" s="1">
        <v>45733</v>
      </c>
      <c r="B2924">
        <v>4.6900000000000004</v>
      </c>
    </row>
    <row r="2925" spans="1:2" x14ac:dyDescent="0.25">
      <c r="A2925" s="1">
        <v>45734</v>
      </c>
      <c r="B2925">
        <v>4.6900000000000004</v>
      </c>
    </row>
    <row r="2926" spans="1:2" x14ac:dyDescent="0.25">
      <c r="A2926" s="1">
        <v>45735</v>
      </c>
      <c r="B2926">
        <v>4.6150000000000002</v>
      </c>
    </row>
    <row r="2927" spans="1:2" x14ac:dyDescent="0.25">
      <c r="A2927" s="1">
        <v>45736</v>
      </c>
      <c r="B2927">
        <v>4.67</v>
      </c>
    </row>
    <row r="2928" spans="1:2" x14ac:dyDescent="0.25">
      <c r="A2928" s="1">
        <v>45737</v>
      </c>
      <c r="B2928">
        <v>4.7300000000000004</v>
      </c>
    </row>
    <row r="2929" spans="1:2" x14ac:dyDescent="0.25">
      <c r="A2929" s="1">
        <v>45740</v>
      </c>
      <c r="B2929">
        <v>4.7975000000000003</v>
      </c>
    </row>
    <row r="2930" spans="1:2" x14ac:dyDescent="0.25">
      <c r="A2930" s="1">
        <v>45741</v>
      </c>
      <c r="B2930">
        <v>4.67</v>
      </c>
    </row>
    <row r="2931" spans="1:2" x14ac:dyDescent="0.25">
      <c r="A2931" s="1">
        <v>45742</v>
      </c>
      <c r="B2931">
        <v>4.6675000000000004</v>
      </c>
    </row>
    <row r="2932" spans="1:2" x14ac:dyDescent="0.25">
      <c r="A2932" s="1">
        <v>45743</v>
      </c>
      <c r="B2932">
        <v>4.5</v>
      </c>
    </row>
    <row r="2933" spans="1:2" x14ac:dyDescent="0.25">
      <c r="A2933" s="1">
        <v>45744</v>
      </c>
      <c r="B2933">
        <v>4.32</v>
      </c>
    </row>
    <row r="2934" spans="1:2" x14ac:dyDescent="0.25">
      <c r="A2934" s="1">
        <v>45747</v>
      </c>
      <c r="B2934">
        <v>4.46</v>
      </c>
    </row>
    <row r="2935" spans="1:2" x14ac:dyDescent="0.25">
      <c r="A2935" s="1">
        <v>45748</v>
      </c>
      <c r="B2935">
        <v>4.4175000000000004</v>
      </c>
    </row>
    <row r="2936" spans="1:2" x14ac:dyDescent="0.25">
      <c r="A2936" s="1">
        <v>45749</v>
      </c>
      <c r="B2936">
        <v>4.4400000000000004</v>
      </c>
    </row>
    <row r="2937" spans="1:2" x14ac:dyDescent="0.25">
      <c r="A2937" s="1">
        <v>45750</v>
      </c>
      <c r="B2937">
        <v>5.1849999999999996</v>
      </c>
    </row>
    <row r="2938" spans="1:2" x14ac:dyDescent="0.25">
      <c r="A2938" s="1">
        <v>45751</v>
      </c>
      <c r="B2938">
        <v>5.64</v>
      </c>
    </row>
    <row r="2939" spans="1:2" x14ac:dyDescent="0.25">
      <c r="A2939" s="1">
        <v>45754</v>
      </c>
      <c r="B2939">
        <v>6.9775</v>
      </c>
    </row>
    <row r="2940" spans="1:2" x14ac:dyDescent="0.25">
      <c r="A2940" s="1">
        <v>45755</v>
      </c>
      <c r="B2940">
        <v>7.625</v>
      </c>
    </row>
    <row r="2941" spans="1:2" x14ac:dyDescent="0.25">
      <c r="A2941" s="1">
        <v>45756</v>
      </c>
      <c r="B2941">
        <v>7.4124999999999996</v>
      </c>
    </row>
    <row r="2942" spans="1:2" x14ac:dyDescent="0.25">
      <c r="A2942" s="1">
        <v>45757</v>
      </c>
      <c r="B2942">
        <v>6.3949999999999996</v>
      </c>
    </row>
    <row r="2943" spans="1:2" x14ac:dyDescent="0.25">
      <c r="A2943" s="1">
        <v>45758</v>
      </c>
      <c r="B2943">
        <v>6.9074999999999998</v>
      </c>
    </row>
    <row r="2944" spans="1:2" x14ac:dyDescent="0.25">
      <c r="A2944" s="1">
        <v>45761</v>
      </c>
      <c r="B2944">
        <v>6.2850000000000001</v>
      </c>
    </row>
    <row r="2945" spans="1:2" x14ac:dyDescent="0.25">
      <c r="A2945" s="1">
        <v>45762</v>
      </c>
      <c r="B2945">
        <v>5.5374999999999996</v>
      </c>
    </row>
    <row r="2946" spans="1:2" x14ac:dyDescent="0.25">
      <c r="A2946" s="1">
        <v>45763</v>
      </c>
      <c r="B2946">
        <v>5.585</v>
      </c>
    </row>
    <row r="2947" spans="1:2" x14ac:dyDescent="0.25">
      <c r="A2947" s="1">
        <v>45764</v>
      </c>
      <c r="B2947">
        <v>5.4249999999999998</v>
      </c>
    </row>
    <row r="2948" spans="1:2" x14ac:dyDescent="0.25">
      <c r="A2948" s="1">
        <v>45765</v>
      </c>
      <c r="B2948">
        <v>5.3550000000000004</v>
      </c>
    </row>
    <row r="2949" spans="1:2" x14ac:dyDescent="0.25">
      <c r="A2949" s="1">
        <v>45768</v>
      </c>
      <c r="B2949">
        <v>5.4424999999999999</v>
      </c>
    </row>
    <row r="2950" spans="1:2" x14ac:dyDescent="0.25">
      <c r="A2950" s="1">
        <v>45769</v>
      </c>
      <c r="B2950">
        <v>5.5025000000000004</v>
      </c>
    </row>
    <row r="2951" spans="1:2" x14ac:dyDescent="0.25">
      <c r="A2951" s="1">
        <v>45770</v>
      </c>
      <c r="B2951">
        <v>5.3525</v>
      </c>
    </row>
    <row r="2952" spans="1:2" x14ac:dyDescent="0.25">
      <c r="A2952" s="1">
        <v>45771</v>
      </c>
      <c r="B2952">
        <v>5.1675000000000004</v>
      </c>
    </row>
    <row r="2953" spans="1:2" x14ac:dyDescent="0.25">
      <c r="A2953" s="1">
        <v>45772</v>
      </c>
      <c r="B2953">
        <v>5.0199999999999996</v>
      </c>
    </row>
    <row r="2954" spans="1:2" x14ac:dyDescent="0.25">
      <c r="A2954" s="1">
        <v>45775</v>
      </c>
      <c r="B2954">
        <v>5.0449999999999999</v>
      </c>
    </row>
    <row r="2955" spans="1:2" x14ac:dyDescent="0.25">
      <c r="A2955" s="1">
        <v>45776</v>
      </c>
      <c r="B2955">
        <v>5.0324999999999998</v>
      </c>
    </row>
    <row r="2956" spans="1:2" x14ac:dyDescent="0.25">
      <c r="A2956" s="1">
        <v>45777</v>
      </c>
      <c r="B2956">
        <v>4.8049999999999997</v>
      </c>
    </row>
    <row r="2957" spans="1:2" x14ac:dyDescent="0.25">
      <c r="A2957" s="1">
        <v>45778</v>
      </c>
      <c r="B2957">
        <v>4.7699999999999996</v>
      </c>
    </row>
    <row r="2958" spans="1:2" x14ac:dyDescent="0.25">
      <c r="A2958" s="1">
        <v>45779</v>
      </c>
      <c r="B2958">
        <v>5.3825000000000003</v>
      </c>
    </row>
    <row r="2959" spans="1:2" x14ac:dyDescent="0.25">
      <c r="A2959" s="1">
        <v>45782</v>
      </c>
      <c r="B2959">
        <v>5.74</v>
      </c>
    </row>
    <row r="2960" spans="1:2" x14ac:dyDescent="0.25">
      <c r="A2960" s="1">
        <v>45783</v>
      </c>
      <c r="B2960">
        <v>5.3875000000000002</v>
      </c>
    </row>
    <row r="2961" spans="1:2" x14ac:dyDescent="0.25">
      <c r="A2961" s="1">
        <v>45784</v>
      </c>
      <c r="B2961">
        <v>5.1749999999999998</v>
      </c>
    </row>
    <row r="2962" spans="1:2" x14ac:dyDescent="0.25">
      <c r="A2962" s="1">
        <v>45785</v>
      </c>
      <c r="B2962">
        <v>5.03</v>
      </c>
    </row>
    <row r="2963" spans="1:2" x14ac:dyDescent="0.25">
      <c r="A2963" s="1">
        <v>45786</v>
      </c>
      <c r="B2963">
        <v>5.05</v>
      </c>
    </row>
    <row r="2964" spans="1:2" x14ac:dyDescent="0.25">
      <c r="A2964" s="1">
        <v>45789</v>
      </c>
      <c r="B2964">
        <v>4.82</v>
      </c>
    </row>
    <row r="2965" spans="1:2" x14ac:dyDescent="0.25">
      <c r="A2965" s="1">
        <v>45790</v>
      </c>
      <c r="B2965">
        <v>4.375</v>
      </c>
    </row>
    <row r="2966" spans="1:2" x14ac:dyDescent="0.25">
      <c r="A2966" s="1">
        <v>45791</v>
      </c>
      <c r="B2966">
        <v>4.54</v>
      </c>
    </row>
    <row r="2967" spans="1:2" x14ac:dyDescent="0.25">
      <c r="A2967" s="1">
        <v>45792</v>
      </c>
      <c r="B2967">
        <v>4.4400000000000004</v>
      </c>
    </row>
    <row r="2968" spans="1:2" x14ac:dyDescent="0.25">
      <c r="A2968" s="1">
        <v>45793</v>
      </c>
      <c r="B2968">
        <v>4.4325000000000001</v>
      </c>
    </row>
    <row r="2969" spans="1:2" x14ac:dyDescent="0.25">
      <c r="A2969" s="1">
        <v>45796</v>
      </c>
      <c r="B2969">
        <v>4.3574999999999999</v>
      </c>
    </row>
    <row r="2970" spans="1:2" x14ac:dyDescent="0.25">
      <c r="A2970" s="1">
        <v>45797</v>
      </c>
      <c r="B2970">
        <v>4.1950000000000003</v>
      </c>
    </row>
    <row r="2971" spans="1:2" x14ac:dyDescent="0.25">
      <c r="A2971" s="1">
        <v>45798</v>
      </c>
      <c r="B2971">
        <v>4.1550000000000002</v>
      </c>
    </row>
    <row r="2972" spans="1:2" x14ac:dyDescent="0.25">
      <c r="A2972" s="1">
        <v>45799</v>
      </c>
      <c r="B2972">
        <v>4.0925000000000002</v>
      </c>
    </row>
    <row r="2973" spans="1:2" x14ac:dyDescent="0.25">
      <c r="A2973" s="1">
        <v>45800</v>
      </c>
      <c r="B2973">
        <v>4.5774999999999997</v>
      </c>
    </row>
    <row r="2974" spans="1:2" x14ac:dyDescent="0.25">
      <c r="A2974" s="1">
        <v>45803</v>
      </c>
      <c r="B2974">
        <v>4.6924999999999999</v>
      </c>
    </row>
    <row r="2975" spans="1:2" x14ac:dyDescent="0.25">
      <c r="A2975" s="1">
        <v>45804</v>
      </c>
      <c r="B2975">
        <v>4.3925000000000001</v>
      </c>
    </row>
    <row r="2976" spans="1:2" x14ac:dyDescent="0.25">
      <c r="A2976" s="1">
        <v>45805</v>
      </c>
      <c r="B2976">
        <v>4.2024999999999997</v>
      </c>
    </row>
    <row r="2977" spans="1:2" x14ac:dyDescent="0.25">
      <c r="A2977" s="1">
        <v>45806</v>
      </c>
      <c r="B2977">
        <v>4.0324999999999998</v>
      </c>
    </row>
    <row r="2978" spans="1:2" x14ac:dyDescent="0.25">
      <c r="A2978" s="1">
        <v>45807</v>
      </c>
      <c r="B2978">
        <v>4.0824999999999996</v>
      </c>
    </row>
    <row r="2979" spans="1:2" x14ac:dyDescent="0.25">
      <c r="A2979" s="1">
        <v>45810</v>
      </c>
      <c r="B2979">
        <v>4.2225000000000001</v>
      </c>
    </row>
    <row r="2980" spans="1:2" x14ac:dyDescent="0.25">
      <c r="A2980" s="1">
        <v>45811</v>
      </c>
      <c r="B2980">
        <v>4.2125000000000004</v>
      </c>
    </row>
    <row r="2981" spans="1:2" x14ac:dyDescent="0.25">
      <c r="A2981" s="1">
        <v>45812</v>
      </c>
      <c r="B2981">
        <v>4.0049999999999999</v>
      </c>
    </row>
    <row r="2982" spans="1:2" x14ac:dyDescent="0.25">
      <c r="A2982" s="1">
        <v>45813</v>
      </c>
      <c r="B2982">
        <v>4.0525000000000002</v>
      </c>
    </row>
    <row r="2983" spans="1:2" x14ac:dyDescent="0.25">
      <c r="A2983" s="1">
        <v>45814</v>
      </c>
      <c r="B2983">
        <v>3.8824999999999998</v>
      </c>
    </row>
    <row r="2984" spans="1:2" x14ac:dyDescent="0.25">
      <c r="A2984" s="1">
        <v>45817</v>
      </c>
      <c r="B2984">
        <v>3.9275000000000002</v>
      </c>
    </row>
    <row r="2985" spans="1:2" x14ac:dyDescent="0.25">
      <c r="A2985" s="1">
        <v>45818</v>
      </c>
      <c r="B2985">
        <v>3.7475000000000001</v>
      </c>
    </row>
    <row r="2986" spans="1:2" x14ac:dyDescent="0.25">
      <c r="A2986" s="1">
        <v>45819</v>
      </c>
      <c r="B2986">
        <v>3.5825</v>
      </c>
    </row>
    <row r="2987" spans="1:2" x14ac:dyDescent="0.25">
      <c r="A2987" s="1">
        <v>45820</v>
      </c>
      <c r="B2987">
        <v>3.7925</v>
      </c>
    </row>
    <row r="2988" spans="1:2" x14ac:dyDescent="0.25">
      <c r="A2988" s="1">
        <v>45821</v>
      </c>
      <c r="B2988">
        <v>3.8424999999999998</v>
      </c>
    </row>
    <row r="2989" spans="1:2" x14ac:dyDescent="0.25">
      <c r="A2989" s="1">
        <v>45824</v>
      </c>
      <c r="B2989">
        <v>3.6475</v>
      </c>
    </row>
    <row r="2990" spans="1:2" x14ac:dyDescent="0.25">
      <c r="A2990" s="1">
        <v>45825</v>
      </c>
      <c r="B2990">
        <v>3.605</v>
      </c>
    </row>
    <row r="2991" spans="1:2" x14ac:dyDescent="0.25">
      <c r="A2991" s="1">
        <v>45826</v>
      </c>
      <c r="B2991">
        <v>3.6274999999999999</v>
      </c>
    </row>
    <row r="2992" spans="1:2" x14ac:dyDescent="0.25">
      <c r="A2992" s="1">
        <v>45827</v>
      </c>
      <c r="B2992">
        <v>3.5775000000000001</v>
      </c>
    </row>
    <row r="2993" spans="1:2" x14ac:dyDescent="0.25">
      <c r="A2993" s="1">
        <v>45828</v>
      </c>
      <c r="B2993">
        <v>3.6025</v>
      </c>
    </row>
    <row r="2994" spans="1:2" x14ac:dyDescent="0.25">
      <c r="A2994" s="1">
        <v>45831</v>
      </c>
      <c r="B2994">
        <v>3.605</v>
      </c>
    </row>
    <row r="2995" spans="1:2" x14ac:dyDescent="0.25">
      <c r="A2995" s="1">
        <v>45832</v>
      </c>
      <c r="B2995">
        <v>3.8050000000000002</v>
      </c>
    </row>
    <row r="2996" spans="1:2" x14ac:dyDescent="0.25">
      <c r="A2996" s="1">
        <v>45833</v>
      </c>
      <c r="B2996">
        <v>3.77</v>
      </c>
    </row>
    <row r="2997" spans="1:2" x14ac:dyDescent="0.25">
      <c r="A2997" s="1">
        <v>45834</v>
      </c>
      <c r="B2997">
        <v>3.8224999999999998</v>
      </c>
    </row>
    <row r="2998" spans="1:2" x14ac:dyDescent="0.25">
      <c r="A2998" s="1">
        <v>45835</v>
      </c>
      <c r="B2998">
        <v>3.8149999999999999</v>
      </c>
    </row>
    <row r="2999" spans="1:2" x14ac:dyDescent="0.25">
      <c r="A2999" s="1">
        <v>45838</v>
      </c>
      <c r="B2999">
        <v>3.915</v>
      </c>
    </row>
    <row r="3000" spans="1:2" x14ac:dyDescent="0.25">
      <c r="A3000" s="1">
        <v>45839</v>
      </c>
      <c r="B3000">
        <v>3.8174999999999999</v>
      </c>
    </row>
    <row r="3001" spans="1:2" x14ac:dyDescent="0.25">
      <c r="A3001" s="1">
        <v>45840</v>
      </c>
      <c r="B3001">
        <v>3.68</v>
      </c>
    </row>
    <row r="3002" spans="1:2" x14ac:dyDescent="0.25">
      <c r="A3002" s="1">
        <v>45841</v>
      </c>
      <c r="B3002">
        <v>3.6274999999999999</v>
      </c>
    </row>
    <row r="3003" spans="1:2" x14ac:dyDescent="0.25">
      <c r="A3003" s="1">
        <v>45842</v>
      </c>
      <c r="B3003">
        <v>3.36</v>
      </c>
    </row>
    <row r="3004" spans="1:2" x14ac:dyDescent="0.25">
      <c r="A3004" s="1">
        <v>45845</v>
      </c>
      <c r="B3004">
        <v>3.395</v>
      </c>
    </row>
    <row r="3005" spans="1:2" x14ac:dyDescent="0.25">
      <c r="A3005" s="1">
        <v>45846</v>
      </c>
      <c r="B3005">
        <v>3.3725000000000001</v>
      </c>
    </row>
    <row r="3006" spans="1:2" x14ac:dyDescent="0.25">
      <c r="A3006" s="1">
        <v>45847</v>
      </c>
      <c r="B3006">
        <v>3.2725</v>
      </c>
    </row>
    <row r="3007" spans="1:2" x14ac:dyDescent="0.25">
      <c r="A3007" s="1">
        <v>45848</v>
      </c>
      <c r="B3007">
        <v>3.2425000000000002</v>
      </c>
    </row>
    <row r="3008" spans="1:2" x14ac:dyDescent="0.25">
      <c r="A3008" s="1">
        <v>45849</v>
      </c>
      <c r="B3008">
        <v>3.4824999999999999</v>
      </c>
    </row>
    <row r="3009" spans="1:2" x14ac:dyDescent="0.25">
      <c r="A3009" s="1">
        <v>45852</v>
      </c>
      <c r="B3009">
        <v>3.4674999999999998</v>
      </c>
    </row>
    <row r="3010" spans="1:2" x14ac:dyDescent="0.25">
      <c r="A3010" s="1">
        <v>45853</v>
      </c>
      <c r="B3010">
        <v>3.3075000000000001</v>
      </c>
    </row>
    <row r="3011" spans="1:2" x14ac:dyDescent="0.25">
      <c r="A3011" s="1">
        <v>45854</v>
      </c>
      <c r="B3011">
        <v>3.3374999999999999</v>
      </c>
    </row>
    <row r="3012" spans="1:2" x14ac:dyDescent="0.25">
      <c r="A3012" s="1">
        <v>45855</v>
      </c>
      <c r="B3012">
        <v>3.2549999999999999</v>
      </c>
    </row>
    <row r="3013" spans="1:2" x14ac:dyDescent="0.25">
      <c r="A3013" s="1">
        <v>45856</v>
      </c>
      <c r="B3013">
        <v>3.1074999999999999</v>
      </c>
    </row>
    <row r="3014" spans="1:2" x14ac:dyDescent="0.25">
      <c r="A3014" s="1">
        <v>45859</v>
      </c>
      <c r="B3014">
        <v>3.0474999999999999</v>
      </c>
    </row>
    <row r="3015" spans="1:2" x14ac:dyDescent="0.25">
      <c r="A3015" s="1">
        <v>45860</v>
      </c>
      <c r="B3015">
        <v>3.0225</v>
      </c>
    </row>
    <row r="3016" spans="1:2" x14ac:dyDescent="0.25">
      <c r="A3016" s="1">
        <v>45861</v>
      </c>
      <c r="B3016">
        <v>3.3275000000000001</v>
      </c>
    </row>
    <row r="3017" spans="1:2" x14ac:dyDescent="0.25">
      <c r="A3017" s="1">
        <v>45862</v>
      </c>
      <c r="B3017">
        <v>3.4474999999999998</v>
      </c>
    </row>
    <row r="3018" spans="1:2" x14ac:dyDescent="0.25">
      <c r="A3018" s="1">
        <v>45863</v>
      </c>
      <c r="B3018">
        <v>3.1825000000000001</v>
      </c>
    </row>
    <row r="3019" spans="1:2" x14ac:dyDescent="0.25">
      <c r="A3019" s="1">
        <v>45866</v>
      </c>
      <c r="B3019">
        <v>3.1175000000000002</v>
      </c>
    </row>
    <row r="3020" spans="1:2" x14ac:dyDescent="0.25">
      <c r="A3020" s="1">
        <v>45867</v>
      </c>
      <c r="B3020">
        <v>3.02</v>
      </c>
    </row>
    <row r="3021" spans="1:2" x14ac:dyDescent="0.25">
      <c r="A3021" s="1">
        <v>45868</v>
      </c>
      <c r="B3021">
        <v>2.9725000000000001</v>
      </c>
    </row>
    <row r="3022" spans="1:2" x14ac:dyDescent="0.25">
      <c r="A3022" s="1">
        <v>45869</v>
      </c>
      <c r="B3022">
        <v>2.8624999999999998</v>
      </c>
    </row>
    <row r="3023" spans="1:2" x14ac:dyDescent="0.25">
      <c r="A3023" s="1">
        <v>45870</v>
      </c>
      <c r="B3023">
        <v>2.95</v>
      </c>
    </row>
    <row r="3024" spans="1:2" x14ac:dyDescent="0.25">
      <c r="A3024" s="1">
        <v>45873</v>
      </c>
      <c r="B3024">
        <v>2.9275000000000002</v>
      </c>
    </row>
    <row r="3025" spans="1:2" x14ac:dyDescent="0.25">
      <c r="A3025" s="1">
        <v>45874</v>
      </c>
      <c r="B3025">
        <v>2.8774999999999999</v>
      </c>
    </row>
    <row r="3026" spans="1:2" x14ac:dyDescent="0.25">
      <c r="A3026" s="1">
        <v>45875</v>
      </c>
      <c r="B3026">
        <v>2.8525</v>
      </c>
    </row>
    <row r="3027" spans="1:2" x14ac:dyDescent="0.25">
      <c r="A3027" s="1">
        <v>45876</v>
      </c>
      <c r="B3027">
        <v>2.9175</v>
      </c>
    </row>
    <row r="3028" spans="1:2" x14ac:dyDescent="0.25">
      <c r="A3028" s="1">
        <v>45877</v>
      </c>
      <c r="B3028">
        <v>2.8574999999999999</v>
      </c>
    </row>
    <row r="3029" spans="1:2" x14ac:dyDescent="0.25">
      <c r="A3029" s="1">
        <v>45880</v>
      </c>
      <c r="B3029">
        <v>2.8475000000000001</v>
      </c>
    </row>
    <row r="3030" spans="1:2" x14ac:dyDescent="0.25">
      <c r="A3030" s="1">
        <v>45881</v>
      </c>
      <c r="B3030">
        <v>2.8824999999999998</v>
      </c>
    </row>
    <row r="3031" spans="1:2" x14ac:dyDescent="0.25">
      <c r="A3031" s="1">
        <v>45882</v>
      </c>
      <c r="B3031">
        <v>2.835</v>
      </c>
    </row>
    <row r="3032" spans="1:2" x14ac:dyDescent="0.25">
      <c r="A3032" s="1">
        <v>45883</v>
      </c>
      <c r="B3032">
        <v>2.86</v>
      </c>
    </row>
    <row r="3033" spans="1:2" x14ac:dyDescent="0.25">
      <c r="A3033" s="1">
        <v>45884</v>
      </c>
      <c r="B3033">
        <v>2.8075000000000001</v>
      </c>
    </row>
    <row r="3034" spans="1:2" x14ac:dyDescent="0.25">
      <c r="A3034" s="1">
        <v>45887</v>
      </c>
      <c r="B3034">
        <v>2.8475000000000001</v>
      </c>
    </row>
    <row r="3035" spans="1:2" x14ac:dyDescent="0.25">
      <c r="A3035" s="1">
        <v>45888</v>
      </c>
      <c r="B3035">
        <v>2.7774999999999999</v>
      </c>
    </row>
    <row r="3036" spans="1:2" x14ac:dyDescent="0.25">
      <c r="A3036" s="1">
        <v>45889</v>
      </c>
      <c r="B3036">
        <v>2.7275</v>
      </c>
    </row>
    <row r="3037" spans="1:2" x14ac:dyDescent="0.25">
      <c r="A3037" s="1">
        <v>45890</v>
      </c>
      <c r="B3037">
        <v>2.7625000000000002</v>
      </c>
    </row>
    <row r="3038" spans="1:2" x14ac:dyDescent="0.25">
      <c r="A3038" s="1">
        <v>45891</v>
      </c>
      <c r="B3038">
        <v>2.7374999999999998</v>
      </c>
    </row>
    <row r="3039" spans="1:2" x14ac:dyDescent="0.25">
      <c r="A3039" s="1">
        <v>45894</v>
      </c>
      <c r="B3039">
        <v>3.04</v>
      </c>
    </row>
    <row r="3040" spans="1:2" x14ac:dyDescent="0.25">
      <c r="A3040" s="1">
        <v>45895</v>
      </c>
      <c r="B3040">
        <v>2.8824999999999998</v>
      </c>
    </row>
    <row r="3041" spans="1:2" x14ac:dyDescent="0.25">
      <c r="A3041" s="1">
        <v>45896</v>
      </c>
      <c r="B3041">
        <v>2.8675000000000002</v>
      </c>
    </row>
    <row r="3042" spans="1:2" x14ac:dyDescent="0.25">
      <c r="A3042" s="1">
        <v>45897</v>
      </c>
      <c r="B3042">
        <v>3.3925000000000001</v>
      </c>
    </row>
    <row r="3043" spans="1:2" x14ac:dyDescent="0.25">
      <c r="A3043" s="1">
        <v>45898</v>
      </c>
      <c r="B3043">
        <v>3.2450000000000001</v>
      </c>
    </row>
    <row r="3044" spans="1:2" x14ac:dyDescent="0.25">
      <c r="A3044" s="1">
        <v>45901</v>
      </c>
      <c r="B3044">
        <v>2.9849999999999999</v>
      </c>
    </row>
    <row r="3045" spans="1:2" x14ac:dyDescent="0.25">
      <c r="A3045" s="1">
        <v>45902</v>
      </c>
      <c r="B3045">
        <v>3</v>
      </c>
    </row>
    <row r="3046" spans="1:2" x14ac:dyDescent="0.25">
      <c r="A3046" s="1">
        <v>45903</v>
      </c>
      <c r="B3046">
        <v>2.9075000000000002</v>
      </c>
    </row>
    <row r="3047" spans="1:2" x14ac:dyDescent="0.25">
      <c r="A3047" s="1">
        <v>45904</v>
      </c>
      <c r="B3047">
        <v>2.8275000000000001</v>
      </c>
    </row>
    <row r="3048" spans="1:2" x14ac:dyDescent="0.25">
      <c r="A3048" s="1">
        <v>45905</v>
      </c>
      <c r="B3048">
        <v>2.8424999999999998</v>
      </c>
    </row>
    <row r="3049" spans="1:2" x14ac:dyDescent="0.25">
      <c r="A3049" s="1">
        <v>45908</v>
      </c>
      <c r="B3049">
        <v>2.9024999999999999</v>
      </c>
    </row>
    <row r="3050" spans="1:2" x14ac:dyDescent="0.25">
      <c r="A3050" s="1">
        <v>45909</v>
      </c>
      <c r="B3050">
        <v>3.1124999999999998</v>
      </c>
    </row>
    <row r="3051" spans="1:2" x14ac:dyDescent="0.25">
      <c r="A3051" s="1">
        <v>45910</v>
      </c>
      <c r="B3051">
        <v>2.9874999999999998</v>
      </c>
    </row>
    <row r="3052" spans="1:2" x14ac:dyDescent="0.25">
      <c r="A3052" s="1">
        <v>45911</v>
      </c>
      <c r="B3052">
        <v>2.8374999999999999</v>
      </c>
    </row>
    <row r="3053" spans="1:2" x14ac:dyDescent="0.25">
      <c r="A3053" s="1">
        <v>45912</v>
      </c>
      <c r="B3053">
        <v>2.7524999999999999</v>
      </c>
    </row>
    <row r="3054" spans="1:2" x14ac:dyDescent="0.25">
      <c r="A3054" s="1">
        <v>45915</v>
      </c>
      <c r="B3054">
        <v>2.6825000000000001</v>
      </c>
    </row>
    <row r="3055" spans="1:2" x14ac:dyDescent="0.25">
      <c r="A3055" s="1">
        <v>45916</v>
      </c>
      <c r="B3055">
        <v>2.8224999999999998</v>
      </c>
    </row>
    <row r="3056" spans="1:2" x14ac:dyDescent="0.25">
      <c r="A3056" s="1">
        <v>45917</v>
      </c>
      <c r="B3056">
        <v>3.2075</v>
      </c>
    </row>
    <row r="3057" spans="1:2" x14ac:dyDescent="0.25">
      <c r="A3057" s="1">
        <v>45918</v>
      </c>
      <c r="B3057">
        <v>2.8025000000000002</v>
      </c>
    </row>
    <row r="3058" spans="1:2" x14ac:dyDescent="0.25">
      <c r="A3058" s="1">
        <v>45919</v>
      </c>
      <c r="B3058">
        <v>2.76</v>
      </c>
    </row>
    <row r="3059" spans="1:2" x14ac:dyDescent="0.25">
      <c r="A3059" s="1">
        <v>45922</v>
      </c>
      <c r="B3059">
        <v>2.5625</v>
      </c>
    </row>
    <row r="3060" spans="1:2" x14ac:dyDescent="0.25">
      <c r="A3060" s="1">
        <v>45923</v>
      </c>
      <c r="B3060">
        <v>2.4725000000000001</v>
      </c>
    </row>
    <row r="3061" spans="1:2" x14ac:dyDescent="0.25">
      <c r="A3061" s="1">
        <v>45924</v>
      </c>
      <c r="B3061">
        <v>2.5775000000000001</v>
      </c>
    </row>
    <row r="3062" spans="1:2" x14ac:dyDescent="0.25">
      <c r="A3062" s="1">
        <v>45925</v>
      </c>
      <c r="B3062">
        <v>2.5350000000000001</v>
      </c>
    </row>
    <row r="3063" spans="1:2" x14ac:dyDescent="0.25">
      <c r="A3063" s="1">
        <v>45926</v>
      </c>
      <c r="B3063">
        <v>2.4049999999999998</v>
      </c>
    </row>
    <row r="3064" spans="1:2" x14ac:dyDescent="0.25">
      <c r="A3064" s="1">
        <v>45929</v>
      </c>
      <c r="B3064">
        <v>2.64</v>
      </c>
    </row>
    <row r="3065" spans="1:2" x14ac:dyDescent="0.25">
      <c r="A3065" s="1">
        <v>45930</v>
      </c>
      <c r="B3065">
        <v>2.56</v>
      </c>
    </row>
    <row r="3066" spans="1:2" x14ac:dyDescent="0.25">
      <c r="A3066" s="1">
        <v>45931</v>
      </c>
      <c r="B3066">
        <v>2.5750000000000002</v>
      </c>
    </row>
    <row r="3067" spans="1:2" x14ac:dyDescent="0.25">
      <c r="A3067" s="1">
        <v>45932</v>
      </c>
      <c r="B3067">
        <v>2.5449999999999999</v>
      </c>
    </row>
    <row r="3068" spans="1:2" x14ac:dyDescent="0.25">
      <c r="A3068" s="1">
        <v>45933</v>
      </c>
      <c r="B3068">
        <v>2.4700000000000002</v>
      </c>
    </row>
    <row r="3069" spans="1:2" x14ac:dyDescent="0.25">
      <c r="A3069" s="1">
        <v>45936</v>
      </c>
      <c r="B3069">
        <v>2.5049999999999999</v>
      </c>
    </row>
    <row r="3070" spans="1:2" x14ac:dyDescent="0.25">
      <c r="A3070" s="1">
        <v>45937</v>
      </c>
      <c r="B3070">
        <v>2.3849999999999998</v>
      </c>
    </row>
    <row r="3071" spans="1:2" x14ac:dyDescent="0.25">
      <c r="A3071" s="1">
        <v>45938</v>
      </c>
      <c r="B3071">
        <v>2.4950000000000001</v>
      </c>
    </row>
    <row r="3072" spans="1:2" x14ac:dyDescent="0.25">
      <c r="A3072" s="1">
        <v>45939</v>
      </c>
      <c r="B3072">
        <v>2.6349999999999998</v>
      </c>
    </row>
    <row r="3073" spans="1:2" x14ac:dyDescent="0.25">
      <c r="A3073" s="1">
        <v>45940</v>
      </c>
      <c r="B3073">
        <v>3.0150000000000001</v>
      </c>
    </row>
    <row r="3074" spans="1:2" x14ac:dyDescent="0.25">
      <c r="A3074" s="1">
        <v>45943</v>
      </c>
      <c r="B3074">
        <v>3.0825</v>
      </c>
    </row>
    <row r="3075" spans="1:2" x14ac:dyDescent="0.25">
      <c r="A3075" s="1">
        <v>45944</v>
      </c>
      <c r="B3075">
        <v>3.1549999999999998</v>
      </c>
    </row>
    <row r="3076" spans="1:2" x14ac:dyDescent="0.25">
      <c r="A3076" s="1">
        <v>45945</v>
      </c>
      <c r="B3076">
        <v>3.0625</v>
      </c>
    </row>
    <row r="3077" spans="1:2" x14ac:dyDescent="0.25">
      <c r="A3077" s="1">
        <v>45946</v>
      </c>
      <c r="B3077">
        <v>2.8075000000000001</v>
      </c>
    </row>
    <row r="3078" spans="1:2" x14ac:dyDescent="0.25">
      <c r="A3078" s="1">
        <v>45947</v>
      </c>
      <c r="B3078">
        <v>2.855</v>
      </c>
    </row>
    <row r="3079" spans="1:2" x14ac:dyDescent="0.25">
      <c r="A3079" s="1">
        <v>45950</v>
      </c>
      <c r="B3079">
        <v>2.7650000000000001</v>
      </c>
    </row>
    <row r="3080" spans="1:2" x14ac:dyDescent="0.25">
      <c r="A3080" s="1">
        <v>45951</v>
      </c>
      <c r="B3080">
        <v>2.6825000000000001</v>
      </c>
    </row>
    <row r="3081" spans="1:2" x14ac:dyDescent="0.25">
      <c r="A3081" s="1">
        <v>45952</v>
      </c>
      <c r="B3081">
        <v>2.5724999999999998</v>
      </c>
    </row>
    <row r="3082" spans="1:2" x14ac:dyDescent="0.25">
      <c r="A3082" s="1">
        <v>45953</v>
      </c>
      <c r="B3082">
        <v>2.5049999999999999</v>
      </c>
    </row>
    <row r="3083" spans="1:2" x14ac:dyDescent="0.25">
      <c r="A3083" s="1">
        <v>45954</v>
      </c>
      <c r="B3083">
        <v>2.48</v>
      </c>
    </row>
    <row r="3084" spans="1:2" x14ac:dyDescent="0.25">
      <c r="A3084" s="1">
        <v>45957</v>
      </c>
      <c r="B3084">
        <v>2.66</v>
      </c>
    </row>
    <row r="3085" spans="1:2" x14ac:dyDescent="0.25">
      <c r="A3085" s="1">
        <v>45958</v>
      </c>
      <c r="B3085">
        <v>2.8624999999999998</v>
      </c>
    </row>
    <row r="3086" spans="1:2" x14ac:dyDescent="0.25">
      <c r="A3086" s="1">
        <v>45959</v>
      </c>
      <c r="B3086">
        <v>2.8075000000000001</v>
      </c>
    </row>
    <row r="3087" spans="1:2" x14ac:dyDescent="0.25">
      <c r="A3087" s="1">
        <v>45960</v>
      </c>
      <c r="B3087">
        <v>2.6175000000000002</v>
      </c>
    </row>
    <row r="3088" spans="1:2" x14ac:dyDescent="0.25">
      <c r="A3088" s="1">
        <v>45961</v>
      </c>
      <c r="B3088">
        <v>2.52</v>
      </c>
    </row>
    <row r="3089" spans="1:2" x14ac:dyDescent="0.25">
      <c r="A3089" s="1">
        <v>45964</v>
      </c>
      <c r="B3089">
        <v>2.4950000000000001</v>
      </c>
    </row>
    <row r="3090" spans="1:2" x14ac:dyDescent="0.25">
      <c r="A3090" s="1">
        <v>45965</v>
      </c>
      <c r="B3090">
        <v>2.4750000000000001</v>
      </c>
    </row>
    <row r="3091" spans="1:2" x14ac:dyDescent="0.25">
      <c r="A3091" s="1">
        <v>45966</v>
      </c>
      <c r="B3091">
        <v>2.34</v>
      </c>
    </row>
    <row r="3092" spans="1:2" x14ac:dyDescent="0.25">
      <c r="A3092" s="1">
        <v>45967</v>
      </c>
      <c r="B3092">
        <v>2.2050000000000001</v>
      </c>
    </row>
    <row r="3093" spans="1:2" x14ac:dyDescent="0.25">
      <c r="A3093" s="1">
        <v>45968</v>
      </c>
      <c r="B3093">
        <v>2.1375000000000002</v>
      </c>
    </row>
    <row r="3094" spans="1:2" x14ac:dyDescent="0.25">
      <c r="A3094" s="1">
        <v>45971</v>
      </c>
      <c r="B3094">
        <v>2.16</v>
      </c>
    </row>
    <row r="3095" spans="1:2" x14ac:dyDescent="0.25">
      <c r="A3095" s="1">
        <v>45972</v>
      </c>
      <c r="B3095">
        <v>2.1924999999999999</v>
      </c>
    </row>
    <row r="3096" spans="1:2" x14ac:dyDescent="0.25">
      <c r="A3096" s="1">
        <v>45973</v>
      </c>
      <c r="B3096">
        <v>2.1974999999999998</v>
      </c>
    </row>
    <row r="3097" spans="1:2" x14ac:dyDescent="0.25">
      <c r="A3097" s="1">
        <v>45974</v>
      </c>
      <c r="B3097">
        <v>2.5924999999999998</v>
      </c>
    </row>
    <row r="3098" spans="1:2" x14ac:dyDescent="0.25">
      <c r="A3098" s="1">
        <v>45975</v>
      </c>
      <c r="B3098">
        <v>2.5449999999999999</v>
      </c>
    </row>
    <row r="3099" spans="1:2" x14ac:dyDescent="0.25">
      <c r="A3099" s="1">
        <v>45978</v>
      </c>
      <c r="B3099">
        <v>2.5375000000000001</v>
      </c>
    </row>
    <row r="3100" spans="1:2" x14ac:dyDescent="0.25">
      <c r="A3100" s="1">
        <v>45979</v>
      </c>
      <c r="B3100">
        <v>2.3374999999999999</v>
      </c>
    </row>
    <row r="3101" spans="1:2" x14ac:dyDescent="0.25">
      <c r="A3101" s="1">
        <v>45980</v>
      </c>
      <c r="B3101">
        <v>2.2200000000000002</v>
      </c>
    </row>
    <row r="3102" spans="1:2" x14ac:dyDescent="0.25">
      <c r="A3102" s="1">
        <v>45981</v>
      </c>
      <c r="B3102">
        <v>2.145</v>
      </c>
    </row>
    <row r="3103" spans="1:2" x14ac:dyDescent="0.25">
      <c r="A3103" s="1">
        <v>45982</v>
      </c>
      <c r="B3103">
        <v>2.1225000000000001</v>
      </c>
    </row>
    <row r="3104" spans="1:2" x14ac:dyDescent="0.25">
      <c r="A3104" s="1">
        <v>45985</v>
      </c>
      <c r="B3104">
        <v>2.1375000000000002</v>
      </c>
    </row>
    <row r="3105" spans="1:2" x14ac:dyDescent="0.25">
      <c r="A3105" s="1">
        <v>45986</v>
      </c>
      <c r="B3105">
        <v>2.4024999999999999</v>
      </c>
    </row>
    <row r="3106" spans="1:2" x14ac:dyDescent="0.25">
      <c r="A3106" s="1">
        <v>45987</v>
      </c>
      <c r="B3106">
        <v>2.5225</v>
      </c>
    </row>
    <row r="3107" spans="1:2" x14ac:dyDescent="0.25">
      <c r="A3107" s="1">
        <v>45988</v>
      </c>
      <c r="B3107">
        <v>2.4950000000000001</v>
      </c>
    </row>
    <row r="3108" spans="1:2" x14ac:dyDescent="0.25">
      <c r="A3108" s="1">
        <v>45989</v>
      </c>
      <c r="B3108">
        <v>2.3925000000000001</v>
      </c>
    </row>
    <row r="3109" spans="1:2" x14ac:dyDescent="0.25">
      <c r="A3109" s="1">
        <v>45992</v>
      </c>
      <c r="B3109">
        <v>2.4</v>
      </c>
    </row>
    <row r="3110" spans="1:2" x14ac:dyDescent="0.25">
      <c r="A3110" s="1">
        <v>45993</v>
      </c>
      <c r="B3110">
        <v>2.3275000000000001</v>
      </c>
    </row>
    <row r="3111" spans="1:2" x14ac:dyDescent="0.25">
      <c r="A3111" s="1">
        <v>45994</v>
      </c>
      <c r="B3111">
        <v>2.42</v>
      </c>
    </row>
    <row r="3112" spans="1:2" x14ac:dyDescent="0.25">
      <c r="A3112" s="1">
        <v>45995</v>
      </c>
      <c r="B3112">
        <v>2.2999999999999998</v>
      </c>
    </row>
    <row r="3113" spans="1:2" x14ac:dyDescent="0.25">
      <c r="A3113" s="1">
        <v>45996</v>
      </c>
      <c r="B3113">
        <v>2.2999999999999998</v>
      </c>
    </row>
    <row r="3114" spans="1:2" x14ac:dyDescent="0.25">
      <c r="A3114" s="1">
        <v>45999</v>
      </c>
      <c r="B3114">
        <v>2.3174999999999999</v>
      </c>
    </row>
    <row r="3115" spans="1:2" x14ac:dyDescent="0.25">
      <c r="A3115" s="1">
        <v>46000</v>
      </c>
      <c r="B3115">
        <v>2.36</v>
      </c>
    </row>
    <row r="3116" spans="1:2" x14ac:dyDescent="0.25">
      <c r="A3116" s="1">
        <v>46001</v>
      </c>
      <c r="B3116">
        <v>2.2524999999999999</v>
      </c>
    </row>
    <row r="3117" spans="1:2" x14ac:dyDescent="0.25">
      <c r="A3117" s="1">
        <v>46002</v>
      </c>
      <c r="B3117">
        <v>2.3050000000000002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5"/>
  <sheetViews>
    <sheetView workbookViewId="0">
      <selection activeCell="E1" sqref="E1"/>
    </sheetView>
  </sheetViews>
  <sheetFormatPr defaultColWidth="8.85546875" defaultRowHeight="15" x14ac:dyDescent="0.25"/>
  <cols>
    <col min="2" max="2" width="7" bestFit="1" customWidth="1"/>
  </cols>
  <sheetData>
    <row r="1" spans="1:6" x14ac:dyDescent="0.25">
      <c r="A1" s="1">
        <f>_xll.BDH("USDCNH Curncy","PX_LAST","20140101","20251231","cols=2;rows=3115")</f>
        <v>41640</v>
      </c>
      <c r="B1">
        <v>6.0542999999999996</v>
      </c>
      <c r="C1" s="1">
        <f>_xll.BDH("USDCNY Curncy","PX_LAST","20140101","20251231","cols=2;rows=2907")</f>
        <v>41641</v>
      </c>
      <c r="D1">
        <v>6.0506000000000002</v>
      </c>
      <c r="E1" s="1">
        <f>_xll.BDH("CNY Curncy","PX_LAST","20140101","20251231","cols=2;rows=2907")</f>
        <v>41641</v>
      </c>
      <c r="F1">
        <v>6.0506000000000002</v>
      </c>
    </row>
    <row r="2" spans="1:6" x14ac:dyDescent="0.25">
      <c r="A2" s="1">
        <v>41641</v>
      </c>
      <c r="B2">
        <v>6.0515999999999996</v>
      </c>
      <c r="C2" s="1">
        <v>41642</v>
      </c>
      <c r="D2">
        <v>6.0517000000000003</v>
      </c>
      <c r="E2" s="1">
        <v>41642</v>
      </c>
      <c r="F2">
        <v>6.0517000000000003</v>
      </c>
    </row>
    <row r="3" spans="1:6" x14ac:dyDescent="0.25">
      <c r="A3" s="1">
        <v>41642</v>
      </c>
      <c r="B3">
        <v>6.0491999999999999</v>
      </c>
      <c r="C3" s="1">
        <v>41645</v>
      </c>
      <c r="D3">
        <v>6.0523999999999996</v>
      </c>
      <c r="E3" s="1">
        <v>41645</v>
      </c>
      <c r="F3">
        <v>6.0523999999999996</v>
      </c>
    </row>
    <row r="4" spans="1:6" x14ac:dyDescent="0.25">
      <c r="A4" s="1">
        <v>41645</v>
      </c>
      <c r="B4">
        <v>6.0438999999999998</v>
      </c>
      <c r="C4" s="1">
        <v>41646</v>
      </c>
      <c r="D4">
        <v>6.0511999999999997</v>
      </c>
      <c r="E4" s="1">
        <v>41646</v>
      </c>
      <c r="F4">
        <v>6.0511999999999997</v>
      </c>
    </row>
    <row r="5" spans="1:6" x14ac:dyDescent="0.25">
      <c r="A5" s="1">
        <v>41646</v>
      </c>
      <c r="B5">
        <v>6.0392999999999999</v>
      </c>
      <c r="C5" s="1">
        <v>41647</v>
      </c>
      <c r="D5">
        <v>6.0513000000000003</v>
      </c>
      <c r="E5" s="1">
        <v>41647</v>
      </c>
      <c r="F5">
        <v>6.0513000000000003</v>
      </c>
    </row>
    <row r="6" spans="1:6" x14ac:dyDescent="0.25">
      <c r="A6" s="1">
        <v>41647</v>
      </c>
      <c r="B6">
        <v>6.0391000000000004</v>
      </c>
      <c r="C6" s="1">
        <v>41648</v>
      </c>
      <c r="D6">
        <v>6.0553999999999997</v>
      </c>
      <c r="E6" s="1">
        <v>41648</v>
      </c>
      <c r="F6">
        <v>6.0553999999999997</v>
      </c>
    </row>
    <row r="7" spans="1:6" x14ac:dyDescent="0.25">
      <c r="A7" s="1">
        <v>41648</v>
      </c>
      <c r="B7">
        <v>6.0400999999999998</v>
      </c>
      <c r="C7" s="1">
        <v>41649</v>
      </c>
      <c r="D7">
        <v>6.0519999999999996</v>
      </c>
      <c r="E7" s="1">
        <v>41649</v>
      </c>
      <c r="F7">
        <v>6.0519999999999996</v>
      </c>
    </row>
    <row r="8" spans="1:6" x14ac:dyDescent="0.25">
      <c r="A8" s="1">
        <v>41649</v>
      </c>
      <c r="B8">
        <v>6.0330000000000004</v>
      </c>
      <c r="C8" s="1">
        <v>41652</v>
      </c>
      <c r="D8">
        <v>6.0437000000000003</v>
      </c>
      <c r="E8" s="1">
        <v>41652</v>
      </c>
      <c r="F8">
        <v>6.0437000000000003</v>
      </c>
    </row>
    <row r="9" spans="1:6" x14ac:dyDescent="0.25">
      <c r="A9" s="1">
        <v>41652</v>
      </c>
      <c r="B9">
        <v>6.0294999999999996</v>
      </c>
      <c r="C9" s="1">
        <v>41653</v>
      </c>
      <c r="D9">
        <v>6.0408999999999997</v>
      </c>
      <c r="E9" s="1">
        <v>41653</v>
      </c>
      <c r="F9">
        <v>6.0408999999999997</v>
      </c>
    </row>
    <row r="10" spans="1:6" x14ac:dyDescent="0.25">
      <c r="A10" s="1">
        <v>41653</v>
      </c>
      <c r="B10">
        <v>6.0197000000000003</v>
      </c>
      <c r="C10" s="1">
        <v>41654</v>
      </c>
      <c r="D10">
        <v>6.0460000000000003</v>
      </c>
      <c r="E10" s="1">
        <v>41654</v>
      </c>
      <c r="F10">
        <v>6.0460000000000003</v>
      </c>
    </row>
    <row r="11" spans="1:6" x14ac:dyDescent="0.25">
      <c r="A11" s="1">
        <v>41654</v>
      </c>
      <c r="B11">
        <v>6.0221999999999998</v>
      </c>
      <c r="C11" s="1">
        <v>41655</v>
      </c>
      <c r="D11">
        <v>6.0561999999999996</v>
      </c>
      <c r="E11" s="1">
        <v>41655</v>
      </c>
      <c r="F11">
        <v>6.0561999999999996</v>
      </c>
    </row>
    <row r="12" spans="1:6" x14ac:dyDescent="0.25">
      <c r="A12" s="1">
        <v>41655</v>
      </c>
      <c r="B12">
        <v>6.0251000000000001</v>
      </c>
      <c r="C12" s="1">
        <v>41656</v>
      </c>
      <c r="D12">
        <v>6.0495999999999999</v>
      </c>
      <c r="E12" s="1">
        <v>41656</v>
      </c>
      <c r="F12">
        <v>6.0495999999999999</v>
      </c>
    </row>
    <row r="13" spans="1:6" x14ac:dyDescent="0.25">
      <c r="A13" s="1">
        <v>41656</v>
      </c>
      <c r="B13">
        <v>6.0232999999999999</v>
      </c>
      <c r="C13" s="1">
        <v>41659</v>
      </c>
      <c r="D13">
        <v>6.0526</v>
      </c>
      <c r="E13" s="1">
        <v>41659</v>
      </c>
      <c r="F13">
        <v>6.0526</v>
      </c>
    </row>
    <row r="14" spans="1:6" x14ac:dyDescent="0.25">
      <c r="A14" s="1">
        <v>41659</v>
      </c>
      <c r="B14">
        <v>6.0195999999999996</v>
      </c>
      <c r="C14" s="1">
        <v>41660</v>
      </c>
      <c r="D14">
        <v>6.0503999999999998</v>
      </c>
      <c r="E14" s="1">
        <v>41660</v>
      </c>
      <c r="F14">
        <v>6.0503999999999998</v>
      </c>
    </row>
    <row r="15" spans="1:6" x14ac:dyDescent="0.25">
      <c r="A15" s="1">
        <v>41660</v>
      </c>
      <c r="B15">
        <v>6.0320999999999998</v>
      </c>
      <c r="C15" s="1">
        <v>41661</v>
      </c>
      <c r="D15">
        <v>6.0513000000000003</v>
      </c>
      <c r="E15" s="1">
        <v>41661</v>
      </c>
      <c r="F15">
        <v>6.0513000000000003</v>
      </c>
    </row>
    <row r="16" spans="1:6" x14ac:dyDescent="0.25">
      <c r="A16" s="1">
        <v>41661</v>
      </c>
      <c r="B16">
        <v>6.0290999999999997</v>
      </c>
      <c r="C16" s="1">
        <v>41662</v>
      </c>
      <c r="D16">
        <v>6.0517000000000003</v>
      </c>
      <c r="E16" s="1">
        <v>41662</v>
      </c>
      <c r="F16">
        <v>6.0517000000000003</v>
      </c>
    </row>
    <row r="17" spans="1:6" x14ac:dyDescent="0.25">
      <c r="A17" s="1">
        <v>41662</v>
      </c>
      <c r="B17">
        <v>6.0380000000000003</v>
      </c>
      <c r="C17" s="1">
        <v>41663</v>
      </c>
      <c r="D17">
        <v>6.0484</v>
      </c>
      <c r="E17" s="1">
        <v>41663</v>
      </c>
      <c r="F17">
        <v>6.0484</v>
      </c>
    </row>
    <row r="18" spans="1:6" x14ac:dyDescent="0.25">
      <c r="A18" s="1">
        <v>41663</v>
      </c>
      <c r="B18">
        <v>6.0430000000000001</v>
      </c>
      <c r="C18" s="1">
        <v>41666</v>
      </c>
      <c r="D18">
        <v>6.048</v>
      </c>
      <c r="E18" s="1">
        <v>41666</v>
      </c>
      <c r="F18">
        <v>6.048</v>
      </c>
    </row>
    <row r="19" spans="1:6" x14ac:dyDescent="0.25">
      <c r="A19" s="1">
        <v>41666</v>
      </c>
      <c r="B19">
        <v>6.0377000000000001</v>
      </c>
      <c r="C19" s="1">
        <v>41667</v>
      </c>
      <c r="D19">
        <v>6.0507999999999997</v>
      </c>
      <c r="E19" s="1">
        <v>41667</v>
      </c>
      <c r="F19">
        <v>6.0507999999999997</v>
      </c>
    </row>
    <row r="20" spans="1:6" x14ac:dyDescent="0.25">
      <c r="A20" s="1">
        <v>41667</v>
      </c>
      <c r="B20">
        <v>6.0304000000000002</v>
      </c>
      <c r="C20" s="1">
        <v>41668</v>
      </c>
      <c r="D20">
        <v>6.0557999999999996</v>
      </c>
      <c r="E20" s="1">
        <v>41668</v>
      </c>
      <c r="F20">
        <v>6.0557999999999996</v>
      </c>
    </row>
    <row r="21" spans="1:6" x14ac:dyDescent="0.25">
      <c r="A21" s="1">
        <v>41668</v>
      </c>
      <c r="B21">
        <v>6.0307000000000004</v>
      </c>
      <c r="C21" s="1">
        <v>41669</v>
      </c>
      <c r="D21">
        <v>6.0598000000000001</v>
      </c>
      <c r="E21" s="1">
        <v>41669</v>
      </c>
      <c r="F21">
        <v>6.0598000000000001</v>
      </c>
    </row>
    <row r="22" spans="1:6" x14ac:dyDescent="0.25">
      <c r="A22" s="1">
        <v>41669</v>
      </c>
      <c r="B22">
        <v>6.0347</v>
      </c>
      <c r="C22" s="1">
        <v>41677</v>
      </c>
      <c r="D22">
        <v>6.0633999999999997</v>
      </c>
      <c r="E22" s="1">
        <v>41677</v>
      </c>
      <c r="F22">
        <v>6.0633999999999997</v>
      </c>
    </row>
    <row r="23" spans="1:6" x14ac:dyDescent="0.25">
      <c r="A23" s="1">
        <v>41670</v>
      </c>
      <c r="B23">
        <v>6.0370999999999997</v>
      </c>
      <c r="C23" s="1">
        <v>41680</v>
      </c>
      <c r="D23">
        <v>6.06</v>
      </c>
      <c r="E23" s="1">
        <v>41680</v>
      </c>
      <c r="F23">
        <v>6.06</v>
      </c>
    </row>
    <row r="24" spans="1:6" x14ac:dyDescent="0.25">
      <c r="A24" s="1">
        <v>41673</v>
      </c>
      <c r="B24">
        <v>6.0334000000000003</v>
      </c>
      <c r="C24" s="1">
        <v>41681</v>
      </c>
      <c r="D24">
        <v>6.0609000000000002</v>
      </c>
      <c r="E24" s="1">
        <v>41681</v>
      </c>
      <c r="F24">
        <v>6.0609000000000002</v>
      </c>
    </row>
    <row r="25" spans="1:6" x14ac:dyDescent="0.25">
      <c r="A25" s="1">
        <v>41674</v>
      </c>
      <c r="B25">
        <v>6.0278999999999998</v>
      </c>
      <c r="C25" s="1">
        <v>41682</v>
      </c>
      <c r="D25">
        <v>6.0618999999999996</v>
      </c>
      <c r="E25" s="1">
        <v>41682</v>
      </c>
      <c r="F25">
        <v>6.0618999999999996</v>
      </c>
    </row>
    <row r="26" spans="1:6" x14ac:dyDescent="0.25">
      <c r="A26" s="1">
        <v>41675</v>
      </c>
      <c r="B26">
        <v>6.0286</v>
      </c>
      <c r="C26" s="1">
        <v>41683</v>
      </c>
      <c r="D26">
        <v>6.0636000000000001</v>
      </c>
      <c r="E26" s="1">
        <v>41683</v>
      </c>
      <c r="F26">
        <v>6.0636000000000001</v>
      </c>
    </row>
    <row r="27" spans="1:6" x14ac:dyDescent="0.25">
      <c r="A27" s="1">
        <v>41676</v>
      </c>
      <c r="B27">
        <v>6.0258000000000003</v>
      </c>
      <c r="C27" s="1">
        <v>41684</v>
      </c>
      <c r="D27">
        <v>6.0683999999999996</v>
      </c>
      <c r="E27" s="1">
        <v>41684</v>
      </c>
      <c r="F27">
        <v>6.0683999999999996</v>
      </c>
    </row>
    <row r="28" spans="1:6" x14ac:dyDescent="0.25">
      <c r="A28" s="1">
        <v>41677</v>
      </c>
      <c r="B28">
        <v>6.0274999999999999</v>
      </c>
      <c r="C28" s="1">
        <v>41687</v>
      </c>
      <c r="D28">
        <v>6.0637999999999996</v>
      </c>
      <c r="E28" s="1">
        <v>41687</v>
      </c>
      <c r="F28">
        <v>6.0637999999999996</v>
      </c>
    </row>
    <row r="29" spans="1:6" x14ac:dyDescent="0.25">
      <c r="A29" s="1">
        <v>41680</v>
      </c>
      <c r="B29">
        <v>6.0357000000000003</v>
      </c>
      <c r="C29" s="1">
        <v>41688</v>
      </c>
      <c r="D29">
        <v>6.0674999999999999</v>
      </c>
      <c r="E29" s="1">
        <v>41688</v>
      </c>
      <c r="F29">
        <v>6.0674999999999999</v>
      </c>
    </row>
    <row r="30" spans="1:6" x14ac:dyDescent="0.25">
      <c r="A30" s="1">
        <v>41681</v>
      </c>
      <c r="B30">
        <v>6.0358999999999998</v>
      </c>
      <c r="C30" s="1">
        <v>41689</v>
      </c>
      <c r="D30">
        <v>6.0766</v>
      </c>
      <c r="E30" s="1">
        <v>41689</v>
      </c>
      <c r="F30">
        <v>6.0766</v>
      </c>
    </row>
    <row r="31" spans="1:6" x14ac:dyDescent="0.25">
      <c r="A31" s="1">
        <v>41682</v>
      </c>
      <c r="B31">
        <v>6.0370999999999997</v>
      </c>
      <c r="C31" s="1">
        <v>41690</v>
      </c>
      <c r="D31">
        <v>6.0842000000000001</v>
      </c>
      <c r="E31" s="1">
        <v>41690</v>
      </c>
      <c r="F31">
        <v>6.0842000000000001</v>
      </c>
    </row>
    <row r="32" spans="1:6" x14ac:dyDescent="0.25">
      <c r="A32" s="1">
        <v>41683</v>
      </c>
      <c r="B32">
        <v>6.0404</v>
      </c>
      <c r="C32" s="1">
        <v>41691</v>
      </c>
      <c r="D32">
        <v>6.0914999999999999</v>
      </c>
      <c r="E32" s="1">
        <v>41691</v>
      </c>
      <c r="F32">
        <v>6.0914999999999999</v>
      </c>
    </row>
    <row r="33" spans="1:6" x14ac:dyDescent="0.25">
      <c r="A33" s="1">
        <v>41684</v>
      </c>
      <c r="B33">
        <v>6.0351999999999997</v>
      </c>
      <c r="C33" s="1">
        <v>41694</v>
      </c>
      <c r="D33">
        <v>6.0978000000000003</v>
      </c>
      <c r="E33" s="1">
        <v>41694</v>
      </c>
      <c r="F33">
        <v>6.0978000000000003</v>
      </c>
    </row>
    <row r="34" spans="1:6" x14ac:dyDescent="0.25">
      <c r="A34" s="1">
        <v>41687</v>
      </c>
      <c r="B34">
        <v>6.0354000000000001</v>
      </c>
      <c r="C34" s="1">
        <v>41695</v>
      </c>
      <c r="D34">
        <v>6.1245000000000003</v>
      </c>
      <c r="E34" s="1">
        <v>41695</v>
      </c>
      <c r="F34">
        <v>6.1245000000000003</v>
      </c>
    </row>
    <row r="35" spans="1:6" x14ac:dyDescent="0.25">
      <c r="A35" s="1">
        <v>41688</v>
      </c>
      <c r="B35">
        <v>6.0377999999999998</v>
      </c>
      <c r="C35" s="1">
        <v>41696</v>
      </c>
      <c r="D35">
        <v>6.1238999999999999</v>
      </c>
      <c r="E35" s="1">
        <v>41696</v>
      </c>
      <c r="F35">
        <v>6.1238999999999999</v>
      </c>
    </row>
    <row r="36" spans="1:6" x14ac:dyDescent="0.25">
      <c r="A36" s="1">
        <v>41689</v>
      </c>
      <c r="B36">
        <v>6.0503999999999998</v>
      </c>
      <c r="C36" s="1">
        <v>41697</v>
      </c>
      <c r="D36">
        <v>6.1285999999999996</v>
      </c>
      <c r="E36" s="1">
        <v>41697</v>
      </c>
      <c r="F36">
        <v>6.1285999999999996</v>
      </c>
    </row>
    <row r="37" spans="1:6" x14ac:dyDescent="0.25">
      <c r="A37" s="1">
        <v>41690</v>
      </c>
      <c r="B37">
        <v>6.0717999999999996</v>
      </c>
      <c r="C37" s="1">
        <v>41698</v>
      </c>
      <c r="D37">
        <v>6.1426999999999996</v>
      </c>
      <c r="E37" s="1">
        <v>41698</v>
      </c>
      <c r="F37">
        <v>6.1426999999999996</v>
      </c>
    </row>
    <row r="38" spans="1:6" x14ac:dyDescent="0.25">
      <c r="A38" s="1">
        <v>41691</v>
      </c>
      <c r="B38">
        <v>6.0933000000000002</v>
      </c>
      <c r="C38" s="1">
        <v>41701</v>
      </c>
      <c r="D38">
        <v>6.1459999999999999</v>
      </c>
      <c r="E38" s="1">
        <v>41701</v>
      </c>
      <c r="F38">
        <v>6.1459999999999999</v>
      </c>
    </row>
    <row r="39" spans="1:6" x14ac:dyDescent="0.25">
      <c r="A39" s="1">
        <v>41694</v>
      </c>
      <c r="B39">
        <v>6.0972999999999997</v>
      </c>
      <c r="C39" s="1">
        <v>41702</v>
      </c>
      <c r="D39">
        <v>6.1429999999999998</v>
      </c>
      <c r="E39" s="1">
        <v>41702</v>
      </c>
      <c r="F39">
        <v>6.1429999999999998</v>
      </c>
    </row>
    <row r="40" spans="1:6" x14ac:dyDescent="0.25">
      <c r="A40" s="1">
        <v>41695</v>
      </c>
      <c r="B40">
        <v>6.1157000000000004</v>
      </c>
      <c r="C40" s="1">
        <v>41703</v>
      </c>
      <c r="D40">
        <v>6.1285999999999996</v>
      </c>
      <c r="E40" s="1">
        <v>41703</v>
      </c>
      <c r="F40">
        <v>6.1285999999999996</v>
      </c>
    </row>
    <row r="41" spans="1:6" x14ac:dyDescent="0.25">
      <c r="A41" s="1">
        <v>41696</v>
      </c>
      <c r="B41">
        <v>6.1188000000000002</v>
      </c>
      <c r="C41" s="1">
        <v>41704</v>
      </c>
      <c r="D41">
        <v>6.1186999999999996</v>
      </c>
      <c r="E41" s="1">
        <v>41704</v>
      </c>
      <c r="F41">
        <v>6.1186999999999996</v>
      </c>
    </row>
    <row r="42" spans="1:6" x14ac:dyDescent="0.25">
      <c r="A42" s="1">
        <v>41697</v>
      </c>
      <c r="B42">
        <v>6.101</v>
      </c>
      <c r="C42" s="1">
        <v>41705</v>
      </c>
      <c r="D42">
        <v>6.1284999999999998</v>
      </c>
      <c r="E42" s="1">
        <v>41705</v>
      </c>
      <c r="F42">
        <v>6.1284999999999998</v>
      </c>
    </row>
    <row r="43" spans="1:6" x14ac:dyDescent="0.25">
      <c r="A43" s="1">
        <v>41698</v>
      </c>
      <c r="B43">
        <v>6.1195000000000004</v>
      </c>
      <c r="C43" s="1">
        <v>41708</v>
      </c>
      <c r="D43">
        <v>6.1391999999999998</v>
      </c>
      <c r="E43" s="1">
        <v>41708</v>
      </c>
      <c r="F43">
        <v>6.1391999999999998</v>
      </c>
    </row>
    <row r="44" spans="1:6" x14ac:dyDescent="0.25">
      <c r="A44" s="1">
        <v>41701</v>
      </c>
      <c r="B44">
        <v>6.1266999999999996</v>
      </c>
      <c r="C44" s="1">
        <v>41709</v>
      </c>
      <c r="D44">
        <v>6.1402000000000001</v>
      </c>
      <c r="E44" s="1">
        <v>41709</v>
      </c>
      <c r="F44">
        <v>6.1402000000000001</v>
      </c>
    </row>
    <row r="45" spans="1:6" x14ac:dyDescent="0.25">
      <c r="A45" s="1">
        <v>41702</v>
      </c>
      <c r="B45">
        <v>6.1306000000000003</v>
      </c>
      <c r="C45" s="1">
        <v>41710</v>
      </c>
      <c r="D45">
        <v>6.1456999999999997</v>
      </c>
      <c r="E45" s="1">
        <v>41710</v>
      </c>
      <c r="F45">
        <v>6.1456999999999997</v>
      </c>
    </row>
    <row r="46" spans="1:6" x14ac:dyDescent="0.25">
      <c r="A46" s="1">
        <v>41703</v>
      </c>
      <c r="B46">
        <v>6.1215000000000002</v>
      </c>
      <c r="C46" s="1">
        <v>41711</v>
      </c>
      <c r="D46">
        <v>6.1369999999999996</v>
      </c>
      <c r="E46" s="1">
        <v>41711</v>
      </c>
      <c r="F46">
        <v>6.1369999999999996</v>
      </c>
    </row>
    <row r="47" spans="1:6" x14ac:dyDescent="0.25">
      <c r="A47" s="1">
        <v>41704</v>
      </c>
      <c r="B47">
        <v>6.1006999999999998</v>
      </c>
      <c r="C47" s="1">
        <v>41712</v>
      </c>
      <c r="D47">
        <v>6.15</v>
      </c>
      <c r="E47" s="1">
        <v>41712</v>
      </c>
      <c r="F47">
        <v>6.15</v>
      </c>
    </row>
    <row r="48" spans="1:6" x14ac:dyDescent="0.25">
      <c r="A48" s="1">
        <v>41705</v>
      </c>
      <c r="B48">
        <v>6.11</v>
      </c>
      <c r="C48" s="1">
        <v>41715</v>
      </c>
      <c r="D48">
        <v>6.1775000000000002</v>
      </c>
      <c r="E48" s="1">
        <v>41715</v>
      </c>
      <c r="F48">
        <v>6.1775000000000002</v>
      </c>
    </row>
    <row r="49" spans="1:6" x14ac:dyDescent="0.25">
      <c r="A49" s="1">
        <v>41708</v>
      </c>
      <c r="B49">
        <v>6.1368</v>
      </c>
      <c r="C49" s="1">
        <v>41716</v>
      </c>
      <c r="D49">
        <v>6.1950000000000003</v>
      </c>
      <c r="E49" s="1">
        <v>41716</v>
      </c>
      <c r="F49">
        <v>6.1950000000000003</v>
      </c>
    </row>
    <row r="50" spans="1:6" x14ac:dyDescent="0.25">
      <c r="A50" s="1">
        <v>41709</v>
      </c>
      <c r="B50">
        <v>6.1412000000000004</v>
      </c>
      <c r="C50" s="1">
        <v>41717</v>
      </c>
      <c r="D50">
        <v>6.1942000000000004</v>
      </c>
      <c r="E50" s="1">
        <v>41717</v>
      </c>
      <c r="F50">
        <v>6.1942000000000004</v>
      </c>
    </row>
    <row r="51" spans="1:6" x14ac:dyDescent="0.25">
      <c r="A51" s="1">
        <v>41710</v>
      </c>
      <c r="B51">
        <v>6.1414</v>
      </c>
      <c r="C51" s="1">
        <v>41718</v>
      </c>
      <c r="D51">
        <v>6.2286000000000001</v>
      </c>
      <c r="E51" s="1">
        <v>41718</v>
      </c>
      <c r="F51">
        <v>6.2286000000000001</v>
      </c>
    </row>
    <row r="52" spans="1:6" x14ac:dyDescent="0.25">
      <c r="A52" s="1">
        <v>41711</v>
      </c>
      <c r="B52">
        <v>6.1430999999999996</v>
      </c>
      <c r="C52" s="1">
        <v>41719</v>
      </c>
      <c r="D52">
        <v>6.2249999999999996</v>
      </c>
      <c r="E52" s="1">
        <v>41719</v>
      </c>
      <c r="F52">
        <v>6.2249999999999996</v>
      </c>
    </row>
    <row r="53" spans="1:6" x14ac:dyDescent="0.25">
      <c r="A53" s="1">
        <v>41712</v>
      </c>
      <c r="B53">
        <v>6.1553000000000004</v>
      </c>
      <c r="C53" s="1">
        <v>41722</v>
      </c>
      <c r="D53">
        <v>6.1887999999999996</v>
      </c>
      <c r="E53" s="1">
        <v>41722</v>
      </c>
      <c r="F53">
        <v>6.1887999999999996</v>
      </c>
    </row>
    <row r="54" spans="1:6" x14ac:dyDescent="0.25">
      <c r="A54" s="1">
        <v>41715</v>
      </c>
      <c r="B54">
        <v>6.1604000000000001</v>
      </c>
      <c r="C54" s="1">
        <v>41723</v>
      </c>
      <c r="D54">
        <v>6.2001999999999997</v>
      </c>
      <c r="E54" s="1">
        <v>41723</v>
      </c>
      <c r="F54">
        <v>6.2001999999999997</v>
      </c>
    </row>
    <row r="55" spans="1:6" x14ac:dyDescent="0.25">
      <c r="A55" s="1">
        <v>41716</v>
      </c>
      <c r="B55">
        <v>6.1778000000000004</v>
      </c>
      <c r="C55" s="1">
        <v>41724</v>
      </c>
      <c r="D55">
        <v>6.2088999999999999</v>
      </c>
      <c r="E55" s="1">
        <v>41724</v>
      </c>
      <c r="F55">
        <v>6.2088999999999999</v>
      </c>
    </row>
    <row r="56" spans="1:6" x14ac:dyDescent="0.25">
      <c r="A56" s="1">
        <v>41717</v>
      </c>
      <c r="B56">
        <v>6.1927000000000003</v>
      </c>
      <c r="C56" s="1">
        <v>41725</v>
      </c>
      <c r="D56">
        <v>6.2142999999999997</v>
      </c>
      <c r="E56" s="1">
        <v>41725</v>
      </c>
      <c r="F56">
        <v>6.2142999999999997</v>
      </c>
    </row>
    <row r="57" spans="1:6" x14ac:dyDescent="0.25">
      <c r="A57" s="1">
        <v>41718</v>
      </c>
      <c r="B57">
        <v>6.2065999999999999</v>
      </c>
      <c r="C57" s="1">
        <v>41726</v>
      </c>
      <c r="D57">
        <v>6.2127999999999997</v>
      </c>
      <c r="E57" s="1">
        <v>41726</v>
      </c>
      <c r="F57">
        <v>6.2127999999999997</v>
      </c>
    </row>
    <row r="58" spans="1:6" x14ac:dyDescent="0.25">
      <c r="A58" s="1">
        <v>41719</v>
      </c>
      <c r="B58">
        <v>6.1969000000000003</v>
      </c>
      <c r="C58" s="1">
        <v>41729</v>
      </c>
      <c r="D58">
        <v>6.2168000000000001</v>
      </c>
      <c r="E58" s="1">
        <v>41729</v>
      </c>
      <c r="F58">
        <v>6.2168000000000001</v>
      </c>
    </row>
    <row r="59" spans="1:6" x14ac:dyDescent="0.25">
      <c r="A59" s="1">
        <v>41722</v>
      </c>
      <c r="B59">
        <v>6.181</v>
      </c>
      <c r="C59" s="1">
        <v>41730</v>
      </c>
      <c r="D59">
        <v>6.2068000000000003</v>
      </c>
      <c r="E59" s="1">
        <v>41730</v>
      </c>
      <c r="F59">
        <v>6.2068000000000003</v>
      </c>
    </row>
    <row r="60" spans="1:6" x14ac:dyDescent="0.25">
      <c r="A60" s="1">
        <v>41723</v>
      </c>
      <c r="B60">
        <v>6.1860999999999997</v>
      </c>
      <c r="C60" s="1">
        <v>41731</v>
      </c>
      <c r="D60">
        <v>6.2054999999999998</v>
      </c>
      <c r="E60" s="1">
        <v>41731</v>
      </c>
      <c r="F60">
        <v>6.2054999999999998</v>
      </c>
    </row>
    <row r="61" spans="1:6" x14ac:dyDescent="0.25">
      <c r="A61" s="1">
        <v>41724</v>
      </c>
      <c r="B61">
        <v>6.2032999999999996</v>
      </c>
      <c r="C61" s="1">
        <v>41732</v>
      </c>
      <c r="D61">
        <v>6.2115</v>
      </c>
      <c r="E61" s="1">
        <v>41732</v>
      </c>
      <c r="F61">
        <v>6.2115</v>
      </c>
    </row>
    <row r="62" spans="1:6" x14ac:dyDescent="0.25">
      <c r="A62" s="1">
        <v>41725</v>
      </c>
      <c r="B62">
        <v>6.2080000000000002</v>
      </c>
      <c r="C62" s="1">
        <v>41733</v>
      </c>
      <c r="D62">
        <v>6.2122999999999999</v>
      </c>
      <c r="E62" s="1">
        <v>41733</v>
      </c>
      <c r="F62">
        <v>6.2122999999999999</v>
      </c>
    </row>
    <row r="63" spans="1:6" x14ac:dyDescent="0.25">
      <c r="A63" s="1">
        <v>41726</v>
      </c>
      <c r="B63">
        <v>6.2035999999999998</v>
      </c>
      <c r="C63" s="1">
        <v>41737</v>
      </c>
      <c r="D63">
        <v>6.1966999999999999</v>
      </c>
      <c r="E63" s="1">
        <v>41737</v>
      </c>
      <c r="F63">
        <v>6.1966999999999999</v>
      </c>
    </row>
    <row r="64" spans="1:6" x14ac:dyDescent="0.25">
      <c r="A64" s="1">
        <v>41729</v>
      </c>
      <c r="B64">
        <v>6.2149000000000001</v>
      </c>
      <c r="C64" s="1">
        <v>41738</v>
      </c>
      <c r="D64">
        <v>6.2</v>
      </c>
      <c r="E64" s="1">
        <v>41738</v>
      </c>
      <c r="F64">
        <v>6.2</v>
      </c>
    </row>
    <row r="65" spans="1:6" x14ac:dyDescent="0.25">
      <c r="A65" s="1">
        <v>41730</v>
      </c>
      <c r="B65">
        <v>6.2055999999999996</v>
      </c>
      <c r="C65" s="1">
        <v>41739</v>
      </c>
      <c r="D65">
        <v>6.2125000000000004</v>
      </c>
      <c r="E65" s="1">
        <v>41739</v>
      </c>
      <c r="F65">
        <v>6.2125000000000004</v>
      </c>
    </row>
    <row r="66" spans="1:6" x14ac:dyDescent="0.25">
      <c r="A66" s="1">
        <v>41731</v>
      </c>
      <c r="B66">
        <v>6.2050000000000001</v>
      </c>
      <c r="C66" s="1">
        <v>41740</v>
      </c>
      <c r="D66">
        <v>6.2106000000000003</v>
      </c>
      <c r="E66" s="1">
        <v>41740</v>
      </c>
      <c r="F66">
        <v>6.2106000000000003</v>
      </c>
    </row>
    <row r="67" spans="1:6" x14ac:dyDescent="0.25">
      <c r="A67" s="1">
        <v>41732</v>
      </c>
      <c r="B67">
        <v>6.2154999999999996</v>
      </c>
      <c r="C67" s="1">
        <v>41743</v>
      </c>
      <c r="D67">
        <v>6.2176999999999998</v>
      </c>
      <c r="E67" s="1">
        <v>41743</v>
      </c>
      <c r="F67">
        <v>6.2176999999999998</v>
      </c>
    </row>
    <row r="68" spans="1:6" x14ac:dyDescent="0.25">
      <c r="A68" s="1">
        <v>41733</v>
      </c>
      <c r="B68">
        <v>6.2129000000000003</v>
      </c>
      <c r="C68" s="1">
        <v>41744</v>
      </c>
      <c r="D68">
        <v>6.2210000000000001</v>
      </c>
      <c r="E68" s="1">
        <v>41744</v>
      </c>
      <c r="F68">
        <v>6.2210000000000001</v>
      </c>
    </row>
    <row r="69" spans="1:6" x14ac:dyDescent="0.25">
      <c r="A69" s="1">
        <v>41736</v>
      </c>
      <c r="B69">
        <v>6.2102000000000004</v>
      </c>
      <c r="C69" s="1">
        <v>41745</v>
      </c>
      <c r="D69">
        <v>6.2220000000000004</v>
      </c>
      <c r="E69" s="1">
        <v>41745</v>
      </c>
      <c r="F69">
        <v>6.2220000000000004</v>
      </c>
    </row>
    <row r="70" spans="1:6" x14ac:dyDescent="0.25">
      <c r="A70" s="1">
        <v>41737</v>
      </c>
      <c r="B70">
        <v>6.1913</v>
      </c>
      <c r="C70" s="1">
        <v>41746</v>
      </c>
      <c r="D70">
        <v>6.2187000000000001</v>
      </c>
      <c r="E70" s="1">
        <v>41746</v>
      </c>
      <c r="F70">
        <v>6.2187000000000001</v>
      </c>
    </row>
    <row r="71" spans="1:6" x14ac:dyDescent="0.25">
      <c r="A71" s="1">
        <v>41738</v>
      </c>
      <c r="B71">
        <v>6.1917</v>
      </c>
      <c r="C71" s="1">
        <v>41747</v>
      </c>
      <c r="D71">
        <v>6.2243000000000004</v>
      </c>
      <c r="E71" s="1">
        <v>41747</v>
      </c>
      <c r="F71">
        <v>6.2243000000000004</v>
      </c>
    </row>
    <row r="72" spans="1:6" x14ac:dyDescent="0.25">
      <c r="A72" s="1">
        <v>41739</v>
      </c>
      <c r="B72">
        <v>6.2107000000000001</v>
      </c>
      <c r="C72" s="1">
        <v>41750</v>
      </c>
      <c r="D72">
        <v>6.2272999999999996</v>
      </c>
      <c r="E72" s="1">
        <v>41750</v>
      </c>
      <c r="F72">
        <v>6.2272999999999996</v>
      </c>
    </row>
    <row r="73" spans="1:6" x14ac:dyDescent="0.25">
      <c r="A73" s="1">
        <v>41740</v>
      </c>
      <c r="B73">
        <v>6.2108999999999996</v>
      </c>
      <c r="C73" s="1">
        <v>41751</v>
      </c>
      <c r="D73">
        <v>6.2370000000000001</v>
      </c>
      <c r="E73" s="1">
        <v>41751</v>
      </c>
      <c r="F73">
        <v>6.2370000000000001</v>
      </c>
    </row>
    <row r="74" spans="1:6" x14ac:dyDescent="0.25">
      <c r="A74" s="1">
        <v>41743</v>
      </c>
      <c r="B74">
        <v>6.2228000000000003</v>
      </c>
      <c r="C74" s="1">
        <v>41752</v>
      </c>
      <c r="D74">
        <v>6.2380000000000004</v>
      </c>
      <c r="E74" s="1">
        <v>41752</v>
      </c>
      <c r="F74">
        <v>6.2380000000000004</v>
      </c>
    </row>
    <row r="75" spans="1:6" x14ac:dyDescent="0.25">
      <c r="A75" s="1">
        <v>41744</v>
      </c>
      <c r="B75">
        <v>6.2248999999999999</v>
      </c>
      <c r="C75" s="1">
        <v>41753</v>
      </c>
      <c r="D75">
        <v>6.2504</v>
      </c>
      <c r="E75" s="1">
        <v>41753</v>
      </c>
      <c r="F75">
        <v>6.2504</v>
      </c>
    </row>
    <row r="76" spans="1:6" x14ac:dyDescent="0.25">
      <c r="A76" s="1">
        <v>41745</v>
      </c>
      <c r="B76">
        <v>6.2252999999999998</v>
      </c>
      <c r="C76" s="1">
        <v>41754</v>
      </c>
      <c r="D76">
        <v>6.2529000000000003</v>
      </c>
      <c r="E76" s="1">
        <v>41754</v>
      </c>
      <c r="F76">
        <v>6.2529000000000003</v>
      </c>
    </row>
    <row r="77" spans="1:6" x14ac:dyDescent="0.25">
      <c r="A77" s="1">
        <v>41746</v>
      </c>
      <c r="B77">
        <v>6.2239000000000004</v>
      </c>
      <c r="C77" s="1">
        <v>41757</v>
      </c>
      <c r="D77">
        <v>6.2526000000000002</v>
      </c>
      <c r="E77" s="1">
        <v>41757</v>
      </c>
      <c r="F77">
        <v>6.2526000000000002</v>
      </c>
    </row>
    <row r="78" spans="1:6" x14ac:dyDescent="0.25">
      <c r="A78" s="1">
        <v>41747</v>
      </c>
      <c r="B78">
        <v>6.2245999999999997</v>
      </c>
      <c r="C78" s="1">
        <v>41758</v>
      </c>
      <c r="D78">
        <v>6.258</v>
      </c>
      <c r="E78" s="1">
        <v>41758</v>
      </c>
      <c r="F78">
        <v>6.258</v>
      </c>
    </row>
    <row r="79" spans="1:6" x14ac:dyDescent="0.25">
      <c r="A79" s="1">
        <v>41750</v>
      </c>
      <c r="B79">
        <v>6.2287999999999997</v>
      </c>
      <c r="C79" s="1">
        <v>41759</v>
      </c>
      <c r="D79">
        <v>6.2592999999999996</v>
      </c>
      <c r="E79" s="1">
        <v>41759</v>
      </c>
      <c r="F79">
        <v>6.2592999999999996</v>
      </c>
    </row>
    <row r="80" spans="1:6" x14ac:dyDescent="0.25">
      <c r="A80" s="1">
        <v>41751</v>
      </c>
      <c r="B80">
        <v>6.2377000000000002</v>
      </c>
      <c r="C80" s="1">
        <v>41764</v>
      </c>
      <c r="D80">
        <v>6.2450000000000001</v>
      </c>
      <c r="E80" s="1">
        <v>41764</v>
      </c>
      <c r="F80">
        <v>6.2450000000000001</v>
      </c>
    </row>
    <row r="81" spans="1:6" x14ac:dyDescent="0.25">
      <c r="A81" s="1">
        <v>41752</v>
      </c>
      <c r="B81">
        <v>6.2389000000000001</v>
      </c>
      <c r="C81" s="1">
        <v>41765</v>
      </c>
      <c r="D81">
        <v>6.2263000000000002</v>
      </c>
      <c r="E81" s="1">
        <v>41765</v>
      </c>
      <c r="F81">
        <v>6.2263000000000002</v>
      </c>
    </row>
    <row r="82" spans="1:6" x14ac:dyDescent="0.25">
      <c r="A82" s="1">
        <v>41753</v>
      </c>
      <c r="B82">
        <v>6.2527999999999997</v>
      </c>
      <c r="C82" s="1">
        <v>41766</v>
      </c>
      <c r="D82">
        <v>6.2347999999999999</v>
      </c>
      <c r="E82" s="1">
        <v>41766</v>
      </c>
      <c r="F82">
        <v>6.2347999999999999</v>
      </c>
    </row>
    <row r="83" spans="1:6" x14ac:dyDescent="0.25">
      <c r="A83" s="1">
        <v>41754</v>
      </c>
      <c r="B83">
        <v>6.2568000000000001</v>
      </c>
      <c r="C83" s="1">
        <v>41767</v>
      </c>
      <c r="D83">
        <v>6.2272999999999996</v>
      </c>
      <c r="E83" s="1">
        <v>41767</v>
      </c>
      <c r="F83">
        <v>6.2272999999999996</v>
      </c>
    </row>
    <row r="84" spans="1:6" x14ac:dyDescent="0.25">
      <c r="A84" s="1">
        <v>41757</v>
      </c>
      <c r="B84">
        <v>6.2515999999999998</v>
      </c>
      <c r="C84" s="1">
        <v>41768</v>
      </c>
      <c r="D84">
        <v>6.2272999999999996</v>
      </c>
      <c r="E84" s="1">
        <v>41768</v>
      </c>
      <c r="F84">
        <v>6.2272999999999996</v>
      </c>
    </row>
    <row r="85" spans="1:6" x14ac:dyDescent="0.25">
      <c r="A85" s="1">
        <v>41758</v>
      </c>
      <c r="B85">
        <v>6.2586000000000004</v>
      </c>
      <c r="C85" s="1">
        <v>41771</v>
      </c>
      <c r="D85">
        <v>6.2371999999999996</v>
      </c>
      <c r="E85" s="1">
        <v>41771</v>
      </c>
      <c r="F85">
        <v>6.2371999999999996</v>
      </c>
    </row>
    <row r="86" spans="1:6" x14ac:dyDescent="0.25">
      <c r="A86" s="1">
        <v>41759</v>
      </c>
      <c r="B86">
        <v>6.2525000000000004</v>
      </c>
      <c r="C86" s="1">
        <v>41772</v>
      </c>
      <c r="D86">
        <v>6.2286999999999999</v>
      </c>
      <c r="E86" s="1">
        <v>41772</v>
      </c>
      <c r="F86">
        <v>6.2286999999999999</v>
      </c>
    </row>
    <row r="87" spans="1:6" x14ac:dyDescent="0.25">
      <c r="A87" s="1">
        <v>41760</v>
      </c>
      <c r="B87">
        <v>6.2526000000000002</v>
      </c>
      <c r="C87" s="1">
        <v>41773</v>
      </c>
      <c r="D87">
        <v>6.2290000000000001</v>
      </c>
      <c r="E87" s="1">
        <v>41773</v>
      </c>
      <c r="F87">
        <v>6.2290000000000001</v>
      </c>
    </row>
    <row r="88" spans="1:6" x14ac:dyDescent="0.25">
      <c r="A88" s="1">
        <v>41761</v>
      </c>
      <c r="B88">
        <v>6.2567000000000004</v>
      </c>
      <c r="C88" s="1">
        <v>41774</v>
      </c>
      <c r="D88">
        <v>6.2298</v>
      </c>
      <c r="E88" s="1">
        <v>41774</v>
      </c>
      <c r="F88">
        <v>6.2298</v>
      </c>
    </row>
    <row r="89" spans="1:6" x14ac:dyDescent="0.25">
      <c r="A89" s="1">
        <v>41764</v>
      </c>
      <c r="B89">
        <v>6.2435</v>
      </c>
      <c r="C89" s="1">
        <v>41775</v>
      </c>
      <c r="D89">
        <v>6.2335000000000003</v>
      </c>
      <c r="E89" s="1">
        <v>41775</v>
      </c>
      <c r="F89">
        <v>6.2335000000000003</v>
      </c>
    </row>
    <row r="90" spans="1:6" x14ac:dyDescent="0.25">
      <c r="A90" s="1">
        <v>41765</v>
      </c>
      <c r="B90">
        <v>6.2222</v>
      </c>
      <c r="C90" s="1">
        <v>41778</v>
      </c>
      <c r="D90">
        <v>6.2373000000000003</v>
      </c>
      <c r="E90" s="1">
        <v>41778</v>
      </c>
      <c r="F90">
        <v>6.2373000000000003</v>
      </c>
    </row>
    <row r="91" spans="1:6" x14ac:dyDescent="0.25">
      <c r="A91" s="1">
        <v>41766</v>
      </c>
      <c r="B91">
        <v>6.2342000000000004</v>
      </c>
      <c r="C91" s="1">
        <v>41779</v>
      </c>
      <c r="D91">
        <v>6.2378</v>
      </c>
      <c r="E91" s="1">
        <v>41779</v>
      </c>
      <c r="F91">
        <v>6.2378</v>
      </c>
    </row>
    <row r="92" spans="1:6" x14ac:dyDescent="0.25">
      <c r="A92" s="1">
        <v>41767</v>
      </c>
      <c r="B92">
        <v>6.2323000000000004</v>
      </c>
      <c r="C92" s="1">
        <v>41780</v>
      </c>
      <c r="D92">
        <v>6.2337999999999996</v>
      </c>
      <c r="E92" s="1">
        <v>41780</v>
      </c>
      <c r="F92">
        <v>6.2337999999999996</v>
      </c>
    </row>
    <row r="93" spans="1:6" x14ac:dyDescent="0.25">
      <c r="A93" s="1">
        <v>41768</v>
      </c>
      <c r="B93">
        <v>6.2347999999999999</v>
      </c>
      <c r="C93" s="1">
        <v>41781</v>
      </c>
      <c r="D93">
        <v>6.2351000000000001</v>
      </c>
      <c r="E93" s="1">
        <v>41781</v>
      </c>
      <c r="F93">
        <v>6.2351000000000001</v>
      </c>
    </row>
    <row r="94" spans="1:6" x14ac:dyDescent="0.25">
      <c r="A94" s="1">
        <v>41771</v>
      </c>
      <c r="B94">
        <v>6.2426000000000004</v>
      </c>
      <c r="C94" s="1">
        <v>41782</v>
      </c>
      <c r="D94">
        <v>6.2362000000000002</v>
      </c>
      <c r="E94" s="1">
        <v>41782</v>
      </c>
      <c r="F94">
        <v>6.2362000000000002</v>
      </c>
    </row>
    <row r="95" spans="1:6" x14ac:dyDescent="0.25">
      <c r="A95" s="1">
        <v>41772</v>
      </c>
      <c r="B95">
        <v>6.2365000000000004</v>
      </c>
      <c r="C95" s="1">
        <v>41785</v>
      </c>
      <c r="D95">
        <v>6.2392000000000003</v>
      </c>
      <c r="E95" s="1">
        <v>41785</v>
      </c>
      <c r="F95">
        <v>6.2392000000000003</v>
      </c>
    </row>
    <row r="96" spans="1:6" x14ac:dyDescent="0.25">
      <c r="A96" s="1">
        <v>41773</v>
      </c>
      <c r="B96">
        <v>6.2262000000000004</v>
      </c>
      <c r="C96" s="1">
        <v>41786</v>
      </c>
      <c r="D96">
        <v>6.2480000000000002</v>
      </c>
      <c r="E96" s="1">
        <v>41786</v>
      </c>
      <c r="F96">
        <v>6.2480000000000002</v>
      </c>
    </row>
    <row r="97" spans="1:6" x14ac:dyDescent="0.25">
      <c r="A97" s="1">
        <v>41774</v>
      </c>
      <c r="B97">
        <v>6.2305999999999999</v>
      </c>
      <c r="C97" s="1">
        <v>41787</v>
      </c>
      <c r="D97">
        <v>6.2552000000000003</v>
      </c>
      <c r="E97" s="1">
        <v>41787</v>
      </c>
      <c r="F97">
        <v>6.2552000000000003</v>
      </c>
    </row>
    <row r="98" spans="1:6" x14ac:dyDescent="0.25">
      <c r="A98" s="1">
        <v>41775</v>
      </c>
      <c r="B98">
        <v>6.2327000000000004</v>
      </c>
      <c r="C98" s="1">
        <v>41788</v>
      </c>
      <c r="D98">
        <v>6.2393000000000001</v>
      </c>
      <c r="E98" s="1">
        <v>41788</v>
      </c>
      <c r="F98">
        <v>6.2393000000000001</v>
      </c>
    </row>
    <row r="99" spans="1:6" x14ac:dyDescent="0.25">
      <c r="A99" s="1">
        <v>41778</v>
      </c>
      <c r="B99">
        <v>6.2371999999999996</v>
      </c>
      <c r="C99" s="1">
        <v>41789</v>
      </c>
      <c r="D99">
        <v>6.2473000000000001</v>
      </c>
      <c r="E99" s="1">
        <v>41789</v>
      </c>
      <c r="F99">
        <v>6.2473000000000001</v>
      </c>
    </row>
    <row r="100" spans="1:6" x14ac:dyDescent="0.25">
      <c r="A100" s="1">
        <v>41779</v>
      </c>
      <c r="B100">
        <v>6.2370999999999999</v>
      </c>
      <c r="C100" s="1">
        <v>41793</v>
      </c>
      <c r="D100">
        <v>6.2544000000000004</v>
      </c>
      <c r="E100" s="1">
        <v>41793</v>
      </c>
      <c r="F100">
        <v>6.2544000000000004</v>
      </c>
    </row>
    <row r="101" spans="1:6" x14ac:dyDescent="0.25">
      <c r="A101" s="1">
        <v>41780</v>
      </c>
      <c r="B101">
        <v>6.2331000000000003</v>
      </c>
      <c r="C101" s="1">
        <v>41794</v>
      </c>
      <c r="D101">
        <v>6.2503000000000002</v>
      </c>
      <c r="E101" s="1">
        <v>41794</v>
      </c>
      <c r="F101">
        <v>6.2503000000000002</v>
      </c>
    </row>
    <row r="102" spans="1:6" x14ac:dyDescent="0.25">
      <c r="A102" s="1">
        <v>41781</v>
      </c>
      <c r="B102">
        <v>6.2313000000000001</v>
      </c>
      <c r="C102" s="1">
        <v>41795</v>
      </c>
      <c r="D102">
        <v>6.2548000000000004</v>
      </c>
      <c r="E102" s="1">
        <v>41795</v>
      </c>
      <c r="F102">
        <v>6.2548000000000004</v>
      </c>
    </row>
    <row r="103" spans="1:6" x14ac:dyDescent="0.25">
      <c r="A103" s="1">
        <v>41782</v>
      </c>
      <c r="B103">
        <v>6.2347000000000001</v>
      </c>
      <c r="C103" s="1">
        <v>41796</v>
      </c>
      <c r="D103">
        <v>6.25</v>
      </c>
      <c r="E103" s="1">
        <v>41796</v>
      </c>
      <c r="F103">
        <v>6.25</v>
      </c>
    </row>
    <row r="104" spans="1:6" x14ac:dyDescent="0.25">
      <c r="A104" s="1">
        <v>41785</v>
      </c>
      <c r="B104">
        <v>6.2365000000000004</v>
      </c>
      <c r="C104" s="1">
        <v>41799</v>
      </c>
      <c r="D104">
        <v>6.2385000000000002</v>
      </c>
      <c r="E104" s="1">
        <v>41799</v>
      </c>
      <c r="F104">
        <v>6.2385000000000002</v>
      </c>
    </row>
    <row r="105" spans="1:6" x14ac:dyDescent="0.25">
      <c r="A105" s="1">
        <v>41786</v>
      </c>
      <c r="B105">
        <v>6.2549999999999999</v>
      </c>
      <c r="C105" s="1">
        <v>41800</v>
      </c>
      <c r="D105">
        <v>6.2256999999999998</v>
      </c>
      <c r="E105" s="1">
        <v>41800</v>
      </c>
      <c r="F105">
        <v>6.2256999999999998</v>
      </c>
    </row>
    <row r="106" spans="1:6" x14ac:dyDescent="0.25">
      <c r="A106" s="1">
        <v>41787</v>
      </c>
      <c r="B106">
        <v>6.2645</v>
      </c>
      <c r="C106" s="1">
        <v>41801</v>
      </c>
      <c r="D106">
        <v>6.2285000000000004</v>
      </c>
      <c r="E106" s="1">
        <v>41801</v>
      </c>
      <c r="F106">
        <v>6.2285000000000004</v>
      </c>
    </row>
    <row r="107" spans="1:6" x14ac:dyDescent="0.25">
      <c r="A107" s="1">
        <v>41788</v>
      </c>
      <c r="B107">
        <v>6.2472000000000003</v>
      </c>
      <c r="C107" s="1">
        <v>41802</v>
      </c>
      <c r="D107">
        <v>6.2186000000000003</v>
      </c>
      <c r="E107" s="1">
        <v>41802</v>
      </c>
      <c r="F107">
        <v>6.2186000000000003</v>
      </c>
    </row>
    <row r="108" spans="1:6" x14ac:dyDescent="0.25">
      <c r="A108" s="1">
        <v>41789</v>
      </c>
      <c r="B108">
        <v>6.2474999999999996</v>
      </c>
      <c r="C108" s="1">
        <v>41803</v>
      </c>
      <c r="D108">
        <v>6.2111000000000001</v>
      </c>
      <c r="E108" s="1">
        <v>41803</v>
      </c>
      <c r="F108">
        <v>6.2111000000000001</v>
      </c>
    </row>
    <row r="109" spans="1:6" x14ac:dyDescent="0.25">
      <c r="A109" s="1">
        <v>41792</v>
      </c>
      <c r="B109">
        <v>6.2548000000000004</v>
      </c>
      <c r="C109" s="1">
        <v>41806</v>
      </c>
      <c r="D109">
        <v>6.2247000000000003</v>
      </c>
      <c r="E109" s="1">
        <v>41806</v>
      </c>
      <c r="F109">
        <v>6.2247000000000003</v>
      </c>
    </row>
    <row r="110" spans="1:6" x14ac:dyDescent="0.25">
      <c r="A110" s="1">
        <v>41793</v>
      </c>
      <c r="B110">
        <v>6.2508999999999997</v>
      </c>
      <c r="C110" s="1">
        <v>41807</v>
      </c>
      <c r="D110">
        <v>6.2262000000000004</v>
      </c>
      <c r="E110" s="1">
        <v>41807</v>
      </c>
      <c r="F110">
        <v>6.2262000000000004</v>
      </c>
    </row>
    <row r="111" spans="1:6" x14ac:dyDescent="0.25">
      <c r="A111" s="1">
        <v>41794</v>
      </c>
      <c r="B111">
        <v>6.2537000000000003</v>
      </c>
      <c r="C111" s="1">
        <v>41808</v>
      </c>
      <c r="D111">
        <v>6.2310999999999996</v>
      </c>
      <c r="E111" s="1">
        <v>41808</v>
      </c>
      <c r="F111">
        <v>6.2310999999999996</v>
      </c>
    </row>
    <row r="112" spans="1:6" x14ac:dyDescent="0.25">
      <c r="A112" s="1">
        <v>41795</v>
      </c>
      <c r="B112">
        <v>6.2542</v>
      </c>
      <c r="C112" s="1">
        <v>41809</v>
      </c>
      <c r="D112">
        <v>6.2289000000000003</v>
      </c>
      <c r="E112" s="1">
        <v>41809</v>
      </c>
      <c r="F112">
        <v>6.2289000000000003</v>
      </c>
    </row>
    <row r="113" spans="1:6" x14ac:dyDescent="0.25">
      <c r="A113" s="1">
        <v>41796</v>
      </c>
      <c r="B113">
        <v>6.2446999999999999</v>
      </c>
      <c r="C113" s="1">
        <v>41810</v>
      </c>
      <c r="D113">
        <v>6.2255000000000003</v>
      </c>
      <c r="E113" s="1">
        <v>41810</v>
      </c>
      <c r="F113">
        <v>6.2255000000000003</v>
      </c>
    </row>
    <row r="114" spans="1:6" x14ac:dyDescent="0.25">
      <c r="A114" s="1">
        <v>41799</v>
      </c>
      <c r="B114">
        <v>6.2275999999999998</v>
      </c>
      <c r="C114" s="1">
        <v>41813</v>
      </c>
      <c r="D114">
        <v>6.2263999999999999</v>
      </c>
      <c r="E114" s="1">
        <v>41813</v>
      </c>
      <c r="F114">
        <v>6.2263999999999999</v>
      </c>
    </row>
    <row r="115" spans="1:6" x14ac:dyDescent="0.25">
      <c r="A115" s="1">
        <v>41800</v>
      </c>
      <c r="B115">
        <v>6.2157999999999998</v>
      </c>
      <c r="C115" s="1">
        <v>41814</v>
      </c>
      <c r="D115">
        <v>6.2310999999999996</v>
      </c>
      <c r="E115" s="1">
        <v>41814</v>
      </c>
      <c r="F115">
        <v>6.2310999999999996</v>
      </c>
    </row>
    <row r="116" spans="1:6" x14ac:dyDescent="0.25">
      <c r="A116" s="1">
        <v>41801</v>
      </c>
      <c r="B116">
        <v>6.2221000000000002</v>
      </c>
      <c r="C116" s="1">
        <v>41815</v>
      </c>
      <c r="D116">
        <v>6.2343999999999999</v>
      </c>
      <c r="E116" s="1">
        <v>41815</v>
      </c>
      <c r="F116">
        <v>6.2343999999999999</v>
      </c>
    </row>
    <row r="117" spans="1:6" x14ac:dyDescent="0.25">
      <c r="A117" s="1">
        <v>41802</v>
      </c>
      <c r="B117">
        <v>6.2125000000000004</v>
      </c>
      <c r="C117" s="1">
        <v>41816</v>
      </c>
      <c r="D117">
        <v>6.2248000000000001</v>
      </c>
      <c r="E117" s="1">
        <v>41816</v>
      </c>
      <c r="F117">
        <v>6.2248000000000001</v>
      </c>
    </row>
    <row r="118" spans="1:6" x14ac:dyDescent="0.25">
      <c r="A118" s="1">
        <v>41803</v>
      </c>
      <c r="B118">
        <v>6.2119999999999997</v>
      </c>
      <c r="C118" s="1">
        <v>41817</v>
      </c>
      <c r="D118">
        <v>6.2179000000000002</v>
      </c>
      <c r="E118" s="1">
        <v>41817</v>
      </c>
      <c r="F118">
        <v>6.2179000000000002</v>
      </c>
    </row>
    <row r="119" spans="1:6" x14ac:dyDescent="0.25">
      <c r="A119" s="1">
        <v>41806</v>
      </c>
      <c r="B119">
        <v>6.2194000000000003</v>
      </c>
      <c r="C119" s="1">
        <v>41820</v>
      </c>
      <c r="D119">
        <v>6.2032999999999996</v>
      </c>
      <c r="E119" s="1">
        <v>41820</v>
      </c>
      <c r="F119">
        <v>6.2032999999999996</v>
      </c>
    </row>
    <row r="120" spans="1:6" x14ac:dyDescent="0.25">
      <c r="A120" s="1">
        <v>41807</v>
      </c>
      <c r="B120">
        <v>6.2320000000000002</v>
      </c>
      <c r="C120" s="1">
        <v>41821</v>
      </c>
      <c r="D120">
        <v>6.2008999999999999</v>
      </c>
      <c r="E120" s="1">
        <v>41821</v>
      </c>
      <c r="F120">
        <v>6.2008999999999999</v>
      </c>
    </row>
    <row r="121" spans="1:6" x14ac:dyDescent="0.25">
      <c r="A121" s="1">
        <v>41808</v>
      </c>
      <c r="B121">
        <v>6.2256</v>
      </c>
      <c r="C121" s="1">
        <v>41822</v>
      </c>
      <c r="D121">
        <v>6.2100999999999997</v>
      </c>
      <c r="E121" s="1">
        <v>41822</v>
      </c>
      <c r="F121">
        <v>6.2100999999999997</v>
      </c>
    </row>
    <row r="122" spans="1:6" x14ac:dyDescent="0.25">
      <c r="A122" s="1">
        <v>41809</v>
      </c>
      <c r="B122">
        <v>6.2290000000000001</v>
      </c>
      <c r="C122" s="1">
        <v>41823</v>
      </c>
      <c r="D122">
        <v>6.2126999999999999</v>
      </c>
      <c r="E122" s="1">
        <v>41823</v>
      </c>
      <c r="F122">
        <v>6.2126999999999999</v>
      </c>
    </row>
    <row r="123" spans="1:6" x14ac:dyDescent="0.25">
      <c r="A123" s="1">
        <v>41810</v>
      </c>
      <c r="B123">
        <v>6.2275</v>
      </c>
      <c r="C123" s="1">
        <v>41824</v>
      </c>
      <c r="D123">
        <v>6.2050000000000001</v>
      </c>
      <c r="E123" s="1">
        <v>41824</v>
      </c>
      <c r="F123">
        <v>6.2050000000000001</v>
      </c>
    </row>
    <row r="124" spans="1:6" x14ac:dyDescent="0.25">
      <c r="A124" s="1">
        <v>41813</v>
      </c>
      <c r="B124">
        <v>6.2233000000000001</v>
      </c>
      <c r="C124" s="1">
        <v>41827</v>
      </c>
      <c r="D124">
        <v>6.2039999999999997</v>
      </c>
      <c r="E124" s="1">
        <v>41827</v>
      </c>
      <c r="F124">
        <v>6.2039999999999997</v>
      </c>
    </row>
    <row r="125" spans="1:6" x14ac:dyDescent="0.25">
      <c r="A125" s="1">
        <v>41814</v>
      </c>
      <c r="B125">
        <v>6.2325999999999997</v>
      </c>
      <c r="C125" s="1">
        <v>41828</v>
      </c>
      <c r="D125">
        <v>6.2023000000000001</v>
      </c>
      <c r="E125" s="1">
        <v>41828</v>
      </c>
      <c r="F125">
        <v>6.2023000000000001</v>
      </c>
    </row>
    <row r="126" spans="1:6" x14ac:dyDescent="0.25">
      <c r="A126" s="1">
        <v>41815</v>
      </c>
      <c r="B126">
        <v>6.2281000000000004</v>
      </c>
      <c r="C126" s="1">
        <v>41829</v>
      </c>
      <c r="D126">
        <v>6.1986999999999997</v>
      </c>
      <c r="E126" s="1">
        <v>41829</v>
      </c>
      <c r="F126">
        <v>6.1986999999999997</v>
      </c>
    </row>
    <row r="127" spans="1:6" x14ac:dyDescent="0.25">
      <c r="A127" s="1">
        <v>41816</v>
      </c>
      <c r="B127">
        <v>6.2248000000000001</v>
      </c>
      <c r="C127" s="1">
        <v>41830</v>
      </c>
      <c r="D127">
        <v>6.2020999999999997</v>
      </c>
      <c r="E127" s="1">
        <v>41830</v>
      </c>
      <c r="F127">
        <v>6.2020999999999997</v>
      </c>
    </row>
    <row r="128" spans="1:6" x14ac:dyDescent="0.25">
      <c r="A128" s="1">
        <v>41817</v>
      </c>
      <c r="B128">
        <v>6.2149999999999999</v>
      </c>
      <c r="C128" s="1">
        <v>41831</v>
      </c>
      <c r="D128">
        <v>6.2037000000000004</v>
      </c>
      <c r="E128" s="1">
        <v>41831</v>
      </c>
      <c r="F128">
        <v>6.2037000000000004</v>
      </c>
    </row>
    <row r="129" spans="1:6" x14ac:dyDescent="0.25">
      <c r="A129" s="1">
        <v>41820</v>
      </c>
      <c r="B129">
        <v>6.2057000000000002</v>
      </c>
      <c r="C129" s="1">
        <v>41834</v>
      </c>
      <c r="D129">
        <v>6.2058999999999997</v>
      </c>
      <c r="E129" s="1">
        <v>41834</v>
      </c>
      <c r="F129">
        <v>6.2058999999999997</v>
      </c>
    </row>
    <row r="130" spans="1:6" x14ac:dyDescent="0.25">
      <c r="A130" s="1">
        <v>41821</v>
      </c>
      <c r="B130">
        <v>6.2042000000000002</v>
      </c>
      <c r="C130" s="1">
        <v>41835</v>
      </c>
      <c r="D130">
        <v>6.2080000000000002</v>
      </c>
      <c r="E130" s="1">
        <v>41835</v>
      </c>
      <c r="F130">
        <v>6.2080000000000002</v>
      </c>
    </row>
    <row r="131" spans="1:6" x14ac:dyDescent="0.25">
      <c r="A131" s="1">
        <v>41822</v>
      </c>
      <c r="B131">
        <v>6.2163000000000004</v>
      </c>
      <c r="C131" s="1">
        <v>41836</v>
      </c>
      <c r="D131">
        <v>6.2047999999999996</v>
      </c>
      <c r="E131" s="1">
        <v>41836</v>
      </c>
      <c r="F131">
        <v>6.2047999999999996</v>
      </c>
    </row>
    <row r="132" spans="1:6" x14ac:dyDescent="0.25">
      <c r="A132" s="1">
        <v>41823</v>
      </c>
      <c r="B132">
        <v>6.2111999999999998</v>
      </c>
      <c r="C132" s="1">
        <v>41837</v>
      </c>
      <c r="D132">
        <v>6.2042999999999999</v>
      </c>
      <c r="E132" s="1">
        <v>41837</v>
      </c>
      <c r="F132">
        <v>6.2042999999999999</v>
      </c>
    </row>
    <row r="133" spans="1:6" x14ac:dyDescent="0.25">
      <c r="A133" s="1">
        <v>41824</v>
      </c>
      <c r="B133">
        <v>6.2058</v>
      </c>
      <c r="C133" s="1">
        <v>41838</v>
      </c>
      <c r="D133">
        <v>6.2080000000000002</v>
      </c>
      <c r="E133" s="1">
        <v>41838</v>
      </c>
      <c r="F133">
        <v>6.2080000000000002</v>
      </c>
    </row>
    <row r="134" spans="1:6" x14ac:dyDescent="0.25">
      <c r="A134" s="1">
        <v>41827</v>
      </c>
      <c r="B134">
        <v>6.2023000000000001</v>
      </c>
      <c r="C134" s="1">
        <v>41841</v>
      </c>
      <c r="D134">
        <v>6.2092999999999998</v>
      </c>
      <c r="E134" s="1">
        <v>41841</v>
      </c>
      <c r="F134">
        <v>6.2092999999999998</v>
      </c>
    </row>
    <row r="135" spans="1:6" x14ac:dyDescent="0.25">
      <c r="A135" s="1">
        <v>41828</v>
      </c>
      <c r="B135">
        <v>6.2037000000000004</v>
      </c>
      <c r="C135" s="1">
        <v>41842</v>
      </c>
      <c r="D135">
        <v>6.2039</v>
      </c>
      <c r="E135" s="1">
        <v>41842</v>
      </c>
      <c r="F135">
        <v>6.2039</v>
      </c>
    </row>
    <row r="136" spans="1:6" x14ac:dyDescent="0.25">
      <c r="A136" s="1">
        <v>41829</v>
      </c>
      <c r="B136">
        <v>6.1962000000000002</v>
      </c>
      <c r="C136" s="1">
        <v>41843</v>
      </c>
      <c r="D136">
        <v>6.1988000000000003</v>
      </c>
      <c r="E136" s="1">
        <v>41843</v>
      </c>
      <c r="F136">
        <v>6.1988000000000003</v>
      </c>
    </row>
    <row r="137" spans="1:6" x14ac:dyDescent="0.25">
      <c r="A137" s="1">
        <v>41830</v>
      </c>
      <c r="B137">
        <v>6.2034000000000002</v>
      </c>
      <c r="C137" s="1">
        <v>41844</v>
      </c>
      <c r="D137">
        <v>6.1943999999999999</v>
      </c>
      <c r="E137" s="1">
        <v>41844</v>
      </c>
      <c r="F137">
        <v>6.1943999999999999</v>
      </c>
    </row>
    <row r="138" spans="1:6" x14ac:dyDescent="0.25">
      <c r="A138" s="1">
        <v>41831</v>
      </c>
      <c r="B138">
        <v>6.2039</v>
      </c>
      <c r="C138" s="1">
        <v>41845</v>
      </c>
      <c r="D138">
        <v>6.1916000000000002</v>
      </c>
      <c r="E138" s="1">
        <v>41845</v>
      </c>
      <c r="F138">
        <v>6.1916000000000002</v>
      </c>
    </row>
    <row r="139" spans="1:6" x14ac:dyDescent="0.25">
      <c r="A139" s="1">
        <v>41834</v>
      </c>
      <c r="B139">
        <v>6.2089999999999996</v>
      </c>
      <c r="C139" s="1">
        <v>41848</v>
      </c>
      <c r="D139">
        <v>6.1868999999999996</v>
      </c>
      <c r="E139" s="1">
        <v>41848</v>
      </c>
      <c r="F139">
        <v>6.1868999999999996</v>
      </c>
    </row>
    <row r="140" spans="1:6" x14ac:dyDescent="0.25">
      <c r="A140" s="1">
        <v>41835</v>
      </c>
      <c r="B140">
        <v>6.2154999999999996</v>
      </c>
      <c r="C140" s="1">
        <v>41849</v>
      </c>
      <c r="D140">
        <v>6.1816000000000004</v>
      </c>
      <c r="E140" s="1">
        <v>41849</v>
      </c>
      <c r="F140">
        <v>6.1816000000000004</v>
      </c>
    </row>
    <row r="141" spans="1:6" x14ac:dyDescent="0.25">
      <c r="A141" s="1">
        <v>41836</v>
      </c>
      <c r="B141">
        <v>6.2076000000000002</v>
      </c>
      <c r="C141" s="1">
        <v>41850</v>
      </c>
      <c r="D141">
        <v>6.1721000000000004</v>
      </c>
      <c r="E141" s="1">
        <v>41850</v>
      </c>
      <c r="F141">
        <v>6.1721000000000004</v>
      </c>
    </row>
    <row r="142" spans="1:6" x14ac:dyDescent="0.25">
      <c r="A142" s="1">
        <v>41837</v>
      </c>
      <c r="B142">
        <v>6.2065999999999999</v>
      </c>
      <c r="C142" s="1">
        <v>41851</v>
      </c>
      <c r="D142">
        <v>6.1738</v>
      </c>
      <c r="E142" s="1">
        <v>41851</v>
      </c>
      <c r="F142">
        <v>6.1738</v>
      </c>
    </row>
    <row r="143" spans="1:6" x14ac:dyDescent="0.25">
      <c r="A143" s="1">
        <v>41838</v>
      </c>
      <c r="B143">
        <v>6.2069000000000001</v>
      </c>
      <c r="C143" s="1">
        <v>41852</v>
      </c>
      <c r="D143">
        <v>6.1795999999999998</v>
      </c>
      <c r="E143" s="1">
        <v>41852</v>
      </c>
      <c r="F143">
        <v>6.1795999999999998</v>
      </c>
    </row>
    <row r="144" spans="1:6" x14ac:dyDescent="0.25">
      <c r="A144" s="1">
        <v>41841</v>
      </c>
      <c r="B144">
        <v>6.2050999999999998</v>
      </c>
      <c r="C144" s="1">
        <v>41855</v>
      </c>
      <c r="D144">
        <v>6.1790000000000003</v>
      </c>
      <c r="E144" s="1">
        <v>41855</v>
      </c>
      <c r="F144">
        <v>6.1790000000000003</v>
      </c>
    </row>
    <row r="145" spans="1:6" x14ac:dyDescent="0.25">
      <c r="A145" s="1">
        <v>41842</v>
      </c>
      <c r="B145">
        <v>6.2031999999999998</v>
      </c>
      <c r="C145" s="1">
        <v>41856</v>
      </c>
      <c r="D145">
        <v>6.1706000000000003</v>
      </c>
      <c r="E145" s="1">
        <v>41856</v>
      </c>
      <c r="F145">
        <v>6.1706000000000003</v>
      </c>
    </row>
    <row r="146" spans="1:6" x14ac:dyDescent="0.25">
      <c r="A146" s="1">
        <v>41843</v>
      </c>
      <c r="B146">
        <v>6.1919000000000004</v>
      </c>
      <c r="C146" s="1">
        <v>41857</v>
      </c>
      <c r="D146">
        <v>6.1631</v>
      </c>
      <c r="E146" s="1">
        <v>41857</v>
      </c>
      <c r="F146">
        <v>6.1631</v>
      </c>
    </row>
    <row r="147" spans="1:6" x14ac:dyDescent="0.25">
      <c r="A147" s="1">
        <v>41844</v>
      </c>
      <c r="B147">
        <v>6.1910999999999996</v>
      </c>
      <c r="C147" s="1">
        <v>41858</v>
      </c>
      <c r="D147">
        <v>6.1608000000000001</v>
      </c>
      <c r="E147" s="1">
        <v>41858</v>
      </c>
      <c r="F147">
        <v>6.1608000000000001</v>
      </c>
    </row>
    <row r="148" spans="1:6" x14ac:dyDescent="0.25">
      <c r="A148" s="1">
        <v>41845</v>
      </c>
      <c r="B148">
        <v>6.1890000000000001</v>
      </c>
      <c r="C148" s="1">
        <v>41859</v>
      </c>
      <c r="D148">
        <v>6.1566000000000001</v>
      </c>
      <c r="E148" s="1">
        <v>41859</v>
      </c>
      <c r="F148">
        <v>6.1566000000000001</v>
      </c>
    </row>
    <row r="149" spans="1:6" x14ac:dyDescent="0.25">
      <c r="A149" s="1">
        <v>41848</v>
      </c>
      <c r="B149">
        <v>6.1811999999999996</v>
      </c>
      <c r="C149" s="1">
        <v>41862</v>
      </c>
      <c r="D149">
        <v>6.1536999999999997</v>
      </c>
      <c r="E149" s="1">
        <v>41862</v>
      </c>
      <c r="F149">
        <v>6.1536999999999997</v>
      </c>
    </row>
    <row r="150" spans="1:6" x14ac:dyDescent="0.25">
      <c r="A150" s="1">
        <v>41849</v>
      </c>
      <c r="B150">
        <v>6.1810999999999998</v>
      </c>
      <c r="C150" s="1">
        <v>41863</v>
      </c>
      <c r="D150">
        <v>6.1581999999999999</v>
      </c>
      <c r="E150" s="1">
        <v>41863</v>
      </c>
      <c r="F150">
        <v>6.1581999999999999</v>
      </c>
    </row>
    <row r="151" spans="1:6" x14ac:dyDescent="0.25">
      <c r="A151" s="1">
        <v>41850</v>
      </c>
      <c r="B151">
        <v>6.1729000000000003</v>
      </c>
      <c r="C151" s="1">
        <v>41864</v>
      </c>
      <c r="D151">
        <v>6.1540999999999997</v>
      </c>
      <c r="E151" s="1">
        <v>41864</v>
      </c>
      <c r="F151">
        <v>6.1540999999999997</v>
      </c>
    </row>
    <row r="152" spans="1:6" x14ac:dyDescent="0.25">
      <c r="A152" s="1">
        <v>41851</v>
      </c>
      <c r="B152">
        <v>6.1803999999999997</v>
      </c>
      <c r="C152" s="1">
        <v>41865</v>
      </c>
      <c r="D152">
        <v>6.1531000000000002</v>
      </c>
      <c r="E152" s="1">
        <v>41865</v>
      </c>
      <c r="F152">
        <v>6.1531000000000002</v>
      </c>
    </row>
    <row r="153" spans="1:6" x14ac:dyDescent="0.25">
      <c r="A153" s="1">
        <v>41852</v>
      </c>
      <c r="B153">
        <v>6.1740000000000004</v>
      </c>
      <c r="C153" s="1">
        <v>41866</v>
      </c>
      <c r="D153">
        <v>6.1473000000000004</v>
      </c>
      <c r="E153" s="1">
        <v>41866</v>
      </c>
      <c r="F153">
        <v>6.1473000000000004</v>
      </c>
    </row>
    <row r="154" spans="1:6" x14ac:dyDescent="0.25">
      <c r="A154" s="1">
        <v>41855</v>
      </c>
      <c r="B154">
        <v>6.1741000000000001</v>
      </c>
      <c r="C154" s="1">
        <v>41869</v>
      </c>
      <c r="D154">
        <v>6.1433999999999997</v>
      </c>
      <c r="E154" s="1">
        <v>41869</v>
      </c>
      <c r="F154">
        <v>6.1433999999999997</v>
      </c>
    </row>
    <row r="155" spans="1:6" x14ac:dyDescent="0.25">
      <c r="A155" s="1">
        <v>41856</v>
      </c>
      <c r="B155">
        <v>6.1692</v>
      </c>
      <c r="C155" s="1">
        <v>41870</v>
      </c>
      <c r="D155">
        <v>6.1416000000000004</v>
      </c>
      <c r="E155" s="1">
        <v>41870</v>
      </c>
      <c r="F155">
        <v>6.1416000000000004</v>
      </c>
    </row>
    <row r="156" spans="1:6" x14ac:dyDescent="0.25">
      <c r="A156" s="1">
        <v>41857</v>
      </c>
      <c r="B156">
        <v>6.1604000000000001</v>
      </c>
      <c r="C156" s="1">
        <v>41871</v>
      </c>
      <c r="D156">
        <v>6.1407999999999996</v>
      </c>
      <c r="E156" s="1">
        <v>41871</v>
      </c>
      <c r="F156">
        <v>6.1407999999999996</v>
      </c>
    </row>
    <row r="157" spans="1:6" x14ac:dyDescent="0.25">
      <c r="A157" s="1">
        <v>41858</v>
      </c>
      <c r="B157">
        <v>6.1665000000000001</v>
      </c>
      <c r="C157" s="1">
        <v>41872</v>
      </c>
      <c r="D157">
        <v>6.1516000000000002</v>
      </c>
      <c r="E157" s="1">
        <v>41872</v>
      </c>
      <c r="F157">
        <v>6.1516000000000002</v>
      </c>
    </row>
    <row r="158" spans="1:6" x14ac:dyDescent="0.25">
      <c r="A158" s="1">
        <v>41859</v>
      </c>
      <c r="B158">
        <v>6.1550000000000002</v>
      </c>
      <c r="C158" s="1">
        <v>41873</v>
      </c>
      <c r="D158">
        <v>6.1524000000000001</v>
      </c>
      <c r="E158" s="1">
        <v>41873</v>
      </c>
      <c r="F158">
        <v>6.1524000000000001</v>
      </c>
    </row>
    <row r="159" spans="1:6" x14ac:dyDescent="0.25">
      <c r="A159" s="1">
        <v>41862</v>
      </c>
      <c r="B159">
        <v>6.1535000000000002</v>
      </c>
      <c r="C159" s="1">
        <v>41876</v>
      </c>
      <c r="D159">
        <v>6.1532999999999998</v>
      </c>
      <c r="E159" s="1">
        <v>41876</v>
      </c>
      <c r="F159">
        <v>6.1532999999999998</v>
      </c>
    </row>
    <row r="160" spans="1:6" x14ac:dyDescent="0.25">
      <c r="A160" s="1">
        <v>41863</v>
      </c>
      <c r="B160">
        <v>6.1595000000000004</v>
      </c>
      <c r="C160" s="1">
        <v>41877</v>
      </c>
      <c r="D160">
        <v>6.1536999999999997</v>
      </c>
      <c r="E160" s="1">
        <v>41877</v>
      </c>
      <c r="F160">
        <v>6.1536999999999997</v>
      </c>
    </row>
    <row r="161" spans="1:6" x14ac:dyDescent="0.25">
      <c r="A161" s="1">
        <v>41864</v>
      </c>
      <c r="B161">
        <v>6.1585000000000001</v>
      </c>
      <c r="C161" s="1">
        <v>41878</v>
      </c>
      <c r="D161">
        <v>6.1433999999999997</v>
      </c>
      <c r="E161" s="1">
        <v>41878</v>
      </c>
      <c r="F161">
        <v>6.1433999999999997</v>
      </c>
    </row>
    <row r="162" spans="1:6" x14ac:dyDescent="0.25">
      <c r="A162" s="1">
        <v>41865</v>
      </c>
      <c r="B162">
        <v>6.1516999999999999</v>
      </c>
      <c r="C162" s="1">
        <v>41879</v>
      </c>
      <c r="D162">
        <v>6.1437999999999997</v>
      </c>
      <c r="E162" s="1">
        <v>41879</v>
      </c>
      <c r="F162">
        <v>6.1437999999999997</v>
      </c>
    </row>
    <row r="163" spans="1:6" x14ac:dyDescent="0.25">
      <c r="A163" s="1">
        <v>41866</v>
      </c>
      <c r="B163">
        <v>6.1470000000000002</v>
      </c>
      <c r="C163" s="1">
        <v>41880</v>
      </c>
      <c r="D163">
        <v>6.1436999999999999</v>
      </c>
      <c r="E163" s="1">
        <v>41880</v>
      </c>
      <c r="F163">
        <v>6.1436999999999999</v>
      </c>
    </row>
    <row r="164" spans="1:6" x14ac:dyDescent="0.25">
      <c r="A164" s="1">
        <v>41869</v>
      </c>
      <c r="B164">
        <v>6.1410999999999998</v>
      </c>
      <c r="C164" s="1">
        <v>41883</v>
      </c>
      <c r="D164">
        <v>6.1435000000000004</v>
      </c>
      <c r="E164" s="1">
        <v>41883</v>
      </c>
      <c r="F164">
        <v>6.1435000000000004</v>
      </c>
    </row>
    <row r="165" spans="1:6" x14ac:dyDescent="0.25">
      <c r="A165" s="1">
        <v>41870</v>
      </c>
      <c r="B165">
        <v>6.1441999999999997</v>
      </c>
      <c r="C165" s="1">
        <v>41884</v>
      </c>
      <c r="D165">
        <v>6.1478000000000002</v>
      </c>
      <c r="E165" s="1">
        <v>41884</v>
      </c>
      <c r="F165">
        <v>6.1478000000000002</v>
      </c>
    </row>
    <row r="166" spans="1:6" x14ac:dyDescent="0.25">
      <c r="A166" s="1">
        <v>41871</v>
      </c>
      <c r="B166">
        <v>6.1448</v>
      </c>
      <c r="C166" s="1">
        <v>41885</v>
      </c>
      <c r="D166">
        <v>6.1414</v>
      </c>
      <c r="E166" s="1">
        <v>41885</v>
      </c>
      <c r="F166">
        <v>6.1414</v>
      </c>
    </row>
    <row r="167" spans="1:6" x14ac:dyDescent="0.25">
      <c r="A167" s="1">
        <v>41872</v>
      </c>
      <c r="B167">
        <v>6.1538000000000004</v>
      </c>
      <c r="C167" s="1">
        <v>41886</v>
      </c>
      <c r="D167">
        <v>6.1383999999999999</v>
      </c>
      <c r="E167" s="1">
        <v>41886</v>
      </c>
      <c r="F167">
        <v>6.1383999999999999</v>
      </c>
    </row>
    <row r="168" spans="1:6" x14ac:dyDescent="0.25">
      <c r="A168" s="1">
        <v>41873</v>
      </c>
      <c r="B168">
        <v>6.1567999999999996</v>
      </c>
      <c r="C168" s="1">
        <v>41887</v>
      </c>
      <c r="D168">
        <v>6.1414</v>
      </c>
      <c r="E168" s="1">
        <v>41887</v>
      </c>
      <c r="F168">
        <v>6.1414</v>
      </c>
    </row>
    <row r="169" spans="1:6" x14ac:dyDescent="0.25">
      <c r="A169" s="1">
        <v>41876</v>
      </c>
      <c r="B169">
        <v>6.1550000000000002</v>
      </c>
      <c r="C169" s="1">
        <v>41891</v>
      </c>
      <c r="D169">
        <v>6.1367000000000003</v>
      </c>
      <c r="E169" s="1">
        <v>41891</v>
      </c>
      <c r="F169">
        <v>6.1367000000000003</v>
      </c>
    </row>
    <row r="170" spans="1:6" x14ac:dyDescent="0.25">
      <c r="A170" s="1">
        <v>41877</v>
      </c>
      <c r="B170">
        <v>6.1505000000000001</v>
      </c>
      <c r="C170" s="1">
        <v>41892</v>
      </c>
      <c r="D170">
        <v>6.13</v>
      </c>
      <c r="E170" s="1">
        <v>41892</v>
      </c>
      <c r="F170">
        <v>6.13</v>
      </c>
    </row>
    <row r="171" spans="1:6" x14ac:dyDescent="0.25">
      <c r="A171" s="1">
        <v>41878</v>
      </c>
      <c r="B171">
        <v>6.1437999999999997</v>
      </c>
      <c r="C171" s="1">
        <v>41893</v>
      </c>
      <c r="D171">
        <v>6.1303000000000001</v>
      </c>
      <c r="E171" s="1">
        <v>41893</v>
      </c>
      <c r="F171">
        <v>6.1303000000000001</v>
      </c>
    </row>
    <row r="172" spans="1:6" x14ac:dyDescent="0.25">
      <c r="A172" s="1">
        <v>41879</v>
      </c>
      <c r="B172">
        <v>6.1502999999999997</v>
      </c>
      <c r="C172" s="1">
        <v>41894</v>
      </c>
      <c r="D172">
        <v>6.1351000000000004</v>
      </c>
      <c r="E172" s="1">
        <v>41894</v>
      </c>
      <c r="F172">
        <v>6.1351000000000004</v>
      </c>
    </row>
    <row r="173" spans="1:6" x14ac:dyDescent="0.25">
      <c r="A173" s="1">
        <v>41880</v>
      </c>
      <c r="B173">
        <v>6.1494</v>
      </c>
      <c r="C173" s="1">
        <v>41897</v>
      </c>
      <c r="D173">
        <v>6.1416000000000004</v>
      </c>
      <c r="E173" s="1">
        <v>41897</v>
      </c>
      <c r="F173">
        <v>6.1416000000000004</v>
      </c>
    </row>
    <row r="174" spans="1:6" x14ac:dyDescent="0.25">
      <c r="A174" s="1">
        <v>41883</v>
      </c>
      <c r="B174">
        <v>6.1459000000000001</v>
      </c>
      <c r="C174" s="1">
        <v>41898</v>
      </c>
      <c r="D174">
        <v>6.1463999999999999</v>
      </c>
      <c r="E174" s="1">
        <v>41898</v>
      </c>
      <c r="F174">
        <v>6.1463999999999999</v>
      </c>
    </row>
    <row r="175" spans="1:6" x14ac:dyDescent="0.25">
      <c r="A175" s="1">
        <v>41884</v>
      </c>
      <c r="B175">
        <v>6.1521999999999997</v>
      </c>
      <c r="C175" s="1">
        <v>41899</v>
      </c>
      <c r="D175">
        <v>6.1397000000000004</v>
      </c>
      <c r="E175" s="1">
        <v>41899</v>
      </c>
      <c r="F175">
        <v>6.1397000000000004</v>
      </c>
    </row>
    <row r="176" spans="1:6" x14ac:dyDescent="0.25">
      <c r="A176" s="1">
        <v>41885</v>
      </c>
      <c r="B176">
        <v>6.1449999999999996</v>
      </c>
      <c r="C176" s="1">
        <v>41900</v>
      </c>
      <c r="D176">
        <v>6.1416000000000004</v>
      </c>
      <c r="E176" s="1">
        <v>41900</v>
      </c>
      <c r="F176">
        <v>6.1416000000000004</v>
      </c>
    </row>
    <row r="177" spans="1:6" x14ac:dyDescent="0.25">
      <c r="A177" s="1">
        <v>41886</v>
      </c>
      <c r="B177">
        <v>6.1467999999999998</v>
      </c>
      <c r="C177" s="1">
        <v>41901</v>
      </c>
      <c r="D177">
        <v>6.1405000000000003</v>
      </c>
      <c r="E177" s="1">
        <v>41901</v>
      </c>
      <c r="F177">
        <v>6.1405000000000003</v>
      </c>
    </row>
    <row r="178" spans="1:6" x14ac:dyDescent="0.25">
      <c r="A178" s="1">
        <v>41887</v>
      </c>
      <c r="B178">
        <v>6.1412000000000004</v>
      </c>
      <c r="C178" s="1">
        <v>41904</v>
      </c>
      <c r="D178">
        <v>6.1407999999999996</v>
      </c>
      <c r="E178" s="1">
        <v>41904</v>
      </c>
      <c r="F178">
        <v>6.1407999999999996</v>
      </c>
    </row>
    <row r="179" spans="1:6" x14ac:dyDescent="0.25">
      <c r="A179" s="1">
        <v>41890</v>
      </c>
      <c r="B179">
        <v>6.14</v>
      </c>
      <c r="C179" s="1">
        <v>41905</v>
      </c>
      <c r="D179">
        <v>6.1383999999999999</v>
      </c>
      <c r="E179" s="1">
        <v>41905</v>
      </c>
      <c r="F179">
        <v>6.1383999999999999</v>
      </c>
    </row>
    <row r="180" spans="1:6" x14ac:dyDescent="0.25">
      <c r="A180" s="1">
        <v>41891</v>
      </c>
      <c r="B180">
        <v>6.1384999999999996</v>
      </c>
      <c r="C180" s="1">
        <v>41906</v>
      </c>
      <c r="D180">
        <v>6.1342999999999996</v>
      </c>
      <c r="E180" s="1">
        <v>41906</v>
      </c>
      <c r="F180">
        <v>6.1342999999999996</v>
      </c>
    </row>
    <row r="181" spans="1:6" x14ac:dyDescent="0.25">
      <c r="A181" s="1">
        <v>41892</v>
      </c>
      <c r="B181">
        <v>6.1333000000000002</v>
      </c>
      <c r="C181" s="1">
        <v>41907</v>
      </c>
      <c r="D181">
        <v>6.1365999999999996</v>
      </c>
      <c r="E181" s="1">
        <v>41907</v>
      </c>
      <c r="F181">
        <v>6.1365999999999996</v>
      </c>
    </row>
    <row r="182" spans="1:6" x14ac:dyDescent="0.25">
      <c r="A182" s="1">
        <v>41893</v>
      </c>
      <c r="B182">
        <v>6.1365999999999996</v>
      </c>
      <c r="C182" s="1">
        <v>41908</v>
      </c>
      <c r="D182">
        <v>6.1271000000000004</v>
      </c>
      <c r="E182" s="1">
        <v>41908</v>
      </c>
      <c r="F182">
        <v>6.1271000000000004</v>
      </c>
    </row>
    <row r="183" spans="1:6" x14ac:dyDescent="0.25">
      <c r="A183" s="1">
        <v>41894</v>
      </c>
      <c r="B183">
        <v>6.1406000000000001</v>
      </c>
      <c r="C183" s="1">
        <v>41911</v>
      </c>
      <c r="D183">
        <v>6.1532999999999998</v>
      </c>
      <c r="E183" s="1">
        <v>41911</v>
      </c>
      <c r="F183">
        <v>6.1532999999999998</v>
      </c>
    </row>
    <row r="184" spans="1:6" x14ac:dyDescent="0.25">
      <c r="A184" s="1">
        <v>41897</v>
      </c>
      <c r="B184">
        <v>6.1707000000000001</v>
      </c>
      <c r="C184" s="1">
        <v>41912</v>
      </c>
      <c r="D184">
        <v>6.1394000000000002</v>
      </c>
      <c r="E184" s="1">
        <v>41912</v>
      </c>
      <c r="F184">
        <v>6.1394000000000002</v>
      </c>
    </row>
    <row r="185" spans="1:6" x14ac:dyDescent="0.25">
      <c r="A185" s="1">
        <v>41898</v>
      </c>
      <c r="B185">
        <v>6.1561000000000003</v>
      </c>
      <c r="C185" s="1">
        <v>41920</v>
      </c>
      <c r="D185">
        <v>6.1387</v>
      </c>
      <c r="E185" s="1">
        <v>41920</v>
      </c>
      <c r="F185">
        <v>6.1387</v>
      </c>
    </row>
    <row r="186" spans="1:6" x14ac:dyDescent="0.25">
      <c r="A186" s="1">
        <v>41899</v>
      </c>
      <c r="B186">
        <v>6.1580000000000004</v>
      </c>
      <c r="C186" s="1">
        <v>41921</v>
      </c>
      <c r="D186">
        <v>6.1304999999999996</v>
      </c>
      <c r="E186" s="1">
        <v>41921</v>
      </c>
      <c r="F186">
        <v>6.1304999999999996</v>
      </c>
    </row>
    <row r="187" spans="1:6" x14ac:dyDescent="0.25">
      <c r="A187" s="1">
        <v>41900</v>
      </c>
      <c r="B187">
        <v>6.1458000000000004</v>
      </c>
      <c r="C187" s="1">
        <v>41922</v>
      </c>
      <c r="D187">
        <v>6.1308999999999996</v>
      </c>
      <c r="E187" s="1">
        <v>41922</v>
      </c>
      <c r="F187">
        <v>6.1308999999999996</v>
      </c>
    </row>
    <row r="188" spans="1:6" x14ac:dyDescent="0.25">
      <c r="A188" s="1">
        <v>41901</v>
      </c>
      <c r="B188">
        <v>6.1443000000000003</v>
      </c>
      <c r="C188" s="1">
        <v>41925</v>
      </c>
      <c r="D188">
        <v>6.1262999999999996</v>
      </c>
      <c r="E188" s="1">
        <v>41925</v>
      </c>
      <c r="F188">
        <v>6.1262999999999996</v>
      </c>
    </row>
    <row r="189" spans="1:6" x14ac:dyDescent="0.25">
      <c r="A189" s="1">
        <v>41904</v>
      </c>
      <c r="B189">
        <v>6.1534000000000004</v>
      </c>
      <c r="C189" s="1">
        <v>41926</v>
      </c>
      <c r="D189">
        <v>6.1247999999999996</v>
      </c>
      <c r="E189" s="1">
        <v>41926</v>
      </c>
      <c r="F189">
        <v>6.1247999999999996</v>
      </c>
    </row>
    <row r="190" spans="1:6" x14ac:dyDescent="0.25">
      <c r="A190" s="1">
        <v>41905</v>
      </c>
      <c r="B190">
        <v>6.1421999999999999</v>
      </c>
      <c r="C190" s="1">
        <v>41927</v>
      </c>
      <c r="D190">
        <v>6.1258999999999997</v>
      </c>
      <c r="E190" s="1">
        <v>41927</v>
      </c>
      <c r="F190">
        <v>6.1258999999999997</v>
      </c>
    </row>
    <row r="191" spans="1:6" x14ac:dyDescent="0.25">
      <c r="A191" s="1">
        <v>41906</v>
      </c>
      <c r="B191">
        <v>6.1395</v>
      </c>
      <c r="C191" s="1">
        <v>41928</v>
      </c>
      <c r="D191">
        <v>6.1233000000000004</v>
      </c>
      <c r="E191" s="1">
        <v>41928</v>
      </c>
      <c r="F191">
        <v>6.1233000000000004</v>
      </c>
    </row>
    <row r="192" spans="1:6" x14ac:dyDescent="0.25">
      <c r="A192" s="1">
        <v>41907</v>
      </c>
      <c r="B192">
        <v>6.1474000000000002</v>
      </c>
      <c r="C192" s="1">
        <v>41929</v>
      </c>
      <c r="D192">
        <v>6.1242000000000001</v>
      </c>
      <c r="E192" s="1">
        <v>41929</v>
      </c>
      <c r="F192">
        <v>6.1242000000000001</v>
      </c>
    </row>
    <row r="193" spans="1:6" x14ac:dyDescent="0.25">
      <c r="A193" s="1">
        <v>41908</v>
      </c>
      <c r="B193">
        <v>6.1444999999999999</v>
      </c>
      <c r="C193" s="1">
        <v>41932</v>
      </c>
      <c r="D193">
        <v>6.1238000000000001</v>
      </c>
      <c r="E193" s="1">
        <v>41932</v>
      </c>
      <c r="F193">
        <v>6.1238000000000001</v>
      </c>
    </row>
    <row r="194" spans="1:6" x14ac:dyDescent="0.25">
      <c r="A194" s="1">
        <v>41911</v>
      </c>
      <c r="B194">
        <v>6.1787000000000001</v>
      </c>
      <c r="C194" s="1">
        <v>41933</v>
      </c>
      <c r="D194">
        <v>6.1212</v>
      </c>
      <c r="E194" s="1">
        <v>41933</v>
      </c>
      <c r="F194">
        <v>6.1212</v>
      </c>
    </row>
    <row r="195" spans="1:6" x14ac:dyDescent="0.25">
      <c r="A195" s="1">
        <v>41912</v>
      </c>
      <c r="B195">
        <v>6.1791999999999998</v>
      </c>
      <c r="C195" s="1">
        <v>41934</v>
      </c>
      <c r="D195">
        <v>6.1180000000000003</v>
      </c>
      <c r="E195" s="1">
        <v>41934</v>
      </c>
      <c r="F195">
        <v>6.1180000000000003</v>
      </c>
    </row>
    <row r="196" spans="1:6" x14ac:dyDescent="0.25">
      <c r="A196" s="1">
        <v>41913</v>
      </c>
      <c r="B196">
        <v>6.1703000000000001</v>
      </c>
      <c r="C196" s="1">
        <v>41935</v>
      </c>
      <c r="D196">
        <v>6.1196999999999999</v>
      </c>
      <c r="E196" s="1">
        <v>41935</v>
      </c>
      <c r="F196">
        <v>6.1196999999999999</v>
      </c>
    </row>
    <row r="197" spans="1:6" x14ac:dyDescent="0.25">
      <c r="A197" s="1">
        <v>41914</v>
      </c>
      <c r="B197">
        <v>6.1605999999999996</v>
      </c>
      <c r="C197" s="1">
        <v>41936</v>
      </c>
      <c r="D197">
        <v>6.1166999999999998</v>
      </c>
      <c r="E197" s="1">
        <v>41936</v>
      </c>
      <c r="F197">
        <v>6.1166999999999998</v>
      </c>
    </row>
    <row r="198" spans="1:6" x14ac:dyDescent="0.25">
      <c r="A198" s="1">
        <v>41915</v>
      </c>
      <c r="B198">
        <v>6.1673999999999998</v>
      </c>
      <c r="C198" s="1">
        <v>41939</v>
      </c>
      <c r="D198">
        <v>6.1165000000000003</v>
      </c>
      <c r="E198" s="1">
        <v>41939</v>
      </c>
      <c r="F198">
        <v>6.1165000000000003</v>
      </c>
    </row>
    <row r="199" spans="1:6" x14ac:dyDescent="0.25">
      <c r="A199" s="1">
        <v>41918</v>
      </c>
      <c r="B199">
        <v>6.1528999999999998</v>
      </c>
      <c r="C199" s="1">
        <v>41940</v>
      </c>
      <c r="D199">
        <v>6.1135999999999999</v>
      </c>
      <c r="E199" s="1">
        <v>41940</v>
      </c>
      <c r="F199">
        <v>6.1135999999999999</v>
      </c>
    </row>
    <row r="200" spans="1:6" x14ac:dyDescent="0.25">
      <c r="A200" s="1">
        <v>41919</v>
      </c>
      <c r="B200">
        <v>6.1470000000000002</v>
      </c>
      <c r="C200" s="1">
        <v>41941</v>
      </c>
      <c r="D200">
        <v>6.1113999999999997</v>
      </c>
      <c r="E200" s="1">
        <v>41941</v>
      </c>
      <c r="F200">
        <v>6.1113999999999997</v>
      </c>
    </row>
    <row r="201" spans="1:6" x14ac:dyDescent="0.25">
      <c r="A201" s="1">
        <v>41920</v>
      </c>
      <c r="B201">
        <v>6.1391999999999998</v>
      </c>
      <c r="C201" s="1">
        <v>41942</v>
      </c>
      <c r="D201">
        <v>6.1154000000000002</v>
      </c>
      <c r="E201" s="1">
        <v>41942</v>
      </c>
      <c r="F201">
        <v>6.1154000000000002</v>
      </c>
    </row>
    <row r="202" spans="1:6" x14ac:dyDescent="0.25">
      <c r="A202" s="1">
        <v>41921</v>
      </c>
      <c r="B202">
        <v>6.1390000000000002</v>
      </c>
      <c r="C202" s="1">
        <v>41943</v>
      </c>
      <c r="D202">
        <v>6.1128999999999998</v>
      </c>
      <c r="E202" s="1">
        <v>41943</v>
      </c>
      <c r="F202">
        <v>6.1128999999999998</v>
      </c>
    </row>
    <row r="203" spans="1:6" x14ac:dyDescent="0.25">
      <c r="A203" s="1">
        <v>41922</v>
      </c>
      <c r="B203">
        <v>6.1413000000000002</v>
      </c>
      <c r="C203" s="1">
        <v>41946</v>
      </c>
      <c r="D203">
        <v>6.1188000000000002</v>
      </c>
      <c r="E203" s="1">
        <v>41946</v>
      </c>
      <c r="F203">
        <v>6.1188000000000002</v>
      </c>
    </row>
    <row r="204" spans="1:6" x14ac:dyDescent="0.25">
      <c r="A204" s="1">
        <v>41925</v>
      </c>
      <c r="B204">
        <v>6.1360000000000001</v>
      </c>
      <c r="C204" s="1">
        <v>41947</v>
      </c>
      <c r="D204">
        <v>6.1151</v>
      </c>
      <c r="E204" s="1">
        <v>41947</v>
      </c>
      <c r="F204">
        <v>6.1151</v>
      </c>
    </row>
    <row r="205" spans="1:6" x14ac:dyDescent="0.25">
      <c r="A205" s="1">
        <v>41926</v>
      </c>
      <c r="B205">
        <v>6.1410999999999998</v>
      </c>
      <c r="C205" s="1">
        <v>41948</v>
      </c>
      <c r="D205">
        <v>6.1144999999999996</v>
      </c>
      <c r="E205" s="1">
        <v>41948</v>
      </c>
      <c r="F205">
        <v>6.1144999999999996</v>
      </c>
    </row>
    <row r="206" spans="1:6" x14ac:dyDescent="0.25">
      <c r="A206" s="1">
        <v>41927</v>
      </c>
      <c r="B206">
        <v>6.1349999999999998</v>
      </c>
      <c r="C206" s="1">
        <v>41949</v>
      </c>
      <c r="D206">
        <v>6.1123000000000003</v>
      </c>
      <c r="E206" s="1">
        <v>41949</v>
      </c>
      <c r="F206">
        <v>6.1123000000000003</v>
      </c>
    </row>
    <row r="207" spans="1:6" x14ac:dyDescent="0.25">
      <c r="A207" s="1">
        <v>41928</v>
      </c>
      <c r="B207">
        <v>6.1425000000000001</v>
      </c>
      <c r="C207" s="1">
        <v>41950</v>
      </c>
      <c r="D207">
        <v>6.1222000000000003</v>
      </c>
      <c r="E207" s="1">
        <v>41950</v>
      </c>
      <c r="F207">
        <v>6.1222000000000003</v>
      </c>
    </row>
    <row r="208" spans="1:6" x14ac:dyDescent="0.25">
      <c r="A208" s="1">
        <v>41929</v>
      </c>
      <c r="B208">
        <v>6.1413000000000002</v>
      </c>
      <c r="C208" s="1">
        <v>41953</v>
      </c>
      <c r="D208">
        <v>6.1200999999999999</v>
      </c>
      <c r="E208" s="1">
        <v>41953</v>
      </c>
      <c r="F208">
        <v>6.1200999999999999</v>
      </c>
    </row>
    <row r="209" spans="1:6" x14ac:dyDescent="0.25">
      <c r="A209" s="1">
        <v>41932</v>
      </c>
      <c r="B209">
        <v>6.1332000000000004</v>
      </c>
      <c r="C209" s="1">
        <v>41954</v>
      </c>
      <c r="D209">
        <v>6.1250999999999998</v>
      </c>
      <c r="E209" s="1">
        <v>41954</v>
      </c>
      <c r="F209">
        <v>6.1250999999999998</v>
      </c>
    </row>
    <row r="210" spans="1:6" x14ac:dyDescent="0.25">
      <c r="A210" s="1">
        <v>41933</v>
      </c>
      <c r="B210">
        <v>6.1276000000000002</v>
      </c>
      <c r="C210" s="1">
        <v>41955</v>
      </c>
      <c r="D210">
        <v>6.1265000000000001</v>
      </c>
      <c r="E210" s="1">
        <v>41955</v>
      </c>
      <c r="F210">
        <v>6.1265000000000001</v>
      </c>
    </row>
    <row r="211" spans="1:6" x14ac:dyDescent="0.25">
      <c r="A211" s="1">
        <v>41934</v>
      </c>
      <c r="B211">
        <v>6.1246</v>
      </c>
      <c r="C211" s="1">
        <v>41956</v>
      </c>
      <c r="D211">
        <v>6.1254</v>
      </c>
      <c r="E211" s="1">
        <v>41956</v>
      </c>
      <c r="F211">
        <v>6.1254</v>
      </c>
    </row>
    <row r="212" spans="1:6" x14ac:dyDescent="0.25">
      <c r="A212" s="1">
        <v>41935</v>
      </c>
      <c r="B212">
        <v>6.1252000000000004</v>
      </c>
      <c r="C212" s="1">
        <v>41957</v>
      </c>
      <c r="D212">
        <v>6.1304999999999996</v>
      </c>
      <c r="E212" s="1">
        <v>41957</v>
      </c>
      <c r="F212">
        <v>6.1304999999999996</v>
      </c>
    </row>
    <row r="213" spans="1:6" x14ac:dyDescent="0.25">
      <c r="A213" s="1">
        <v>41936</v>
      </c>
      <c r="B213">
        <v>6.1239999999999997</v>
      </c>
      <c r="C213" s="1">
        <v>41960</v>
      </c>
      <c r="D213">
        <v>6.1242000000000001</v>
      </c>
      <c r="E213" s="1">
        <v>41960</v>
      </c>
      <c r="F213">
        <v>6.1242000000000001</v>
      </c>
    </row>
    <row r="214" spans="1:6" x14ac:dyDescent="0.25">
      <c r="A214" s="1">
        <v>41939</v>
      </c>
      <c r="B214">
        <v>6.1199000000000003</v>
      </c>
      <c r="C214" s="1">
        <v>41961</v>
      </c>
      <c r="D214">
        <v>6.1212999999999997</v>
      </c>
      <c r="E214" s="1">
        <v>41961</v>
      </c>
      <c r="F214">
        <v>6.1212999999999997</v>
      </c>
    </row>
    <row r="215" spans="1:6" x14ac:dyDescent="0.25">
      <c r="A215" s="1">
        <v>41940</v>
      </c>
      <c r="B215">
        <v>6.1143000000000001</v>
      </c>
      <c r="C215" s="1">
        <v>41962</v>
      </c>
      <c r="D215">
        <v>6.1200999999999999</v>
      </c>
      <c r="E215" s="1">
        <v>41962</v>
      </c>
      <c r="F215">
        <v>6.1200999999999999</v>
      </c>
    </row>
    <row r="216" spans="1:6" x14ac:dyDescent="0.25">
      <c r="A216" s="1">
        <v>41941</v>
      </c>
      <c r="B216">
        <v>6.117</v>
      </c>
      <c r="C216" s="1">
        <v>41963</v>
      </c>
      <c r="D216">
        <v>6.1243999999999996</v>
      </c>
      <c r="E216" s="1">
        <v>41963</v>
      </c>
      <c r="F216">
        <v>6.1243999999999996</v>
      </c>
    </row>
    <row r="217" spans="1:6" x14ac:dyDescent="0.25">
      <c r="A217" s="1">
        <v>41942</v>
      </c>
      <c r="B217">
        <v>6.1176000000000004</v>
      </c>
      <c r="C217" s="1">
        <v>41964</v>
      </c>
      <c r="D217">
        <v>6.1252000000000004</v>
      </c>
      <c r="E217" s="1">
        <v>41964</v>
      </c>
      <c r="F217">
        <v>6.1252000000000004</v>
      </c>
    </row>
    <row r="218" spans="1:6" x14ac:dyDescent="0.25">
      <c r="A218" s="1">
        <v>41943</v>
      </c>
      <c r="B218">
        <v>6.1280000000000001</v>
      </c>
      <c r="C218" s="1">
        <v>41967</v>
      </c>
      <c r="D218">
        <v>6.1425999999999998</v>
      </c>
      <c r="E218" s="1">
        <v>41967</v>
      </c>
      <c r="F218">
        <v>6.1425999999999998</v>
      </c>
    </row>
    <row r="219" spans="1:6" x14ac:dyDescent="0.25">
      <c r="A219" s="1">
        <v>41946</v>
      </c>
      <c r="B219">
        <v>6.13</v>
      </c>
      <c r="C219" s="1">
        <v>41968</v>
      </c>
      <c r="D219">
        <v>6.1372999999999998</v>
      </c>
      <c r="E219" s="1">
        <v>41968</v>
      </c>
      <c r="F219">
        <v>6.1372999999999998</v>
      </c>
    </row>
    <row r="220" spans="1:6" x14ac:dyDescent="0.25">
      <c r="A220" s="1">
        <v>41947</v>
      </c>
      <c r="B220">
        <v>6.1181000000000001</v>
      </c>
      <c r="C220" s="1">
        <v>41969</v>
      </c>
      <c r="D220">
        <v>6.1390000000000002</v>
      </c>
      <c r="E220" s="1">
        <v>41969</v>
      </c>
      <c r="F220">
        <v>6.1390000000000002</v>
      </c>
    </row>
    <row r="221" spans="1:6" x14ac:dyDescent="0.25">
      <c r="A221" s="1">
        <v>41948</v>
      </c>
      <c r="B221">
        <v>6.1216999999999997</v>
      </c>
      <c r="C221" s="1">
        <v>41970</v>
      </c>
      <c r="D221">
        <v>6.1391</v>
      </c>
      <c r="E221" s="1">
        <v>41970</v>
      </c>
      <c r="F221">
        <v>6.1391</v>
      </c>
    </row>
    <row r="222" spans="1:6" x14ac:dyDescent="0.25">
      <c r="A222" s="1">
        <v>41949</v>
      </c>
      <c r="B222">
        <v>6.1219999999999999</v>
      </c>
      <c r="C222" s="1">
        <v>41971</v>
      </c>
      <c r="D222">
        <v>6.1433999999999997</v>
      </c>
      <c r="E222" s="1">
        <v>41971</v>
      </c>
      <c r="F222">
        <v>6.1433999999999997</v>
      </c>
    </row>
    <row r="223" spans="1:6" x14ac:dyDescent="0.25">
      <c r="A223" s="1">
        <v>41950</v>
      </c>
      <c r="B223">
        <v>6.1359000000000004</v>
      </c>
      <c r="C223" s="1">
        <v>41974</v>
      </c>
      <c r="D223">
        <v>6.1505999999999998</v>
      </c>
      <c r="E223" s="1">
        <v>41974</v>
      </c>
      <c r="F223">
        <v>6.1505999999999998</v>
      </c>
    </row>
    <row r="224" spans="1:6" x14ac:dyDescent="0.25">
      <c r="A224" s="1">
        <v>41953</v>
      </c>
      <c r="B224">
        <v>6.1242000000000001</v>
      </c>
      <c r="C224" s="1">
        <v>41975</v>
      </c>
      <c r="D224">
        <v>6.15</v>
      </c>
      <c r="E224" s="1">
        <v>41975</v>
      </c>
      <c r="F224">
        <v>6.15</v>
      </c>
    </row>
    <row r="225" spans="1:6" x14ac:dyDescent="0.25">
      <c r="A225" s="1">
        <v>41954</v>
      </c>
      <c r="B225">
        <v>6.1285999999999996</v>
      </c>
      <c r="C225" s="1">
        <v>41976</v>
      </c>
      <c r="D225">
        <v>6.1505999999999998</v>
      </c>
      <c r="E225" s="1">
        <v>41976</v>
      </c>
      <c r="F225">
        <v>6.1505999999999998</v>
      </c>
    </row>
    <row r="226" spans="1:6" x14ac:dyDescent="0.25">
      <c r="A226" s="1">
        <v>41955</v>
      </c>
      <c r="B226">
        <v>6.1325000000000003</v>
      </c>
      <c r="C226" s="1">
        <v>41977</v>
      </c>
      <c r="D226">
        <v>6.1547999999999998</v>
      </c>
      <c r="E226" s="1">
        <v>41977</v>
      </c>
      <c r="F226">
        <v>6.1547999999999998</v>
      </c>
    </row>
    <row r="227" spans="1:6" x14ac:dyDescent="0.25">
      <c r="A227" s="1">
        <v>41956</v>
      </c>
      <c r="B227">
        <v>6.1295999999999999</v>
      </c>
      <c r="C227" s="1">
        <v>41978</v>
      </c>
      <c r="D227">
        <v>6.1501999999999999</v>
      </c>
      <c r="E227" s="1">
        <v>41978</v>
      </c>
      <c r="F227">
        <v>6.1501999999999999</v>
      </c>
    </row>
    <row r="228" spans="1:6" x14ac:dyDescent="0.25">
      <c r="A228" s="1">
        <v>41957</v>
      </c>
      <c r="B228">
        <v>6.1303000000000001</v>
      </c>
      <c r="C228" s="1">
        <v>41981</v>
      </c>
      <c r="D228">
        <v>6.1715</v>
      </c>
      <c r="E228" s="1">
        <v>41981</v>
      </c>
      <c r="F228">
        <v>6.1715</v>
      </c>
    </row>
    <row r="229" spans="1:6" x14ac:dyDescent="0.25">
      <c r="A229" s="1">
        <v>41960</v>
      </c>
      <c r="B229">
        <v>6.1260000000000003</v>
      </c>
      <c r="C229" s="1">
        <v>41982</v>
      </c>
      <c r="D229">
        <v>6.1867000000000001</v>
      </c>
      <c r="E229" s="1">
        <v>41982</v>
      </c>
      <c r="F229">
        <v>6.1867000000000001</v>
      </c>
    </row>
    <row r="230" spans="1:6" x14ac:dyDescent="0.25">
      <c r="A230" s="1">
        <v>41961</v>
      </c>
      <c r="B230">
        <v>6.1180000000000003</v>
      </c>
      <c r="C230" s="1">
        <v>41983</v>
      </c>
      <c r="D230">
        <v>6.1753999999999998</v>
      </c>
      <c r="E230" s="1">
        <v>41983</v>
      </c>
      <c r="F230">
        <v>6.1753999999999998</v>
      </c>
    </row>
    <row r="231" spans="1:6" x14ac:dyDescent="0.25">
      <c r="A231" s="1">
        <v>41962</v>
      </c>
      <c r="B231">
        <v>6.1252000000000004</v>
      </c>
      <c r="C231" s="1">
        <v>41984</v>
      </c>
      <c r="D231">
        <v>6.1890999999999998</v>
      </c>
      <c r="E231" s="1">
        <v>41984</v>
      </c>
      <c r="F231">
        <v>6.1890999999999998</v>
      </c>
    </row>
    <row r="232" spans="1:6" x14ac:dyDescent="0.25">
      <c r="A232" s="1">
        <v>41963</v>
      </c>
      <c r="B232">
        <v>6.1260000000000003</v>
      </c>
      <c r="C232" s="1">
        <v>41985</v>
      </c>
      <c r="D232">
        <v>6.1868999999999996</v>
      </c>
      <c r="E232" s="1">
        <v>41985</v>
      </c>
      <c r="F232">
        <v>6.1868999999999996</v>
      </c>
    </row>
    <row r="233" spans="1:6" x14ac:dyDescent="0.25">
      <c r="A233" s="1">
        <v>41964</v>
      </c>
      <c r="B233">
        <v>6.1341000000000001</v>
      </c>
      <c r="C233" s="1">
        <v>41988</v>
      </c>
      <c r="D233">
        <v>6.1909999999999998</v>
      </c>
      <c r="E233" s="1">
        <v>41988</v>
      </c>
      <c r="F233">
        <v>6.1909999999999998</v>
      </c>
    </row>
    <row r="234" spans="1:6" x14ac:dyDescent="0.25">
      <c r="A234" s="1">
        <v>41967</v>
      </c>
      <c r="B234">
        <v>6.1590999999999996</v>
      </c>
      <c r="C234" s="1">
        <v>41989</v>
      </c>
      <c r="D234">
        <v>6.1904000000000003</v>
      </c>
      <c r="E234" s="1">
        <v>41989</v>
      </c>
      <c r="F234">
        <v>6.1904000000000003</v>
      </c>
    </row>
    <row r="235" spans="1:6" x14ac:dyDescent="0.25">
      <c r="A235" s="1">
        <v>41968</v>
      </c>
      <c r="B235">
        <v>6.1463999999999999</v>
      </c>
      <c r="C235" s="1">
        <v>41990</v>
      </c>
      <c r="D235">
        <v>6.1974</v>
      </c>
      <c r="E235" s="1">
        <v>41990</v>
      </c>
      <c r="F235">
        <v>6.1974</v>
      </c>
    </row>
    <row r="236" spans="1:6" x14ac:dyDescent="0.25">
      <c r="A236" s="1">
        <v>41969</v>
      </c>
      <c r="B236">
        <v>6.1492000000000004</v>
      </c>
      <c r="C236" s="1">
        <v>41991</v>
      </c>
      <c r="D236">
        <v>6.2154999999999996</v>
      </c>
      <c r="E236" s="1">
        <v>41991</v>
      </c>
      <c r="F236">
        <v>6.2154999999999996</v>
      </c>
    </row>
    <row r="237" spans="1:6" x14ac:dyDescent="0.25">
      <c r="A237" s="1">
        <v>41970</v>
      </c>
      <c r="B237">
        <v>6.1471</v>
      </c>
      <c r="C237" s="1">
        <v>41992</v>
      </c>
      <c r="D237">
        <v>6.2206000000000001</v>
      </c>
      <c r="E237" s="1">
        <v>41992</v>
      </c>
      <c r="F237">
        <v>6.2206000000000001</v>
      </c>
    </row>
    <row r="238" spans="1:6" x14ac:dyDescent="0.25">
      <c r="A238" s="1">
        <v>41971</v>
      </c>
      <c r="B238">
        <v>6.1604000000000001</v>
      </c>
      <c r="C238" s="1">
        <v>41995</v>
      </c>
      <c r="D238">
        <v>6.2228000000000003</v>
      </c>
      <c r="E238" s="1">
        <v>41995</v>
      </c>
      <c r="F238">
        <v>6.2228000000000003</v>
      </c>
    </row>
    <row r="239" spans="1:6" x14ac:dyDescent="0.25">
      <c r="A239" s="1">
        <v>41974</v>
      </c>
      <c r="B239">
        <v>6.1581000000000001</v>
      </c>
      <c r="C239" s="1">
        <v>41996</v>
      </c>
      <c r="D239">
        <v>6.2253999999999996</v>
      </c>
      <c r="E239" s="1">
        <v>41996</v>
      </c>
      <c r="F239">
        <v>6.2253999999999996</v>
      </c>
    </row>
    <row r="240" spans="1:6" x14ac:dyDescent="0.25">
      <c r="A240" s="1">
        <v>41975</v>
      </c>
      <c r="B240">
        <v>6.1565000000000003</v>
      </c>
      <c r="C240" s="1">
        <v>41997</v>
      </c>
      <c r="D240">
        <v>6.2161999999999997</v>
      </c>
      <c r="E240" s="1">
        <v>41997</v>
      </c>
      <c r="F240">
        <v>6.2161999999999997</v>
      </c>
    </row>
    <row r="241" spans="1:6" x14ac:dyDescent="0.25">
      <c r="A241" s="1">
        <v>41976</v>
      </c>
      <c r="B241">
        <v>6.1474000000000002</v>
      </c>
      <c r="C241" s="1">
        <v>41998</v>
      </c>
      <c r="D241">
        <v>6.1980000000000004</v>
      </c>
      <c r="E241" s="1">
        <v>41998</v>
      </c>
      <c r="F241">
        <v>6.1980000000000004</v>
      </c>
    </row>
    <row r="242" spans="1:6" x14ac:dyDescent="0.25">
      <c r="A242" s="1">
        <v>41977</v>
      </c>
      <c r="B242">
        <v>6.1520000000000001</v>
      </c>
      <c r="C242" s="1">
        <v>41999</v>
      </c>
      <c r="D242">
        <v>6.2118000000000002</v>
      </c>
      <c r="E242" s="1">
        <v>41999</v>
      </c>
      <c r="F242">
        <v>6.2118000000000002</v>
      </c>
    </row>
    <row r="243" spans="1:6" x14ac:dyDescent="0.25">
      <c r="A243" s="1">
        <v>41978</v>
      </c>
      <c r="B243">
        <v>6.1597</v>
      </c>
      <c r="C243" s="1">
        <v>42002</v>
      </c>
      <c r="D243">
        <v>6.2236000000000002</v>
      </c>
      <c r="E243" s="1">
        <v>42002</v>
      </c>
      <c r="F243">
        <v>6.2236000000000002</v>
      </c>
    </row>
    <row r="244" spans="1:6" x14ac:dyDescent="0.25">
      <c r="A244" s="1">
        <v>41981</v>
      </c>
      <c r="B244">
        <v>6.1730999999999998</v>
      </c>
      <c r="C244" s="1">
        <v>42003</v>
      </c>
      <c r="D244">
        <v>6.2023999999999999</v>
      </c>
      <c r="E244" s="1">
        <v>42003</v>
      </c>
      <c r="F244">
        <v>6.2023999999999999</v>
      </c>
    </row>
    <row r="245" spans="1:6" x14ac:dyDescent="0.25">
      <c r="A245" s="1">
        <v>41982</v>
      </c>
      <c r="B245">
        <v>6.1891999999999996</v>
      </c>
      <c r="C245" s="1">
        <v>42004</v>
      </c>
      <c r="D245">
        <v>6.2057000000000002</v>
      </c>
      <c r="E245" s="1">
        <v>42004</v>
      </c>
      <c r="F245">
        <v>6.2057000000000002</v>
      </c>
    </row>
    <row r="246" spans="1:6" x14ac:dyDescent="0.25">
      <c r="A246" s="1">
        <v>41983</v>
      </c>
      <c r="B246">
        <v>6.1798000000000002</v>
      </c>
      <c r="C246" s="1">
        <v>42009</v>
      </c>
      <c r="D246">
        <v>6.2199</v>
      </c>
      <c r="E246" s="1">
        <v>42009</v>
      </c>
      <c r="F246">
        <v>6.2199</v>
      </c>
    </row>
    <row r="247" spans="1:6" x14ac:dyDescent="0.25">
      <c r="A247" s="1">
        <v>41984</v>
      </c>
      <c r="B247">
        <v>6.1963999999999997</v>
      </c>
      <c r="C247" s="1">
        <v>42010</v>
      </c>
      <c r="D247">
        <v>6.2129000000000003</v>
      </c>
      <c r="E247" s="1">
        <v>42010</v>
      </c>
      <c r="F247">
        <v>6.2129000000000003</v>
      </c>
    </row>
    <row r="248" spans="1:6" x14ac:dyDescent="0.25">
      <c r="A248" s="1">
        <v>41985</v>
      </c>
      <c r="B248">
        <v>6.1954000000000002</v>
      </c>
      <c r="C248" s="1">
        <v>42011</v>
      </c>
      <c r="D248">
        <v>6.2131999999999996</v>
      </c>
      <c r="E248" s="1">
        <v>42011</v>
      </c>
      <c r="F248">
        <v>6.2131999999999996</v>
      </c>
    </row>
    <row r="249" spans="1:6" x14ac:dyDescent="0.25">
      <c r="A249" s="1">
        <v>41988</v>
      </c>
      <c r="B249">
        <v>6.1993</v>
      </c>
      <c r="C249" s="1">
        <v>42012</v>
      </c>
      <c r="D249">
        <v>6.2146999999999997</v>
      </c>
      <c r="E249" s="1">
        <v>42012</v>
      </c>
      <c r="F249">
        <v>6.2146999999999997</v>
      </c>
    </row>
    <row r="250" spans="1:6" x14ac:dyDescent="0.25">
      <c r="A250" s="1">
        <v>41989</v>
      </c>
      <c r="B250">
        <v>6.1927000000000003</v>
      </c>
      <c r="C250" s="1">
        <v>42013</v>
      </c>
      <c r="D250">
        <v>6.2092999999999998</v>
      </c>
      <c r="E250" s="1">
        <v>42013</v>
      </c>
      <c r="F250">
        <v>6.2092999999999998</v>
      </c>
    </row>
    <row r="251" spans="1:6" x14ac:dyDescent="0.25">
      <c r="A251" s="1">
        <v>41990</v>
      </c>
      <c r="B251">
        <v>6.2018000000000004</v>
      </c>
      <c r="C251" s="1">
        <v>42016</v>
      </c>
      <c r="D251">
        <v>6.2034000000000002</v>
      </c>
      <c r="E251" s="1">
        <v>42016</v>
      </c>
      <c r="F251">
        <v>6.2034000000000002</v>
      </c>
    </row>
    <row r="252" spans="1:6" x14ac:dyDescent="0.25">
      <c r="A252" s="1">
        <v>41991</v>
      </c>
      <c r="B252">
        <v>6.2209000000000003</v>
      </c>
      <c r="C252" s="1">
        <v>42017</v>
      </c>
      <c r="D252">
        <v>6.1978</v>
      </c>
      <c r="E252" s="1">
        <v>42017</v>
      </c>
      <c r="F252">
        <v>6.1978</v>
      </c>
    </row>
    <row r="253" spans="1:6" x14ac:dyDescent="0.25">
      <c r="A253" s="1">
        <v>41992</v>
      </c>
      <c r="B253">
        <v>6.2237999999999998</v>
      </c>
      <c r="C253" s="1">
        <v>42018</v>
      </c>
      <c r="D253">
        <v>6.1959</v>
      </c>
      <c r="E253" s="1">
        <v>42018</v>
      </c>
      <c r="F253">
        <v>6.1959</v>
      </c>
    </row>
    <row r="254" spans="1:6" x14ac:dyDescent="0.25">
      <c r="A254" s="1">
        <v>41995</v>
      </c>
      <c r="B254">
        <v>6.2192999999999996</v>
      </c>
      <c r="C254" s="1">
        <v>42019</v>
      </c>
      <c r="D254">
        <v>6.1883999999999997</v>
      </c>
      <c r="E254" s="1">
        <v>42019</v>
      </c>
      <c r="F254">
        <v>6.1883999999999997</v>
      </c>
    </row>
    <row r="255" spans="1:6" x14ac:dyDescent="0.25">
      <c r="A255" s="1">
        <v>41996</v>
      </c>
      <c r="B255">
        <v>6.2313000000000001</v>
      </c>
      <c r="C255" s="1">
        <v>42020</v>
      </c>
      <c r="D255">
        <v>6.2076000000000002</v>
      </c>
      <c r="E255" s="1">
        <v>42020</v>
      </c>
      <c r="F255">
        <v>6.2076000000000002</v>
      </c>
    </row>
    <row r="256" spans="1:6" x14ac:dyDescent="0.25">
      <c r="A256" s="1">
        <v>41997</v>
      </c>
      <c r="B256">
        <v>6.2252999999999998</v>
      </c>
      <c r="C256" s="1">
        <v>42023</v>
      </c>
      <c r="D256">
        <v>6.2203999999999997</v>
      </c>
      <c r="E256" s="1">
        <v>42023</v>
      </c>
      <c r="F256">
        <v>6.2203999999999997</v>
      </c>
    </row>
    <row r="257" spans="1:6" x14ac:dyDescent="0.25">
      <c r="A257" s="1">
        <v>41998</v>
      </c>
      <c r="B257">
        <v>6.2069999999999999</v>
      </c>
      <c r="C257" s="1">
        <v>42024</v>
      </c>
      <c r="D257">
        <v>6.2137000000000002</v>
      </c>
      <c r="E257" s="1">
        <v>42024</v>
      </c>
      <c r="F257">
        <v>6.2137000000000002</v>
      </c>
    </row>
    <row r="258" spans="1:6" x14ac:dyDescent="0.25">
      <c r="A258" s="1">
        <v>41999</v>
      </c>
      <c r="B258">
        <v>6.2179000000000002</v>
      </c>
      <c r="C258" s="1">
        <v>42025</v>
      </c>
      <c r="D258">
        <v>6.2122999999999999</v>
      </c>
      <c r="E258" s="1">
        <v>42025</v>
      </c>
      <c r="F258">
        <v>6.2122999999999999</v>
      </c>
    </row>
    <row r="259" spans="1:6" x14ac:dyDescent="0.25">
      <c r="A259" s="1">
        <v>42002</v>
      </c>
      <c r="B259">
        <v>6.2336</v>
      </c>
      <c r="C259" s="1">
        <v>42026</v>
      </c>
      <c r="D259">
        <v>6.2089999999999996</v>
      </c>
      <c r="E259" s="1">
        <v>42026</v>
      </c>
      <c r="F259">
        <v>6.2089999999999996</v>
      </c>
    </row>
    <row r="260" spans="1:6" x14ac:dyDescent="0.25">
      <c r="A260" s="1">
        <v>42003</v>
      </c>
      <c r="B260">
        <v>6.2167000000000003</v>
      </c>
      <c r="C260" s="1">
        <v>42027</v>
      </c>
      <c r="D260">
        <v>6.2286000000000001</v>
      </c>
      <c r="E260" s="1">
        <v>42027</v>
      </c>
      <c r="F260">
        <v>6.2286000000000001</v>
      </c>
    </row>
    <row r="261" spans="1:6" x14ac:dyDescent="0.25">
      <c r="A261" s="1">
        <v>42004</v>
      </c>
      <c r="B261">
        <v>6.2164999999999999</v>
      </c>
      <c r="C261" s="1">
        <v>42030</v>
      </c>
      <c r="D261">
        <v>6.2544000000000004</v>
      </c>
      <c r="E261" s="1">
        <v>42030</v>
      </c>
      <c r="F261">
        <v>6.2544000000000004</v>
      </c>
    </row>
    <row r="262" spans="1:6" x14ac:dyDescent="0.25">
      <c r="A262" s="1">
        <v>42005</v>
      </c>
      <c r="B262">
        <v>6.2190000000000003</v>
      </c>
      <c r="C262" s="1">
        <v>42031</v>
      </c>
      <c r="D262">
        <v>6.2435</v>
      </c>
      <c r="E262" s="1">
        <v>42031</v>
      </c>
      <c r="F262">
        <v>6.2435</v>
      </c>
    </row>
    <row r="263" spans="1:6" x14ac:dyDescent="0.25">
      <c r="A263" s="1">
        <v>42006</v>
      </c>
      <c r="B263">
        <v>6.2285000000000004</v>
      </c>
      <c r="C263" s="1">
        <v>42032</v>
      </c>
      <c r="D263">
        <v>6.2472000000000003</v>
      </c>
      <c r="E263" s="1">
        <v>42032</v>
      </c>
      <c r="F263">
        <v>6.2472000000000003</v>
      </c>
    </row>
    <row r="264" spans="1:6" x14ac:dyDescent="0.25">
      <c r="A264" s="1">
        <v>42009</v>
      </c>
      <c r="B264">
        <v>6.2279</v>
      </c>
      <c r="C264" s="1">
        <v>42033</v>
      </c>
      <c r="D264">
        <v>6.2468000000000004</v>
      </c>
      <c r="E264" s="1">
        <v>42033</v>
      </c>
      <c r="F264">
        <v>6.2468000000000004</v>
      </c>
    </row>
    <row r="265" spans="1:6" x14ac:dyDescent="0.25">
      <c r="A265" s="1">
        <v>42010</v>
      </c>
      <c r="B265">
        <v>6.2122000000000002</v>
      </c>
      <c r="C265" s="1">
        <v>42034</v>
      </c>
      <c r="D265">
        <v>6.2504999999999997</v>
      </c>
      <c r="E265" s="1">
        <v>42034</v>
      </c>
      <c r="F265">
        <v>6.2504999999999997</v>
      </c>
    </row>
    <row r="266" spans="1:6" x14ac:dyDescent="0.25">
      <c r="A266" s="1">
        <v>42011</v>
      </c>
      <c r="B266">
        <v>6.2157999999999998</v>
      </c>
      <c r="C266" s="1">
        <v>42037</v>
      </c>
      <c r="D266">
        <v>6.2599</v>
      </c>
      <c r="E266" s="1">
        <v>42037</v>
      </c>
      <c r="F266">
        <v>6.2599</v>
      </c>
    </row>
    <row r="267" spans="1:6" x14ac:dyDescent="0.25">
      <c r="A267" s="1">
        <v>42012</v>
      </c>
      <c r="B267">
        <v>6.2183000000000002</v>
      </c>
      <c r="C267" s="1">
        <v>42038</v>
      </c>
      <c r="D267">
        <v>6.258</v>
      </c>
      <c r="E267" s="1">
        <v>42038</v>
      </c>
      <c r="F267">
        <v>6.258</v>
      </c>
    </row>
    <row r="268" spans="1:6" x14ac:dyDescent="0.25">
      <c r="A268" s="1">
        <v>42013</v>
      </c>
      <c r="B268">
        <v>6.2054</v>
      </c>
      <c r="C268" s="1">
        <v>42039</v>
      </c>
      <c r="D268">
        <v>6.2481</v>
      </c>
      <c r="E268" s="1">
        <v>42039</v>
      </c>
      <c r="F268">
        <v>6.2481</v>
      </c>
    </row>
    <row r="269" spans="1:6" x14ac:dyDescent="0.25">
      <c r="A269" s="1">
        <v>42016</v>
      </c>
      <c r="B269">
        <v>6.1973000000000003</v>
      </c>
      <c r="C269" s="1">
        <v>42040</v>
      </c>
      <c r="D269">
        <v>6.2522000000000002</v>
      </c>
      <c r="E269" s="1">
        <v>42040</v>
      </c>
      <c r="F269">
        <v>6.2522000000000002</v>
      </c>
    </row>
    <row r="270" spans="1:6" x14ac:dyDescent="0.25">
      <c r="A270" s="1">
        <v>42017</v>
      </c>
      <c r="B270">
        <v>6.1963999999999997</v>
      </c>
      <c r="C270" s="1">
        <v>42041</v>
      </c>
      <c r="D270">
        <v>6.2443</v>
      </c>
      <c r="E270" s="1">
        <v>42041</v>
      </c>
      <c r="F270">
        <v>6.2443</v>
      </c>
    </row>
    <row r="271" spans="1:6" x14ac:dyDescent="0.25">
      <c r="A271" s="1">
        <v>42018</v>
      </c>
      <c r="B271">
        <v>6.1942000000000004</v>
      </c>
      <c r="C271" s="1">
        <v>42044</v>
      </c>
      <c r="D271">
        <v>6.2473000000000001</v>
      </c>
      <c r="E271" s="1">
        <v>42044</v>
      </c>
      <c r="F271">
        <v>6.2473000000000001</v>
      </c>
    </row>
    <row r="272" spans="1:6" x14ac:dyDescent="0.25">
      <c r="A272" s="1">
        <v>42019</v>
      </c>
      <c r="B272">
        <v>6.2107000000000001</v>
      </c>
      <c r="C272" s="1">
        <v>42045</v>
      </c>
      <c r="D272">
        <v>6.2411000000000003</v>
      </c>
      <c r="E272" s="1">
        <v>42045</v>
      </c>
      <c r="F272">
        <v>6.2411000000000003</v>
      </c>
    </row>
    <row r="273" spans="1:6" x14ac:dyDescent="0.25">
      <c r="A273" s="1">
        <v>42020</v>
      </c>
      <c r="B273">
        <v>6.2359</v>
      </c>
      <c r="C273" s="1">
        <v>42046</v>
      </c>
      <c r="D273">
        <v>6.2423999999999999</v>
      </c>
      <c r="E273" s="1">
        <v>42046</v>
      </c>
      <c r="F273">
        <v>6.2423999999999999</v>
      </c>
    </row>
    <row r="274" spans="1:6" x14ac:dyDescent="0.25">
      <c r="A274" s="1">
        <v>42023</v>
      </c>
      <c r="B274">
        <v>6.2239000000000004</v>
      </c>
      <c r="C274" s="1">
        <v>42047</v>
      </c>
      <c r="D274">
        <v>6.2454999999999998</v>
      </c>
      <c r="E274" s="1">
        <v>42047</v>
      </c>
      <c r="F274">
        <v>6.2454999999999998</v>
      </c>
    </row>
    <row r="275" spans="1:6" x14ac:dyDescent="0.25">
      <c r="A275" s="1">
        <v>42024</v>
      </c>
      <c r="B275">
        <v>6.2214999999999998</v>
      </c>
      <c r="C275" s="1">
        <v>42048</v>
      </c>
      <c r="D275">
        <v>6.2404000000000002</v>
      </c>
      <c r="E275" s="1">
        <v>42048</v>
      </c>
      <c r="F275">
        <v>6.2404000000000002</v>
      </c>
    </row>
    <row r="276" spans="1:6" x14ac:dyDescent="0.25">
      <c r="A276" s="1">
        <v>42025</v>
      </c>
      <c r="B276">
        <v>6.2167000000000003</v>
      </c>
      <c r="C276" s="1">
        <v>42051</v>
      </c>
      <c r="D276">
        <v>6.2492000000000001</v>
      </c>
      <c r="E276" s="1">
        <v>42051</v>
      </c>
      <c r="F276">
        <v>6.2492000000000001</v>
      </c>
    </row>
    <row r="277" spans="1:6" x14ac:dyDescent="0.25">
      <c r="A277" s="1">
        <v>42026</v>
      </c>
      <c r="B277">
        <v>6.2211999999999996</v>
      </c>
      <c r="C277" s="1">
        <v>42052</v>
      </c>
      <c r="D277">
        <v>6.2549000000000001</v>
      </c>
      <c r="E277" s="1">
        <v>42052</v>
      </c>
      <c r="F277">
        <v>6.2549000000000001</v>
      </c>
    </row>
    <row r="278" spans="1:6" x14ac:dyDescent="0.25">
      <c r="A278" s="1">
        <v>42027</v>
      </c>
      <c r="B278">
        <v>6.2519</v>
      </c>
      <c r="C278" s="1">
        <v>42060</v>
      </c>
      <c r="D278">
        <v>6.26</v>
      </c>
      <c r="E278" s="1">
        <v>42060</v>
      </c>
      <c r="F278">
        <v>6.26</v>
      </c>
    </row>
    <row r="279" spans="1:6" x14ac:dyDescent="0.25">
      <c r="A279" s="1">
        <v>42030</v>
      </c>
      <c r="B279">
        <v>6.2541000000000002</v>
      </c>
      <c r="C279" s="1">
        <v>42061</v>
      </c>
      <c r="D279">
        <v>6.2590000000000003</v>
      </c>
      <c r="E279" s="1">
        <v>42061</v>
      </c>
      <c r="F279">
        <v>6.2590000000000003</v>
      </c>
    </row>
    <row r="280" spans="1:6" x14ac:dyDescent="0.25">
      <c r="A280" s="1">
        <v>42031</v>
      </c>
      <c r="B280">
        <v>6.2434000000000003</v>
      </c>
      <c r="C280" s="1">
        <v>42062</v>
      </c>
      <c r="D280">
        <v>6.2694999999999999</v>
      </c>
      <c r="E280" s="1">
        <v>42062</v>
      </c>
      <c r="F280">
        <v>6.2694999999999999</v>
      </c>
    </row>
    <row r="281" spans="1:6" x14ac:dyDescent="0.25">
      <c r="A281" s="1">
        <v>42032</v>
      </c>
      <c r="B281">
        <v>6.2587999999999999</v>
      </c>
      <c r="C281" s="1">
        <v>42065</v>
      </c>
      <c r="D281">
        <v>6.2728999999999999</v>
      </c>
      <c r="E281" s="1">
        <v>42065</v>
      </c>
      <c r="F281">
        <v>6.2728999999999999</v>
      </c>
    </row>
    <row r="282" spans="1:6" x14ac:dyDescent="0.25">
      <c r="A282" s="1">
        <v>42033</v>
      </c>
      <c r="B282">
        <v>6.2618</v>
      </c>
      <c r="C282" s="1">
        <v>42066</v>
      </c>
      <c r="D282">
        <v>6.2747999999999999</v>
      </c>
      <c r="E282" s="1">
        <v>42066</v>
      </c>
      <c r="F282">
        <v>6.2747999999999999</v>
      </c>
    </row>
    <row r="283" spans="1:6" x14ac:dyDescent="0.25">
      <c r="A283" s="1">
        <v>42034</v>
      </c>
      <c r="B283">
        <v>6.2835000000000001</v>
      </c>
      <c r="C283" s="1">
        <v>42067</v>
      </c>
      <c r="D283">
        <v>6.2705000000000002</v>
      </c>
      <c r="E283" s="1">
        <v>42067</v>
      </c>
      <c r="F283">
        <v>6.2705000000000002</v>
      </c>
    </row>
    <row r="284" spans="1:6" x14ac:dyDescent="0.25">
      <c r="A284" s="1">
        <v>42037</v>
      </c>
      <c r="B284">
        <v>6.2694000000000001</v>
      </c>
      <c r="C284" s="1">
        <v>42068</v>
      </c>
      <c r="D284">
        <v>6.2663000000000002</v>
      </c>
      <c r="E284" s="1">
        <v>42068</v>
      </c>
      <c r="F284">
        <v>6.2663000000000002</v>
      </c>
    </row>
    <row r="285" spans="1:6" x14ac:dyDescent="0.25">
      <c r="A285" s="1">
        <v>42038</v>
      </c>
      <c r="B285">
        <v>6.2576999999999998</v>
      </c>
      <c r="C285" s="1">
        <v>42069</v>
      </c>
      <c r="D285">
        <v>6.2629000000000001</v>
      </c>
      <c r="E285" s="1">
        <v>42069</v>
      </c>
      <c r="F285">
        <v>6.2629000000000001</v>
      </c>
    </row>
    <row r="286" spans="1:6" x14ac:dyDescent="0.25">
      <c r="A286" s="1">
        <v>42039</v>
      </c>
      <c r="B286">
        <v>6.2561</v>
      </c>
      <c r="C286" s="1">
        <v>42072</v>
      </c>
      <c r="D286">
        <v>6.2645999999999997</v>
      </c>
      <c r="E286" s="1">
        <v>42072</v>
      </c>
      <c r="F286">
        <v>6.2645999999999997</v>
      </c>
    </row>
    <row r="287" spans="1:6" x14ac:dyDescent="0.25">
      <c r="A287" s="1">
        <v>42040</v>
      </c>
      <c r="B287">
        <v>6.2426000000000004</v>
      </c>
      <c r="C287" s="1">
        <v>42073</v>
      </c>
      <c r="D287">
        <v>6.2618999999999998</v>
      </c>
      <c r="E287" s="1">
        <v>42073</v>
      </c>
      <c r="F287">
        <v>6.2618999999999998</v>
      </c>
    </row>
    <row r="288" spans="1:6" x14ac:dyDescent="0.25">
      <c r="A288" s="1">
        <v>42041</v>
      </c>
      <c r="B288">
        <v>6.2484000000000002</v>
      </c>
      <c r="C288" s="1">
        <v>42074</v>
      </c>
      <c r="D288">
        <v>6.2619999999999996</v>
      </c>
      <c r="E288" s="1">
        <v>42074</v>
      </c>
      <c r="F288">
        <v>6.2619999999999996</v>
      </c>
    </row>
    <row r="289" spans="1:6" x14ac:dyDescent="0.25">
      <c r="A289" s="1">
        <v>42044</v>
      </c>
      <c r="B289">
        <v>6.2538999999999998</v>
      </c>
      <c r="C289" s="1">
        <v>42075</v>
      </c>
      <c r="D289">
        <v>6.2625000000000002</v>
      </c>
      <c r="E289" s="1">
        <v>42075</v>
      </c>
      <c r="F289">
        <v>6.2625000000000002</v>
      </c>
    </row>
    <row r="290" spans="1:6" x14ac:dyDescent="0.25">
      <c r="A290" s="1">
        <v>42045</v>
      </c>
      <c r="B290">
        <v>6.2565999999999997</v>
      </c>
      <c r="C290" s="1">
        <v>42076</v>
      </c>
      <c r="D290">
        <v>6.2587000000000002</v>
      </c>
      <c r="E290" s="1">
        <v>42076</v>
      </c>
      <c r="F290">
        <v>6.2587000000000002</v>
      </c>
    </row>
    <row r="291" spans="1:6" x14ac:dyDescent="0.25">
      <c r="A291" s="1">
        <v>42046</v>
      </c>
      <c r="B291">
        <v>6.2468000000000004</v>
      </c>
      <c r="C291" s="1">
        <v>42079</v>
      </c>
      <c r="D291">
        <v>6.2618999999999998</v>
      </c>
      <c r="E291" s="1">
        <v>42079</v>
      </c>
      <c r="F291">
        <v>6.2618999999999998</v>
      </c>
    </row>
    <row r="292" spans="1:6" x14ac:dyDescent="0.25">
      <c r="A292" s="1">
        <v>42047</v>
      </c>
      <c r="B292">
        <v>6.2407000000000004</v>
      </c>
      <c r="C292" s="1">
        <v>42080</v>
      </c>
      <c r="D292">
        <v>6.2496999999999998</v>
      </c>
      <c r="E292" s="1">
        <v>42080</v>
      </c>
      <c r="F292">
        <v>6.2496999999999998</v>
      </c>
    </row>
    <row r="293" spans="1:6" x14ac:dyDescent="0.25">
      <c r="A293" s="1">
        <v>42048</v>
      </c>
      <c r="B293">
        <v>6.2419000000000002</v>
      </c>
      <c r="C293" s="1">
        <v>42081</v>
      </c>
      <c r="D293">
        <v>6.2294999999999998</v>
      </c>
      <c r="E293" s="1">
        <v>42081</v>
      </c>
      <c r="F293">
        <v>6.2294999999999998</v>
      </c>
    </row>
    <row r="294" spans="1:6" x14ac:dyDescent="0.25">
      <c r="A294" s="1">
        <v>42051</v>
      </c>
      <c r="B294">
        <v>6.2656999999999998</v>
      </c>
      <c r="C294" s="1">
        <v>42082</v>
      </c>
      <c r="D294">
        <v>6.1962000000000002</v>
      </c>
      <c r="E294" s="1">
        <v>42082</v>
      </c>
      <c r="F294">
        <v>6.1962000000000002</v>
      </c>
    </row>
    <row r="295" spans="1:6" x14ac:dyDescent="0.25">
      <c r="A295" s="1">
        <v>42052</v>
      </c>
      <c r="B295">
        <v>6.2760999999999996</v>
      </c>
      <c r="C295" s="1">
        <v>42083</v>
      </c>
      <c r="D295">
        <v>6.2047999999999996</v>
      </c>
      <c r="E295" s="1">
        <v>42083</v>
      </c>
      <c r="F295">
        <v>6.2047999999999996</v>
      </c>
    </row>
    <row r="296" spans="1:6" x14ac:dyDescent="0.25">
      <c r="A296" s="1">
        <v>42053</v>
      </c>
      <c r="B296">
        <v>6.2739000000000003</v>
      </c>
      <c r="C296" s="1">
        <v>42086</v>
      </c>
      <c r="D296">
        <v>6.2145000000000001</v>
      </c>
      <c r="E296" s="1">
        <v>42086</v>
      </c>
      <c r="F296">
        <v>6.2145000000000001</v>
      </c>
    </row>
    <row r="297" spans="1:6" x14ac:dyDescent="0.25">
      <c r="A297" s="1">
        <v>42054</v>
      </c>
      <c r="B297">
        <v>6.2775999999999996</v>
      </c>
      <c r="C297" s="1">
        <v>42087</v>
      </c>
      <c r="D297">
        <v>6.2055999999999996</v>
      </c>
      <c r="E297" s="1">
        <v>42087</v>
      </c>
      <c r="F297">
        <v>6.2055999999999996</v>
      </c>
    </row>
    <row r="298" spans="1:6" x14ac:dyDescent="0.25">
      <c r="A298" s="1">
        <v>42055</v>
      </c>
      <c r="B298">
        <v>6.2786999999999997</v>
      </c>
      <c r="C298" s="1">
        <v>42088</v>
      </c>
      <c r="D298">
        <v>6.2129000000000003</v>
      </c>
      <c r="E298" s="1">
        <v>42088</v>
      </c>
      <c r="F298">
        <v>6.2129000000000003</v>
      </c>
    </row>
    <row r="299" spans="1:6" x14ac:dyDescent="0.25">
      <c r="A299" s="1">
        <v>42058</v>
      </c>
      <c r="B299">
        <v>6.2731000000000003</v>
      </c>
      <c r="C299" s="1">
        <v>42089</v>
      </c>
      <c r="D299">
        <v>6.2114000000000003</v>
      </c>
      <c r="E299" s="1">
        <v>42089</v>
      </c>
      <c r="F299">
        <v>6.2114000000000003</v>
      </c>
    </row>
    <row r="300" spans="1:6" x14ac:dyDescent="0.25">
      <c r="A300" s="1">
        <v>42059</v>
      </c>
      <c r="B300">
        <v>6.2632000000000003</v>
      </c>
      <c r="C300" s="1">
        <v>42090</v>
      </c>
      <c r="D300">
        <v>6.2154999999999996</v>
      </c>
      <c r="E300" s="1">
        <v>42090</v>
      </c>
      <c r="F300">
        <v>6.2154999999999996</v>
      </c>
    </row>
    <row r="301" spans="1:6" x14ac:dyDescent="0.25">
      <c r="A301" s="1">
        <v>42060</v>
      </c>
      <c r="B301">
        <v>6.2714999999999996</v>
      </c>
      <c r="C301" s="1">
        <v>42093</v>
      </c>
      <c r="D301">
        <v>6.2077999999999998</v>
      </c>
      <c r="E301" s="1">
        <v>42093</v>
      </c>
      <c r="F301">
        <v>6.2077999999999998</v>
      </c>
    </row>
    <row r="302" spans="1:6" x14ac:dyDescent="0.25">
      <c r="A302" s="1">
        <v>42061</v>
      </c>
      <c r="B302">
        <v>6.2790999999999997</v>
      </c>
      <c r="C302" s="1">
        <v>42094</v>
      </c>
      <c r="D302">
        <v>6.1997</v>
      </c>
      <c r="E302" s="1">
        <v>42094</v>
      </c>
      <c r="F302">
        <v>6.1997</v>
      </c>
    </row>
    <row r="303" spans="1:6" x14ac:dyDescent="0.25">
      <c r="A303" s="1">
        <v>42062</v>
      </c>
      <c r="B303">
        <v>6.2872000000000003</v>
      </c>
      <c r="C303" s="1">
        <v>42095</v>
      </c>
      <c r="D303">
        <v>6.1980000000000004</v>
      </c>
      <c r="E303" s="1">
        <v>42095</v>
      </c>
      <c r="F303">
        <v>6.1980000000000004</v>
      </c>
    </row>
    <row r="304" spans="1:6" x14ac:dyDescent="0.25">
      <c r="A304" s="1">
        <v>42065</v>
      </c>
      <c r="B304">
        <v>6.2903000000000002</v>
      </c>
      <c r="C304" s="1">
        <v>42096</v>
      </c>
      <c r="D304">
        <v>6.1969000000000003</v>
      </c>
      <c r="E304" s="1">
        <v>42096</v>
      </c>
      <c r="F304">
        <v>6.1969000000000003</v>
      </c>
    </row>
    <row r="305" spans="1:6" x14ac:dyDescent="0.25">
      <c r="A305" s="1">
        <v>42066</v>
      </c>
      <c r="B305">
        <v>6.2850999999999999</v>
      </c>
      <c r="C305" s="1">
        <v>42097</v>
      </c>
      <c r="D305">
        <v>6.1943000000000001</v>
      </c>
      <c r="E305" s="1">
        <v>42097</v>
      </c>
      <c r="F305">
        <v>6.1943000000000001</v>
      </c>
    </row>
    <row r="306" spans="1:6" x14ac:dyDescent="0.25">
      <c r="A306" s="1">
        <v>42067</v>
      </c>
      <c r="B306">
        <v>6.2877999999999998</v>
      </c>
      <c r="C306" s="1">
        <v>42101</v>
      </c>
      <c r="D306">
        <v>6.1976000000000004</v>
      </c>
      <c r="E306" s="1">
        <v>42101</v>
      </c>
      <c r="F306">
        <v>6.1976000000000004</v>
      </c>
    </row>
    <row r="307" spans="1:6" x14ac:dyDescent="0.25">
      <c r="A307" s="1">
        <v>42068</v>
      </c>
      <c r="B307">
        <v>6.2747000000000002</v>
      </c>
      <c r="C307" s="1">
        <v>42102</v>
      </c>
      <c r="D307">
        <v>6.2027000000000001</v>
      </c>
      <c r="E307" s="1">
        <v>42102</v>
      </c>
      <c r="F307">
        <v>6.2027000000000001</v>
      </c>
    </row>
    <row r="308" spans="1:6" x14ac:dyDescent="0.25">
      <c r="A308" s="1">
        <v>42069</v>
      </c>
      <c r="B308">
        <v>6.2849000000000004</v>
      </c>
      <c r="C308" s="1">
        <v>42103</v>
      </c>
      <c r="D308">
        <v>6.2058</v>
      </c>
      <c r="E308" s="1">
        <v>42103</v>
      </c>
      <c r="F308">
        <v>6.2058</v>
      </c>
    </row>
    <row r="309" spans="1:6" x14ac:dyDescent="0.25">
      <c r="A309" s="1">
        <v>42072</v>
      </c>
      <c r="B309">
        <v>6.2729999999999997</v>
      </c>
      <c r="C309" s="1">
        <v>42104</v>
      </c>
      <c r="D309">
        <v>6.2088000000000001</v>
      </c>
      <c r="E309" s="1">
        <v>42104</v>
      </c>
      <c r="F309">
        <v>6.2088000000000001</v>
      </c>
    </row>
    <row r="310" spans="1:6" x14ac:dyDescent="0.25">
      <c r="A310" s="1">
        <v>42073</v>
      </c>
      <c r="B310">
        <v>6.2835999999999999</v>
      </c>
      <c r="C310" s="1">
        <v>42107</v>
      </c>
      <c r="D310">
        <v>6.2167000000000003</v>
      </c>
      <c r="E310" s="1">
        <v>42107</v>
      </c>
      <c r="F310">
        <v>6.2167000000000003</v>
      </c>
    </row>
    <row r="311" spans="1:6" x14ac:dyDescent="0.25">
      <c r="A311" s="1">
        <v>42074</v>
      </c>
      <c r="B311">
        <v>6.2782</v>
      </c>
      <c r="C311" s="1">
        <v>42108</v>
      </c>
      <c r="D311">
        <v>6.2115</v>
      </c>
      <c r="E311" s="1">
        <v>42108</v>
      </c>
      <c r="F311">
        <v>6.2115</v>
      </c>
    </row>
    <row r="312" spans="1:6" x14ac:dyDescent="0.25">
      <c r="A312" s="1">
        <v>42075</v>
      </c>
      <c r="B312">
        <v>6.2756999999999996</v>
      </c>
      <c r="C312" s="1">
        <v>42109</v>
      </c>
      <c r="D312">
        <v>6.2050999999999998</v>
      </c>
      <c r="E312" s="1">
        <v>42109</v>
      </c>
      <c r="F312">
        <v>6.2050999999999998</v>
      </c>
    </row>
    <row r="313" spans="1:6" x14ac:dyDescent="0.25">
      <c r="A313" s="1">
        <v>42076</v>
      </c>
      <c r="B313">
        <v>6.2855999999999996</v>
      </c>
      <c r="C313" s="1">
        <v>42110</v>
      </c>
      <c r="D313">
        <v>6.1967999999999996</v>
      </c>
      <c r="E313" s="1">
        <v>42110</v>
      </c>
      <c r="F313">
        <v>6.1967999999999996</v>
      </c>
    </row>
    <row r="314" spans="1:6" x14ac:dyDescent="0.25">
      <c r="A314" s="1">
        <v>42079</v>
      </c>
      <c r="B314">
        <v>6.2701000000000002</v>
      </c>
      <c r="C314" s="1">
        <v>42111</v>
      </c>
      <c r="D314">
        <v>6.1978999999999997</v>
      </c>
      <c r="E314" s="1">
        <v>42111</v>
      </c>
      <c r="F314">
        <v>6.1978999999999997</v>
      </c>
    </row>
    <row r="315" spans="1:6" x14ac:dyDescent="0.25">
      <c r="A315" s="1">
        <v>42080</v>
      </c>
      <c r="B315">
        <v>6.2478999999999996</v>
      </c>
      <c r="C315" s="1">
        <v>42114</v>
      </c>
      <c r="D315">
        <v>6.2016999999999998</v>
      </c>
      <c r="E315" s="1">
        <v>42114</v>
      </c>
      <c r="F315">
        <v>6.2016999999999998</v>
      </c>
    </row>
    <row r="316" spans="1:6" x14ac:dyDescent="0.25">
      <c r="A316" s="1">
        <v>42081</v>
      </c>
      <c r="B316">
        <v>6.2234999999999996</v>
      </c>
      <c r="C316" s="1">
        <v>42115</v>
      </c>
      <c r="D316">
        <v>6.2016999999999998</v>
      </c>
      <c r="E316" s="1">
        <v>42115</v>
      </c>
      <c r="F316">
        <v>6.2016999999999998</v>
      </c>
    </row>
    <row r="317" spans="1:6" x14ac:dyDescent="0.25">
      <c r="A317" s="1">
        <v>42082</v>
      </c>
      <c r="B317">
        <v>6.2164000000000001</v>
      </c>
      <c r="C317" s="1">
        <v>42116</v>
      </c>
      <c r="D317">
        <v>6.1952999999999996</v>
      </c>
      <c r="E317" s="1">
        <v>42116</v>
      </c>
      <c r="F317">
        <v>6.1952999999999996</v>
      </c>
    </row>
    <row r="318" spans="1:6" x14ac:dyDescent="0.25">
      <c r="A318" s="1">
        <v>42083</v>
      </c>
      <c r="B318">
        <v>6.2035</v>
      </c>
      <c r="C318" s="1">
        <v>42117</v>
      </c>
      <c r="D318">
        <v>6.1978</v>
      </c>
      <c r="E318" s="1">
        <v>42117</v>
      </c>
      <c r="F318">
        <v>6.1978</v>
      </c>
    </row>
    <row r="319" spans="1:6" x14ac:dyDescent="0.25">
      <c r="A319" s="1">
        <v>42086</v>
      </c>
      <c r="B319">
        <v>6.2046999999999999</v>
      </c>
      <c r="C319" s="1">
        <v>42118</v>
      </c>
      <c r="D319">
        <v>6.1947000000000001</v>
      </c>
      <c r="E319" s="1">
        <v>42118</v>
      </c>
      <c r="F319">
        <v>6.1947000000000001</v>
      </c>
    </row>
    <row r="320" spans="1:6" x14ac:dyDescent="0.25">
      <c r="A320" s="1">
        <v>42087</v>
      </c>
      <c r="B320">
        <v>6.2103999999999999</v>
      </c>
      <c r="C320" s="1">
        <v>42121</v>
      </c>
      <c r="D320">
        <v>6.2199</v>
      </c>
      <c r="E320" s="1">
        <v>42121</v>
      </c>
      <c r="F320">
        <v>6.2199</v>
      </c>
    </row>
    <row r="321" spans="1:6" x14ac:dyDescent="0.25">
      <c r="A321" s="1">
        <v>42088</v>
      </c>
      <c r="B321">
        <v>6.2114000000000003</v>
      </c>
      <c r="C321" s="1">
        <v>42122</v>
      </c>
      <c r="D321">
        <v>6.2054</v>
      </c>
      <c r="E321" s="1">
        <v>42122</v>
      </c>
      <c r="F321">
        <v>6.2054</v>
      </c>
    </row>
    <row r="322" spans="1:6" x14ac:dyDescent="0.25">
      <c r="A322" s="1">
        <v>42089</v>
      </c>
      <c r="B322">
        <v>6.2160000000000002</v>
      </c>
      <c r="C322" s="1">
        <v>42123</v>
      </c>
      <c r="D322">
        <v>6.1993</v>
      </c>
      <c r="E322" s="1">
        <v>42123</v>
      </c>
      <c r="F322">
        <v>6.1993</v>
      </c>
    </row>
    <row r="323" spans="1:6" x14ac:dyDescent="0.25">
      <c r="A323" s="1">
        <v>42090</v>
      </c>
      <c r="B323">
        <v>6.2118000000000002</v>
      </c>
      <c r="C323" s="1">
        <v>42124</v>
      </c>
      <c r="D323">
        <v>6.2031999999999998</v>
      </c>
      <c r="E323" s="1">
        <v>42124</v>
      </c>
      <c r="F323">
        <v>6.2031999999999998</v>
      </c>
    </row>
    <row r="324" spans="1:6" x14ac:dyDescent="0.25">
      <c r="A324" s="1">
        <v>42093</v>
      </c>
      <c r="B324">
        <v>6.2084000000000001</v>
      </c>
      <c r="C324" s="1">
        <v>42128</v>
      </c>
      <c r="D324">
        <v>6.2092000000000001</v>
      </c>
      <c r="E324" s="1">
        <v>42128</v>
      </c>
      <c r="F324">
        <v>6.2092000000000001</v>
      </c>
    </row>
    <row r="325" spans="1:6" x14ac:dyDescent="0.25">
      <c r="A325" s="1">
        <v>42094</v>
      </c>
      <c r="B325">
        <v>6.2058999999999997</v>
      </c>
      <c r="C325" s="1">
        <v>42129</v>
      </c>
      <c r="D325">
        <v>6.2062999999999997</v>
      </c>
      <c r="E325" s="1">
        <v>42129</v>
      </c>
      <c r="F325">
        <v>6.2062999999999997</v>
      </c>
    </row>
    <row r="326" spans="1:6" x14ac:dyDescent="0.25">
      <c r="A326" s="1">
        <v>42095</v>
      </c>
      <c r="B326">
        <v>6.2046000000000001</v>
      </c>
      <c r="C326" s="1">
        <v>42130</v>
      </c>
      <c r="D326">
        <v>6.2009999999999996</v>
      </c>
      <c r="E326" s="1">
        <v>42130</v>
      </c>
      <c r="F326">
        <v>6.2009999999999996</v>
      </c>
    </row>
    <row r="327" spans="1:6" x14ac:dyDescent="0.25">
      <c r="A327" s="1">
        <v>42096</v>
      </c>
      <c r="B327">
        <v>6.2</v>
      </c>
      <c r="C327" s="1">
        <v>42131</v>
      </c>
      <c r="D327">
        <v>6.2068000000000003</v>
      </c>
      <c r="E327" s="1">
        <v>42131</v>
      </c>
      <c r="F327">
        <v>6.2068000000000003</v>
      </c>
    </row>
    <row r="328" spans="1:6" x14ac:dyDescent="0.25">
      <c r="A328" s="1">
        <v>42097</v>
      </c>
      <c r="B328">
        <v>6.1959</v>
      </c>
      <c r="C328" s="1">
        <v>42132</v>
      </c>
      <c r="D328">
        <v>6.2093999999999996</v>
      </c>
      <c r="E328" s="1">
        <v>42132</v>
      </c>
      <c r="F328">
        <v>6.2093999999999996</v>
      </c>
    </row>
    <row r="329" spans="1:6" x14ac:dyDescent="0.25">
      <c r="A329" s="1">
        <v>42100</v>
      </c>
      <c r="B329">
        <v>6.1962000000000002</v>
      </c>
      <c r="C329" s="1">
        <v>42135</v>
      </c>
      <c r="D329">
        <v>6.2095000000000002</v>
      </c>
      <c r="E329" s="1">
        <v>42135</v>
      </c>
      <c r="F329">
        <v>6.2095000000000002</v>
      </c>
    </row>
    <row r="330" spans="1:6" x14ac:dyDescent="0.25">
      <c r="A330" s="1">
        <v>42101</v>
      </c>
      <c r="B330">
        <v>6.2001999999999997</v>
      </c>
      <c r="C330" s="1">
        <v>42136</v>
      </c>
      <c r="D330">
        <v>6.2089999999999996</v>
      </c>
      <c r="E330" s="1">
        <v>42136</v>
      </c>
      <c r="F330">
        <v>6.2089999999999996</v>
      </c>
    </row>
    <row r="331" spans="1:6" x14ac:dyDescent="0.25">
      <c r="A331" s="1">
        <v>42102</v>
      </c>
      <c r="B331">
        <v>6.2065000000000001</v>
      </c>
      <c r="C331" s="1">
        <v>42137</v>
      </c>
      <c r="D331">
        <v>6.2046000000000001</v>
      </c>
      <c r="E331" s="1">
        <v>42137</v>
      </c>
      <c r="F331">
        <v>6.2046000000000001</v>
      </c>
    </row>
    <row r="332" spans="1:6" x14ac:dyDescent="0.25">
      <c r="A332" s="1">
        <v>42103</v>
      </c>
      <c r="B332">
        <v>6.2182000000000004</v>
      </c>
      <c r="C332" s="1">
        <v>42138</v>
      </c>
      <c r="D332">
        <v>6.2015000000000002</v>
      </c>
      <c r="E332" s="1">
        <v>42138</v>
      </c>
      <c r="F332">
        <v>6.2015000000000002</v>
      </c>
    </row>
    <row r="333" spans="1:6" x14ac:dyDescent="0.25">
      <c r="A333" s="1">
        <v>42104</v>
      </c>
      <c r="B333">
        <v>6.2179000000000002</v>
      </c>
      <c r="C333" s="1">
        <v>42139</v>
      </c>
      <c r="D333">
        <v>6.2065000000000001</v>
      </c>
      <c r="E333" s="1">
        <v>42139</v>
      </c>
      <c r="F333">
        <v>6.2065000000000001</v>
      </c>
    </row>
    <row r="334" spans="1:6" x14ac:dyDescent="0.25">
      <c r="A334" s="1">
        <v>42107</v>
      </c>
      <c r="B334">
        <v>6.2256999999999998</v>
      </c>
      <c r="C334" s="1">
        <v>42142</v>
      </c>
      <c r="D334">
        <v>6.2039</v>
      </c>
      <c r="E334" s="1">
        <v>42142</v>
      </c>
      <c r="F334">
        <v>6.2039</v>
      </c>
    </row>
    <row r="335" spans="1:6" x14ac:dyDescent="0.25">
      <c r="A335" s="1">
        <v>42108</v>
      </c>
      <c r="B335">
        <v>6.2149000000000001</v>
      </c>
      <c r="C335" s="1">
        <v>42143</v>
      </c>
      <c r="D335">
        <v>6.2069000000000001</v>
      </c>
      <c r="E335" s="1">
        <v>42143</v>
      </c>
      <c r="F335">
        <v>6.2069000000000001</v>
      </c>
    </row>
    <row r="336" spans="1:6" x14ac:dyDescent="0.25">
      <c r="A336" s="1">
        <v>42109</v>
      </c>
      <c r="B336">
        <v>6.2005999999999997</v>
      </c>
      <c r="C336" s="1">
        <v>42144</v>
      </c>
      <c r="D336">
        <v>6.2037000000000004</v>
      </c>
      <c r="E336" s="1">
        <v>42144</v>
      </c>
      <c r="F336">
        <v>6.2037000000000004</v>
      </c>
    </row>
    <row r="337" spans="1:6" x14ac:dyDescent="0.25">
      <c r="A337" s="1">
        <v>42110</v>
      </c>
      <c r="B337">
        <v>6.1883999999999997</v>
      </c>
      <c r="C337" s="1">
        <v>42145</v>
      </c>
      <c r="D337">
        <v>6.1967999999999996</v>
      </c>
      <c r="E337" s="1">
        <v>42145</v>
      </c>
      <c r="F337">
        <v>6.1967999999999996</v>
      </c>
    </row>
    <row r="338" spans="1:6" x14ac:dyDescent="0.25">
      <c r="A338" s="1">
        <v>42111</v>
      </c>
      <c r="B338">
        <v>6.1947000000000001</v>
      </c>
      <c r="C338" s="1">
        <v>42146</v>
      </c>
      <c r="D338">
        <v>6.1974</v>
      </c>
      <c r="E338" s="1">
        <v>42146</v>
      </c>
      <c r="F338">
        <v>6.1974</v>
      </c>
    </row>
    <row r="339" spans="1:6" x14ac:dyDescent="0.25">
      <c r="A339" s="1">
        <v>42114</v>
      </c>
      <c r="B339">
        <v>6.1962000000000002</v>
      </c>
      <c r="C339" s="1">
        <v>42149</v>
      </c>
      <c r="D339">
        <v>6.2020999999999997</v>
      </c>
      <c r="E339" s="1">
        <v>42149</v>
      </c>
      <c r="F339">
        <v>6.2020999999999997</v>
      </c>
    </row>
    <row r="340" spans="1:6" x14ac:dyDescent="0.25">
      <c r="A340" s="1">
        <v>42115</v>
      </c>
      <c r="B340">
        <v>6.1971999999999996</v>
      </c>
      <c r="C340" s="1">
        <v>42150</v>
      </c>
      <c r="D340">
        <v>6.2035999999999998</v>
      </c>
      <c r="E340" s="1">
        <v>42150</v>
      </c>
      <c r="F340">
        <v>6.2035999999999998</v>
      </c>
    </row>
    <row r="341" spans="1:6" x14ac:dyDescent="0.25">
      <c r="A341" s="1">
        <v>42116</v>
      </c>
      <c r="B341">
        <v>6.1947000000000001</v>
      </c>
      <c r="C341" s="1">
        <v>42151</v>
      </c>
      <c r="D341">
        <v>6.2013999999999996</v>
      </c>
      <c r="E341" s="1">
        <v>42151</v>
      </c>
      <c r="F341">
        <v>6.2013999999999996</v>
      </c>
    </row>
    <row r="342" spans="1:6" x14ac:dyDescent="0.25">
      <c r="A342" s="1">
        <v>42117</v>
      </c>
      <c r="B342">
        <v>6.1909000000000001</v>
      </c>
      <c r="C342" s="1">
        <v>42152</v>
      </c>
      <c r="D342">
        <v>6.2011000000000003</v>
      </c>
      <c r="E342" s="1">
        <v>42152</v>
      </c>
      <c r="F342">
        <v>6.2011000000000003</v>
      </c>
    </row>
    <row r="343" spans="1:6" x14ac:dyDescent="0.25">
      <c r="A343" s="1">
        <v>42118</v>
      </c>
      <c r="B343">
        <v>6.1966999999999999</v>
      </c>
      <c r="C343" s="1">
        <v>42153</v>
      </c>
      <c r="D343">
        <v>6.1976000000000004</v>
      </c>
      <c r="E343" s="1">
        <v>42153</v>
      </c>
      <c r="F343">
        <v>6.1976000000000004</v>
      </c>
    </row>
    <row r="344" spans="1:6" x14ac:dyDescent="0.25">
      <c r="A344" s="1">
        <v>42121</v>
      </c>
      <c r="B344">
        <v>6.2154999999999996</v>
      </c>
      <c r="C344" s="1">
        <v>42156</v>
      </c>
      <c r="D344">
        <v>6.1993</v>
      </c>
      <c r="E344" s="1">
        <v>42156</v>
      </c>
      <c r="F344">
        <v>6.1993</v>
      </c>
    </row>
    <row r="345" spans="1:6" x14ac:dyDescent="0.25">
      <c r="A345" s="1">
        <v>42122</v>
      </c>
      <c r="B345">
        <v>6.2047999999999996</v>
      </c>
      <c r="C345" s="1">
        <v>42157</v>
      </c>
      <c r="D345">
        <v>6.1981999999999999</v>
      </c>
      <c r="E345" s="1">
        <v>42157</v>
      </c>
      <c r="F345">
        <v>6.1981999999999999</v>
      </c>
    </row>
    <row r="346" spans="1:6" x14ac:dyDescent="0.25">
      <c r="A346" s="1">
        <v>42123</v>
      </c>
      <c r="B346">
        <v>6.2016</v>
      </c>
      <c r="C346" s="1">
        <v>42158</v>
      </c>
      <c r="D346">
        <v>6.1978</v>
      </c>
      <c r="E346" s="1">
        <v>42158</v>
      </c>
      <c r="F346">
        <v>6.1978</v>
      </c>
    </row>
    <row r="347" spans="1:6" x14ac:dyDescent="0.25">
      <c r="A347" s="1">
        <v>42124</v>
      </c>
      <c r="B347">
        <v>6.2080000000000002</v>
      </c>
      <c r="C347" s="1">
        <v>42159</v>
      </c>
      <c r="D347">
        <v>6.2008000000000001</v>
      </c>
      <c r="E347" s="1">
        <v>42159</v>
      </c>
      <c r="F347">
        <v>6.2008000000000001</v>
      </c>
    </row>
    <row r="348" spans="1:6" x14ac:dyDescent="0.25">
      <c r="A348" s="1">
        <v>42125</v>
      </c>
      <c r="B348">
        <v>6.2127999999999997</v>
      </c>
      <c r="C348" s="1">
        <v>42160</v>
      </c>
      <c r="D348">
        <v>6.2030000000000003</v>
      </c>
      <c r="E348" s="1">
        <v>42160</v>
      </c>
      <c r="F348">
        <v>6.2030000000000003</v>
      </c>
    </row>
    <row r="349" spans="1:6" x14ac:dyDescent="0.25">
      <c r="A349" s="1">
        <v>42128</v>
      </c>
      <c r="B349">
        <v>6.2118000000000002</v>
      </c>
      <c r="C349" s="1">
        <v>42163</v>
      </c>
      <c r="D349">
        <v>6.2060000000000004</v>
      </c>
      <c r="E349" s="1">
        <v>42163</v>
      </c>
      <c r="F349">
        <v>6.2060000000000004</v>
      </c>
    </row>
    <row r="350" spans="1:6" x14ac:dyDescent="0.25">
      <c r="A350" s="1">
        <v>42129</v>
      </c>
      <c r="B350">
        <v>6.2069999999999999</v>
      </c>
      <c r="C350" s="1">
        <v>42164</v>
      </c>
      <c r="D350">
        <v>6.2058</v>
      </c>
      <c r="E350" s="1">
        <v>42164</v>
      </c>
      <c r="F350">
        <v>6.2058</v>
      </c>
    </row>
    <row r="351" spans="1:6" x14ac:dyDescent="0.25">
      <c r="A351" s="1">
        <v>42130</v>
      </c>
      <c r="B351">
        <v>6.2024999999999997</v>
      </c>
      <c r="C351" s="1">
        <v>42165</v>
      </c>
      <c r="D351">
        <v>6.2058999999999997</v>
      </c>
      <c r="E351" s="1">
        <v>42165</v>
      </c>
      <c r="F351">
        <v>6.2058999999999997</v>
      </c>
    </row>
    <row r="352" spans="1:6" x14ac:dyDescent="0.25">
      <c r="A352" s="1">
        <v>42131</v>
      </c>
      <c r="B352">
        <v>6.2129000000000003</v>
      </c>
      <c r="C352" s="1">
        <v>42166</v>
      </c>
      <c r="D352">
        <v>6.2066999999999997</v>
      </c>
      <c r="E352" s="1">
        <v>42166</v>
      </c>
      <c r="F352">
        <v>6.2066999999999997</v>
      </c>
    </row>
    <row r="353" spans="1:6" x14ac:dyDescent="0.25">
      <c r="A353" s="1">
        <v>42132</v>
      </c>
      <c r="B353">
        <v>6.2092000000000001</v>
      </c>
      <c r="C353" s="1">
        <v>42167</v>
      </c>
      <c r="D353">
        <v>6.2084000000000001</v>
      </c>
      <c r="E353" s="1">
        <v>42167</v>
      </c>
      <c r="F353">
        <v>6.2084000000000001</v>
      </c>
    </row>
    <row r="354" spans="1:6" x14ac:dyDescent="0.25">
      <c r="A354" s="1">
        <v>42135</v>
      </c>
      <c r="B354">
        <v>6.2130000000000001</v>
      </c>
      <c r="C354" s="1">
        <v>42170</v>
      </c>
      <c r="D354">
        <v>6.2089999999999996</v>
      </c>
      <c r="E354" s="1">
        <v>42170</v>
      </c>
      <c r="F354">
        <v>6.2089999999999996</v>
      </c>
    </row>
    <row r="355" spans="1:6" x14ac:dyDescent="0.25">
      <c r="A355" s="1">
        <v>42136</v>
      </c>
      <c r="B355">
        <v>6.2093999999999996</v>
      </c>
      <c r="C355" s="1">
        <v>42171</v>
      </c>
      <c r="D355">
        <v>6.2084999999999999</v>
      </c>
      <c r="E355" s="1">
        <v>42171</v>
      </c>
      <c r="F355">
        <v>6.2084999999999999</v>
      </c>
    </row>
    <row r="356" spans="1:6" x14ac:dyDescent="0.25">
      <c r="A356" s="1">
        <v>42137</v>
      </c>
      <c r="B356">
        <v>6.2004000000000001</v>
      </c>
      <c r="C356" s="1">
        <v>42172</v>
      </c>
      <c r="D356">
        <v>6.2095000000000002</v>
      </c>
      <c r="E356" s="1">
        <v>42172</v>
      </c>
      <c r="F356">
        <v>6.2095000000000002</v>
      </c>
    </row>
    <row r="357" spans="1:6" x14ac:dyDescent="0.25">
      <c r="A357" s="1">
        <v>42138</v>
      </c>
      <c r="B357">
        <v>6.2042999999999999</v>
      </c>
      <c r="C357" s="1">
        <v>42173</v>
      </c>
      <c r="D357">
        <v>6.2081</v>
      </c>
      <c r="E357" s="1">
        <v>42173</v>
      </c>
      <c r="F357">
        <v>6.2081</v>
      </c>
    </row>
    <row r="358" spans="1:6" x14ac:dyDescent="0.25">
      <c r="A358" s="1">
        <v>42139</v>
      </c>
      <c r="B358">
        <v>6.2027999999999999</v>
      </c>
      <c r="C358" s="1">
        <v>42174</v>
      </c>
      <c r="D358">
        <v>6.2093999999999996</v>
      </c>
      <c r="E358" s="1">
        <v>42174</v>
      </c>
      <c r="F358">
        <v>6.2093999999999996</v>
      </c>
    </row>
    <row r="359" spans="1:6" x14ac:dyDescent="0.25">
      <c r="A359" s="1">
        <v>42142</v>
      </c>
      <c r="B359">
        <v>6.2058999999999997</v>
      </c>
      <c r="C359" s="1">
        <v>42178</v>
      </c>
      <c r="D359">
        <v>6.2066999999999997</v>
      </c>
      <c r="E359" s="1">
        <v>42178</v>
      </c>
      <c r="F359">
        <v>6.2066999999999997</v>
      </c>
    </row>
    <row r="360" spans="1:6" x14ac:dyDescent="0.25">
      <c r="A360" s="1">
        <v>42143</v>
      </c>
      <c r="B360">
        <v>6.2095000000000002</v>
      </c>
      <c r="C360" s="1">
        <v>42179</v>
      </c>
      <c r="D360">
        <v>6.2073</v>
      </c>
      <c r="E360" s="1">
        <v>42179</v>
      </c>
      <c r="F360">
        <v>6.2073</v>
      </c>
    </row>
    <row r="361" spans="1:6" x14ac:dyDescent="0.25">
      <c r="A361" s="1">
        <v>42144</v>
      </c>
      <c r="B361">
        <v>6.2057000000000002</v>
      </c>
      <c r="C361" s="1">
        <v>42180</v>
      </c>
      <c r="D361">
        <v>6.2092000000000001</v>
      </c>
      <c r="E361" s="1">
        <v>42180</v>
      </c>
      <c r="F361">
        <v>6.2092000000000001</v>
      </c>
    </row>
    <row r="362" spans="1:6" x14ac:dyDescent="0.25">
      <c r="A362" s="1">
        <v>42145</v>
      </c>
      <c r="B362">
        <v>6.1970000000000001</v>
      </c>
      <c r="C362" s="1">
        <v>42181</v>
      </c>
      <c r="D362">
        <v>6.2092999999999998</v>
      </c>
      <c r="E362" s="1">
        <v>42181</v>
      </c>
      <c r="F362">
        <v>6.2092999999999998</v>
      </c>
    </row>
    <row r="363" spans="1:6" x14ac:dyDescent="0.25">
      <c r="A363" s="1">
        <v>42146</v>
      </c>
      <c r="B363">
        <v>6.2007000000000003</v>
      </c>
      <c r="C363" s="1">
        <v>42184</v>
      </c>
      <c r="D363">
        <v>6.2088000000000001</v>
      </c>
      <c r="E363" s="1">
        <v>42184</v>
      </c>
      <c r="F363">
        <v>6.2088000000000001</v>
      </c>
    </row>
    <row r="364" spans="1:6" x14ac:dyDescent="0.25">
      <c r="A364" s="1">
        <v>42149</v>
      </c>
      <c r="B364">
        <v>6.2027999999999999</v>
      </c>
      <c r="C364" s="1">
        <v>42185</v>
      </c>
      <c r="D364">
        <v>6.2009999999999996</v>
      </c>
      <c r="E364" s="1">
        <v>42185</v>
      </c>
      <c r="F364">
        <v>6.2009999999999996</v>
      </c>
    </row>
    <row r="365" spans="1:6" x14ac:dyDescent="0.25">
      <c r="A365" s="1">
        <v>42150</v>
      </c>
      <c r="B365">
        <v>6.2093999999999996</v>
      </c>
      <c r="C365" s="1">
        <v>42186</v>
      </c>
      <c r="D365">
        <v>6.2016</v>
      </c>
      <c r="E365" s="1">
        <v>42186</v>
      </c>
      <c r="F365">
        <v>6.2016</v>
      </c>
    </row>
    <row r="366" spans="1:6" x14ac:dyDescent="0.25">
      <c r="A366" s="1">
        <v>42151</v>
      </c>
      <c r="B366">
        <v>6.2051999999999996</v>
      </c>
      <c r="C366" s="1">
        <v>42187</v>
      </c>
      <c r="D366">
        <v>6.2045000000000003</v>
      </c>
      <c r="E366" s="1">
        <v>42187</v>
      </c>
      <c r="F366">
        <v>6.2045000000000003</v>
      </c>
    </row>
    <row r="367" spans="1:6" x14ac:dyDescent="0.25">
      <c r="A367" s="1">
        <v>42152</v>
      </c>
      <c r="B367">
        <v>6.2039999999999997</v>
      </c>
      <c r="C367" s="1">
        <v>42188</v>
      </c>
      <c r="D367">
        <v>6.2057000000000002</v>
      </c>
      <c r="E367" s="1">
        <v>42188</v>
      </c>
      <c r="F367">
        <v>6.2057000000000002</v>
      </c>
    </row>
    <row r="368" spans="1:6" x14ac:dyDescent="0.25">
      <c r="A368" s="1">
        <v>42153</v>
      </c>
      <c r="B368">
        <v>6.2023000000000001</v>
      </c>
      <c r="C368" s="1">
        <v>42191</v>
      </c>
      <c r="D368">
        <v>6.2092000000000001</v>
      </c>
      <c r="E368" s="1">
        <v>42191</v>
      </c>
      <c r="F368">
        <v>6.2092000000000001</v>
      </c>
    </row>
    <row r="369" spans="1:6" x14ac:dyDescent="0.25">
      <c r="A369" s="1">
        <v>42156</v>
      </c>
      <c r="B369">
        <v>6.2053000000000003</v>
      </c>
      <c r="C369" s="1">
        <v>42192</v>
      </c>
      <c r="D369">
        <v>6.2099000000000002</v>
      </c>
      <c r="E369" s="1">
        <v>42192</v>
      </c>
      <c r="F369">
        <v>6.2099000000000002</v>
      </c>
    </row>
    <row r="370" spans="1:6" x14ac:dyDescent="0.25">
      <c r="A370" s="1">
        <v>42157</v>
      </c>
      <c r="B370">
        <v>6.2005999999999997</v>
      </c>
      <c r="C370" s="1">
        <v>42193</v>
      </c>
      <c r="D370">
        <v>6.2091000000000003</v>
      </c>
      <c r="E370" s="1">
        <v>42193</v>
      </c>
      <c r="F370">
        <v>6.2091000000000003</v>
      </c>
    </row>
    <row r="371" spans="1:6" x14ac:dyDescent="0.25">
      <c r="A371" s="1">
        <v>42158</v>
      </c>
      <c r="B371">
        <v>6.1994999999999996</v>
      </c>
      <c r="C371" s="1">
        <v>42194</v>
      </c>
      <c r="D371">
        <v>6.2088000000000001</v>
      </c>
      <c r="E371" s="1">
        <v>42194</v>
      </c>
      <c r="F371">
        <v>6.2088000000000001</v>
      </c>
    </row>
    <row r="372" spans="1:6" x14ac:dyDescent="0.25">
      <c r="A372" s="1">
        <v>42159</v>
      </c>
      <c r="B372">
        <v>6.2047999999999996</v>
      </c>
      <c r="C372" s="1">
        <v>42195</v>
      </c>
      <c r="D372">
        <v>6.2093999999999996</v>
      </c>
      <c r="E372" s="1">
        <v>42195</v>
      </c>
      <c r="F372">
        <v>6.2093999999999996</v>
      </c>
    </row>
    <row r="373" spans="1:6" x14ac:dyDescent="0.25">
      <c r="A373" s="1">
        <v>42160</v>
      </c>
      <c r="B373">
        <v>6.2118000000000002</v>
      </c>
      <c r="C373" s="1">
        <v>42198</v>
      </c>
      <c r="D373">
        <v>6.2084000000000001</v>
      </c>
      <c r="E373" s="1">
        <v>42198</v>
      </c>
      <c r="F373">
        <v>6.2084000000000001</v>
      </c>
    </row>
    <row r="374" spans="1:6" x14ac:dyDescent="0.25">
      <c r="A374" s="1">
        <v>42163</v>
      </c>
      <c r="B374">
        <v>6.2088000000000001</v>
      </c>
      <c r="C374" s="1">
        <v>42199</v>
      </c>
      <c r="D374">
        <v>6.2089999999999996</v>
      </c>
      <c r="E374" s="1">
        <v>42199</v>
      </c>
      <c r="F374">
        <v>6.2089999999999996</v>
      </c>
    </row>
    <row r="375" spans="1:6" x14ac:dyDescent="0.25">
      <c r="A375" s="1">
        <v>42164</v>
      </c>
      <c r="B375">
        <v>6.2117000000000004</v>
      </c>
      <c r="C375" s="1">
        <v>42200</v>
      </c>
      <c r="D375">
        <v>6.2092000000000001</v>
      </c>
      <c r="E375" s="1">
        <v>42200</v>
      </c>
      <c r="F375">
        <v>6.2092000000000001</v>
      </c>
    </row>
    <row r="376" spans="1:6" x14ac:dyDescent="0.25">
      <c r="A376" s="1">
        <v>42165</v>
      </c>
      <c r="B376">
        <v>6.2083000000000004</v>
      </c>
      <c r="C376" s="1">
        <v>42201</v>
      </c>
      <c r="D376">
        <v>6.2095000000000002</v>
      </c>
      <c r="E376" s="1">
        <v>42201</v>
      </c>
      <c r="F376">
        <v>6.2095000000000002</v>
      </c>
    </row>
    <row r="377" spans="1:6" x14ac:dyDescent="0.25">
      <c r="A377" s="1">
        <v>42166</v>
      </c>
      <c r="B377">
        <v>6.2119999999999997</v>
      </c>
      <c r="C377" s="1">
        <v>42202</v>
      </c>
      <c r="D377">
        <v>6.2095000000000002</v>
      </c>
      <c r="E377" s="1">
        <v>42202</v>
      </c>
      <c r="F377">
        <v>6.2095000000000002</v>
      </c>
    </row>
    <row r="378" spans="1:6" x14ac:dyDescent="0.25">
      <c r="A378" s="1">
        <v>42167</v>
      </c>
      <c r="B378">
        <v>6.2160000000000002</v>
      </c>
      <c r="C378" s="1">
        <v>42205</v>
      </c>
      <c r="D378">
        <v>6.2096999999999998</v>
      </c>
      <c r="E378" s="1">
        <v>42205</v>
      </c>
      <c r="F378">
        <v>6.2096999999999998</v>
      </c>
    </row>
    <row r="379" spans="1:6" x14ac:dyDescent="0.25">
      <c r="A379" s="1">
        <v>42170</v>
      </c>
      <c r="B379">
        <v>6.2129000000000003</v>
      </c>
      <c r="C379" s="1">
        <v>42206</v>
      </c>
      <c r="D379">
        <v>6.2095000000000002</v>
      </c>
      <c r="E379" s="1">
        <v>42206</v>
      </c>
      <c r="F379">
        <v>6.2095000000000002</v>
      </c>
    </row>
    <row r="380" spans="1:6" x14ac:dyDescent="0.25">
      <c r="A380" s="1">
        <v>42171</v>
      </c>
      <c r="B380">
        <v>6.2089999999999996</v>
      </c>
      <c r="C380" s="1">
        <v>42207</v>
      </c>
      <c r="D380">
        <v>6.2093999999999996</v>
      </c>
      <c r="E380" s="1">
        <v>42207</v>
      </c>
      <c r="F380">
        <v>6.2093999999999996</v>
      </c>
    </row>
    <row r="381" spans="1:6" x14ac:dyDescent="0.25">
      <c r="A381" s="1">
        <v>42172</v>
      </c>
      <c r="B381">
        <v>6.2038000000000002</v>
      </c>
      <c r="C381" s="1">
        <v>42208</v>
      </c>
      <c r="D381">
        <v>6.2096999999999998</v>
      </c>
      <c r="E381" s="1">
        <v>42208</v>
      </c>
      <c r="F381">
        <v>6.2096999999999998</v>
      </c>
    </row>
    <row r="382" spans="1:6" x14ac:dyDescent="0.25">
      <c r="A382" s="1">
        <v>42173</v>
      </c>
      <c r="B382">
        <v>6.2035</v>
      </c>
      <c r="C382" s="1">
        <v>42209</v>
      </c>
      <c r="D382">
        <v>6.2095000000000002</v>
      </c>
      <c r="E382" s="1">
        <v>42209</v>
      </c>
      <c r="F382">
        <v>6.2095000000000002</v>
      </c>
    </row>
    <row r="383" spans="1:6" x14ac:dyDescent="0.25">
      <c r="A383" s="1">
        <v>42174</v>
      </c>
      <c r="B383">
        <v>6.2064000000000004</v>
      </c>
      <c r="C383" s="1">
        <v>42212</v>
      </c>
      <c r="D383">
        <v>6.2098000000000004</v>
      </c>
      <c r="E383" s="1">
        <v>42212</v>
      </c>
      <c r="F383">
        <v>6.2098000000000004</v>
      </c>
    </row>
    <row r="384" spans="1:6" x14ac:dyDescent="0.25">
      <c r="A384" s="1">
        <v>42177</v>
      </c>
      <c r="B384">
        <v>6.2035999999999998</v>
      </c>
      <c r="C384" s="1">
        <v>42213</v>
      </c>
      <c r="D384">
        <v>6.2095000000000002</v>
      </c>
      <c r="E384" s="1">
        <v>42213</v>
      </c>
      <c r="F384">
        <v>6.2095000000000002</v>
      </c>
    </row>
    <row r="385" spans="1:6" x14ac:dyDescent="0.25">
      <c r="A385" s="1">
        <v>42178</v>
      </c>
      <c r="B385">
        <v>6.2001999999999997</v>
      </c>
      <c r="C385" s="1">
        <v>42214</v>
      </c>
      <c r="D385">
        <v>6.2089999999999996</v>
      </c>
      <c r="E385" s="1">
        <v>42214</v>
      </c>
      <c r="F385">
        <v>6.2089999999999996</v>
      </c>
    </row>
    <row r="386" spans="1:6" x14ac:dyDescent="0.25">
      <c r="A386" s="1">
        <v>42179</v>
      </c>
      <c r="B386">
        <v>6.2016</v>
      </c>
      <c r="C386" s="1">
        <v>42215</v>
      </c>
      <c r="D386">
        <v>6.2096999999999998</v>
      </c>
      <c r="E386" s="1">
        <v>42215</v>
      </c>
      <c r="F386">
        <v>6.2096999999999998</v>
      </c>
    </row>
    <row r="387" spans="1:6" x14ac:dyDescent="0.25">
      <c r="A387" s="1">
        <v>42180</v>
      </c>
      <c r="B387">
        <v>6.2039999999999997</v>
      </c>
      <c r="C387" s="1">
        <v>42216</v>
      </c>
      <c r="D387">
        <v>6.2096999999999998</v>
      </c>
      <c r="E387" s="1">
        <v>42216</v>
      </c>
      <c r="F387">
        <v>6.2096999999999998</v>
      </c>
    </row>
    <row r="388" spans="1:6" x14ac:dyDescent="0.25">
      <c r="A388" s="1">
        <v>42181</v>
      </c>
      <c r="B388">
        <v>6.2057000000000002</v>
      </c>
      <c r="C388" s="1">
        <v>42219</v>
      </c>
      <c r="D388">
        <v>6.2096999999999998</v>
      </c>
      <c r="E388" s="1">
        <v>42219</v>
      </c>
      <c r="F388">
        <v>6.2096999999999998</v>
      </c>
    </row>
    <row r="389" spans="1:6" x14ac:dyDescent="0.25">
      <c r="A389" s="1">
        <v>42184</v>
      </c>
      <c r="B389">
        <v>6.2074999999999996</v>
      </c>
      <c r="C389" s="1">
        <v>42220</v>
      </c>
      <c r="D389">
        <v>6.2096999999999998</v>
      </c>
      <c r="E389" s="1">
        <v>42220</v>
      </c>
      <c r="F389">
        <v>6.2096999999999998</v>
      </c>
    </row>
    <row r="390" spans="1:6" x14ac:dyDescent="0.25">
      <c r="A390" s="1">
        <v>42185</v>
      </c>
      <c r="B390">
        <v>6.2069000000000001</v>
      </c>
      <c r="C390" s="1">
        <v>42221</v>
      </c>
      <c r="D390">
        <v>6.2096999999999998</v>
      </c>
      <c r="E390" s="1">
        <v>42221</v>
      </c>
      <c r="F390">
        <v>6.2096999999999998</v>
      </c>
    </row>
    <row r="391" spans="1:6" x14ac:dyDescent="0.25">
      <c r="A391" s="1">
        <v>42186</v>
      </c>
      <c r="B391">
        <v>6.2046000000000001</v>
      </c>
      <c r="C391" s="1">
        <v>42222</v>
      </c>
      <c r="D391">
        <v>6.2096999999999998</v>
      </c>
      <c r="E391" s="1">
        <v>42222</v>
      </c>
      <c r="F391">
        <v>6.2096999999999998</v>
      </c>
    </row>
    <row r="392" spans="1:6" x14ac:dyDescent="0.25">
      <c r="A392" s="1">
        <v>42187</v>
      </c>
      <c r="B392">
        <v>6.2028999999999996</v>
      </c>
      <c r="C392" s="1">
        <v>42223</v>
      </c>
      <c r="D392">
        <v>6.2096999999999998</v>
      </c>
      <c r="E392" s="1">
        <v>42223</v>
      </c>
      <c r="F392">
        <v>6.2096999999999998</v>
      </c>
    </row>
    <row r="393" spans="1:6" x14ac:dyDescent="0.25">
      <c r="A393" s="1">
        <v>42188</v>
      </c>
      <c r="B393">
        <v>6.2061999999999999</v>
      </c>
      <c r="C393" s="1">
        <v>42226</v>
      </c>
      <c r="D393">
        <v>6.2096999999999998</v>
      </c>
      <c r="E393" s="1">
        <v>42226</v>
      </c>
      <c r="F393">
        <v>6.2096999999999998</v>
      </c>
    </row>
    <row r="394" spans="1:6" x14ac:dyDescent="0.25">
      <c r="A394" s="1">
        <v>42191</v>
      </c>
      <c r="B394">
        <v>6.2126000000000001</v>
      </c>
      <c r="C394" s="1">
        <v>42227</v>
      </c>
      <c r="D394">
        <v>6.3246000000000002</v>
      </c>
      <c r="E394" s="1">
        <v>42227</v>
      </c>
      <c r="F394">
        <v>6.3246000000000002</v>
      </c>
    </row>
    <row r="395" spans="1:6" x14ac:dyDescent="0.25">
      <c r="A395" s="1">
        <v>42192</v>
      </c>
      <c r="B395">
        <v>6.2221000000000002</v>
      </c>
      <c r="C395" s="1">
        <v>42228</v>
      </c>
      <c r="D395">
        <v>6.3857999999999997</v>
      </c>
      <c r="E395" s="1">
        <v>42228</v>
      </c>
      <c r="F395">
        <v>6.3857999999999997</v>
      </c>
    </row>
    <row r="396" spans="1:6" x14ac:dyDescent="0.25">
      <c r="A396" s="1">
        <v>42193</v>
      </c>
      <c r="B396">
        <v>6.2225000000000001</v>
      </c>
      <c r="C396" s="1">
        <v>42229</v>
      </c>
      <c r="D396">
        <v>6.3982000000000001</v>
      </c>
      <c r="E396" s="1">
        <v>42229</v>
      </c>
      <c r="F396">
        <v>6.3982000000000001</v>
      </c>
    </row>
    <row r="397" spans="1:6" x14ac:dyDescent="0.25">
      <c r="A397" s="1">
        <v>42194</v>
      </c>
      <c r="B397">
        <v>6.2175000000000002</v>
      </c>
      <c r="C397" s="1">
        <v>42230</v>
      </c>
      <c r="D397">
        <v>6.3912000000000004</v>
      </c>
      <c r="E397" s="1">
        <v>42230</v>
      </c>
      <c r="F397">
        <v>6.3912000000000004</v>
      </c>
    </row>
    <row r="398" spans="1:6" x14ac:dyDescent="0.25">
      <c r="A398" s="1">
        <v>42195</v>
      </c>
      <c r="B398">
        <v>6.2161999999999997</v>
      </c>
      <c r="C398" s="1">
        <v>42233</v>
      </c>
      <c r="D398">
        <v>6.3948</v>
      </c>
      <c r="E398" s="1">
        <v>42233</v>
      </c>
      <c r="F398">
        <v>6.3948</v>
      </c>
    </row>
    <row r="399" spans="1:6" x14ac:dyDescent="0.25">
      <c r="A399" s="1">
        <v>42198</v>
      </c>
      <c r="B399">
        <v>6.2164999999999999</v>
      </c>
      <c r="C399" s="1">
        <v>42234</v>
      </c>
      <c r="D399">
        <v>6.3955000000000002</v>
      </c>
      <c r="E399" s="1">
        <v>42234</v>
      </c>
      <c r="F399">
        <v>6.3955000000000002</v>
      </c>
    </row>
    <row r="400" spans="1:6" x14ac:dyDescent="0.25">
      <c r="A400" s="1">
        <v>42199</v>
      </c>
      <c r="B400">
        <v>6.2145000000000001</v>
      </c>
      <c r="C400" s="1">
        <v>42235</v>
      </c>
      <c r="D400">
        <v>6.3958000000000004</v>
      </c>
      <c r="E400" s="1">
        <v>42235</v>
      </c>
      <c r="F400">
        <v>6.3958000000000004</v>
      </c>
    </row>
    <row r="401" spans="1:6" x14ac:dyDescent="0.25">
      <c r="A401" s="1">
        <v>42200</v>
      </c>
      <c r="B401">
        <v>6.2156000000000002</v>
      </c>
      <c r="C401" s="1">
        <v>42236</v>
      </c>
      <c r="D401">
        <v>6.3894000000000002</v>
      </c>
      <c r="E401" s="1">
        <v>42236</v>
      </c>
      <c r="F401">
        <v>6.3894000000000002</v>
      </c>
    </row>
    <row r="402" spans="1:6" x14ac:dyDescent="0.25">
      <c r="A402" s="1">
        <v>42201</v>
      </c>
      <c r="B402">
        <v>6.2138</v>
      </c>
      <c r="C402" s="1">
        <v>42237</v>
      </c>
      <c r="D402">
        <v>6.3888999999999996</v>
      </c>
      <c r="E402" s="1">
        <v>42237</v>
      </c>
      <c r="F402">
        <v>6.3888999999999996</v>
      </c>
    </row>
    <row r="403" spans="1:6" x14ac:dyDescent="0.25">
      <c r="A403" s="1">
        <v>42202</v>
      </c>
      <c r="B403">
        <v>6.2130999999999998</v>
      </c>
      <c r="C403" s="1">
        <v>42240</v>
      </c>
      <c r="D403">
        <v>6.4043000000000001</v>
      </c>
      <c r="E403" s="1">
        <v>42240</v>
      </c>
      <c r="F403">
        <v>6.4043000000000001</v>
      </c>
    </row>
    <row r="404" spans="1:6" x14ac:dyDescent="0.25">
      <c r="A404" s="1">
        <v>42205</v>
      </c>
      <c r="B404">
        <v>6.2140000000000004</v>
      </c>
      <c r="C404" s="1">
        <v>42241</v>
      </c>
      <c r="D404">
        <v>6.4127000000000001</v>
      </c>
      <c r="E404" s="1">
        <v>42241</v>
      </c>
      <c r="F404">
        <v>6.4127000000000001</v>
      </c>
    </row>
    <row r="405" spans="1:6" x14ac:dyDescent="0.25">
      <c r="A405" s="1">
        <v>42206</v>
      </c>
      <c r="B405">
        <v>6.2092000000000001</v>
      </c>
      <c r="C405" s="1">
        <v>42242</v>
      </c>
      <c r="D405">
        <v>6.41</v>
      </c>
      <c r="E405" s="1">
        <v>42242</v>
      </c>
      <c r="F405">
        <v>6.41</v>
      </c>
    </row>
    <row r="406" spans="1:6" x14ac:dyDescent="0.25">
      <c r="A406" s="1">
        <v>42207</v>
      </c>
      <c r="B406">
        <v>6.2121000000000004</v>
      </c>
      <c r="C406" s="1">
        <v>42243</v>
      </c>
      <c r="D406">
        <v>6.4055999999999997</v>
      </c>
      <c r="E406" s="1">
        <v>42243</v>
      </c>
      <c r="F406">
        <v>6.4055999999999997</v>
      </c>
    </row>
    <row r="407" spans="1:6" x14ac:dyDescent="0.25">
      <c r="A407" s="1">
        <v>42208</v>
      </c>
      <c r="B407">
        <v>6.2141000000000002</v>
      </c>
      <c r="C407" s="1">
        <v>42244</v>
      </c>
      <c r="D407">
        <v>6.3897000000000004</v>
      </c>
      <c r="E407" s="1">
        <v>42244</v>
      </c>
      <c r="F407">
        <v>6.3897000000000004</v>
      </c>
    </row>
    <row r="408" spans="1:6" x14ac:dyDescent="0.25">
      <c r="A408" s="1">
        <v>42209</v>
      </c>
      <c r="B408">
        <v>6.2274000000000003</v>
      </c>
      <c r="C408" s="1">
        <v>42247</v>
      </c>
      <c r="D408">
        <v>6.3761999999999999</v>
      </c>
      <c r="E408" s="1">
        <v>42247</v>
      </c>
      <c r="F408">
        <v>6.3761999999999999</v>
      </c>
    </row>
    <row r="409" spans="1:6" x14ac:dyDescent="0.25">
      <c r="A409" s="1">
        <v>42212</v>
      </c>
      <c r="B409">
        <v>6.22</v>
      </c>
      <c r="C409" s="1">
        <v>42248</v>
      </c>
      <c r="D409">
        <v>6.3642000000000003</v>
      </c>
      <c r="E409" s="1">
        <v>42248</v>
      </c>
      <c r="F409">
        <v>6.3642000000000003</v>
      </c>
    </row>
    <row r="410" spans="1:6" x14ac:dyDescent="0.25">
      <c r="A410" s="1">
        <v>42213</v>
      </c>
      <c r="B410">
        <v>6.2172000000000001</v>
      </c>
      <c r="C410" s="1">
        <v>42249</v>
      </c>
      <c r="D410">
        <v>6.3559000000000001</v>
      </c>
      <c r="E410" s="1">
        <v>42249</v>
      </c>
      <c r="F410">
        <v>6.3559000000000001</v>
      </c>
    </row>
    <row r="411" spans="1:6" x14ac:dyDescent="0.25">
      <c r="A411" s="1">
        <v>42214</v>
      </c>
      <c r="B411">
        <v>6.2176999999999998</v>
      </c>
      <c r="C411" s="1">
        <v>42254</v>
      </c>
      <c r="D411">
        <v>6.3658999999999999</v>
      </c>
      <c r="E411" s="1">
        <v>42254</v>
      </c>
      <c r="F411">
        <v>6.3658999999999999</v>
      </c>
    </row>
    <row r="412" spans="1:6" x14ac:dyDescent="0.25">
      <c r="A412" s="1">
        <v>42215</v>
      </c>
      <c r="B412">
        <v>6.2202999999999999</v>
      </c>
      <c r="C412" s="1">
        <v>42255</v>
      </c>
      <c r="D412">
        <v>6.3676000000000004</v>
      </c>
      <c r="E412" s="1">
        <v>42255</v>
      </c>
      <c r="F412">
        <v>6.3676000000000004</v>
      </c>
    </row>
    <row r="413" spans="1:6" x14ac:dyDescent="0.25">
      <c r="A413" s="1">
        <v>42216</v>
      </c>
      <c r="B413">
        <v>6.2210999999999999</v>
      </c>
      <c r="C413" s="1">
        <v>42256</v>
      </c>
      <c r="D413">
        <v>6.3781999999999996</v>
      </c>
      <c r="E413" s="1">
        <v>42256</v>
      </c>
      <c r="F413">
        <v>6.3781999999999996</v>
      </c>
    </row>
    <row r="414" spans="1:6" x14ac:dyDescent="0.25">
      <c r="A414" s="1">
        <v>42219</v>
      </c>
      <c r="B414">
        <v>6.2196999999999996</v>
      </c>
      <c r="C414" s="1">
        <v>42257</v>
      </c>
      <c r="D414">
        <v>6.3771000000000004</v>
      </c>
      <c r="E414" s="1">
        <v>42257</v>
      </c>
      <c r="F414">
        <v>6.3771000000000004</v>
      </c>
    </row>
    <row r="415" spans="1:6" x14ac:dyDescent="0.25">
      <c r="A415" s="1">
        <v>42220</v>
      </c>
      <c r="B415">
        <v>6.2191000000000001</v>
      </c>
      <c r="C415" s="1">
        <v>42258</v>
      </c>
      <c r="D415">
        <v>6.375</v>
      </c>
      <c r="E415" s="1">
        <v>42258</v>
      </c>
      <c r="F415">
        <v>6.375</v>
      </c>
    </row>
    <row r="416" spans="1:6" x14ac:dyDescent="0.25">
      <c r="A416" s="1">
        <v>42221</v>
      </c>
      <c r="B416">
        <v>6.2183999999999999</v>
      </c>
      <c r="C416" s="1">
        <v>42261</v>
      </c>
      <c r="D416">
        <v>6.3677999999999999</v>
      </c>
      <c r="E416" s="1">
        <v>42261</v>
      </c>
      <c r="F416">
        <v>6.3677999999999999</v>
      </c>
    </row>
    <row r="417" spans="1:6" x14ac:dyDescent="0.25">
      <c r="A417" s="1">
        <v>42222</v>
      </c>
      <c r="B417">
        <v>6.2176999999999998</v>
      </c>
      <c r="C417" s="1">
        <v>42262</v>
      </c>
      <c r="D417">
        <v>6.3699000000000003</v>
      </c>
      <c r="E417" s="1">
        <v>42262</v>
      </c>
      <c r="F417">
        <v>6.3699000000000003</v>
      </c>
    </row>
    <row r="418" spans="1:6" x14ac:dyDescent="0.25">
      <c r="A418" s="1">
        <v>42223</v>
      </c>
      <c r="B418">
        <v>6.2164000000000001</v>
      </c>
      <c r="C418" s="1">
        <v>42263</v>
      </c>
      <c r="D418">
        <v>6.3708999999999998</v>
      </c>
      <c r="E418" s="1">
        <v>42263</v>
      </c>
      <c r="F418">
        <v>6.3708999999999998</v>
      </c>
    </row>
    <row r="419" spans="1:6" x14ac:dyDescent="0.25">
      <c r="A419" s="1">
        <v>42226</v>
      </c>
      <c r="B419">
        <v>6.2146999999999997</v>
      </c>
      <c r="C419" s="1">
        <v>42264</v>
      </c>
      <c r="D419">
        <v>6.3657000000000004</v>
      </c>
      <c r="E419" s="1">
        <v>42264</v>
      </c>
      <c r="F419">
        <v>6.3657000000000004</v>
      </c>
    </row>
    <row r="420" spans="1:6" x14ac:dyDescent="0.25">
      <c r="A420" s="1">
        <v>42227</v>
      </c>
      <c r="B420">
        <v>6.3878000000000004</v>
      </c>
      <c r="C420" s="1">
        <v>42265</v>
      </c>
      <c r="D420">
        <v>6.3639999999999999</v>
      </c>
      <c r="E420" s="1">
        <v>42265</v>
      </c>
      <c r="F420">
        <v>6.3639999999999999</v>
      </c>
    </row>
    <row r="421" spans="1:6" x14ac:dyDescent="0.25">
      <c r="A421" s="1">
        <v>42228</v>
      </c>
      <c r="B421">
        <v>6.4340999999999999</v>
      </c>
      <c r="C421" s="1">
        <v>42268</v>
      </c>
      <c r="D421">
        <v>6.3693999999999997</v>
      </c>
      <c r="E421" s="1">
        <v>42268</v>
      </c>
      <c r="F421">
        <v>6.3693999999999997</v>
      </c>
    </row>
    <row r="422" spans="1:6" x14ac:dyDescent="0.25">
      <c r="A422" s="1">
        <v>42229</v>
      </c>
      <c r="B422">
        <v>6.4638</v>
      </c>
      <c r="C422" s="1">
        <v>42269</v>
      </c>
      <c r="D422">
        <v>6.3761999999999999</v>
      </c>
      <c r="E422" s="1">
        <v>42269</v>
      </c>
      <c r="F422">
        <v>6.3761999999999999</v>
      </c>
    </row>
    <row r="423" spans="1:6" x14ac:dyDescent="0.25">
      <c r="A423" s="1">
        <v>42230</v>
      </c>
      <c r="B423">
        <v>6.4493</v>
      </c>
      <c r="C423" s="1">
        <v>42270</v>
      </c>
      <c r="D423">
        <v>6.3837000000000002</v>
      </c>
      <c r="E423" s="1">
        <v>42270</v>
      </c>
      <c r="F423">
        <v>6.3837000000000002</v>
      </c>
    </row>
    <row r="424" spans="1:6" x14ac:dyDescent="0.25">
      <c r="A424" s="1">
        <v>42233</v>
      </c>
      <c r="B424">
        <v>6.4446000000000003</v>
      </c>
      <c r="C424" s="1">
        <v>42271</v>
      </c>
      <c r="D424">
        <v>6.3822000000000001</v>
      </c>
      <c r="E424" s="1">
        <v>42271</v>
      </c>
      <c r="F424">
        <v>6.3822000000000001</v>
      </c>
    </row>
    <row r="425" spans="1:6" x14ac:dyDescent="0.25">
      <c r="A425" s="1">
        <v>42234</v>
      </c>
      <c r="B425">
        <v>6.4394999999999998</v>
      </c>
      <c r="C425" s="1">
        <v>42272</v>
      </c>
      <c r="D425">
        <v>6.3745000000000003</v>
      </c>
      <c r="E425" s="1">
        <v>42272</v>
      </c>
      <c r="F425">
        <v>6.3745000000000003</v>
      </c>
    </row>
    <row r="426" spans="1:6" x14ac:dyDescent="0.25">
      <c r="A426" s="1">
        <v>42235</v>
      </c>
      <c r="B426">
        <v>6.4629000000000003</v>
      </c>
      <c r="C426" s="1">
        <v>42275</v>
      </c>
      <c r="D426">
        <v>6.3689</v>
      </c>
      <c r="E426" s="1">
        <v>42275</v>
      </c>
      <c r="F426">
        <v>6.3689</v>
      </c>
    </row>
    <row r="427" spans="1:6" x14ac:dyDescent="0.25">
      <c r="A427" s="1">
        <v>42236</v>
      </c>
      <c r="B427">
        <v>6.4401000000000002</v>
      </c>
      <c r="C427" s="1">
        <v>42276</v>
      </c>
      <c r="D427">
        <v>6.3638000000000003</v>
      </c>
      <c r="E427" s="1">
        <v>42276</v>
      </c>
      <c r="F427">
        <v>6.3638000000000003</v>
      </c>
    </row>
    <row r="428" spans="1:6" x14ac:dyDescent="0.25">
      <c r="A428" s="1">
        <v>42237</v>
      </c>
      <c r="B428">
        <v>6.4543999999999997</v>
      </c>
      <c r="C428" s="1">
        <v>42277</v>
      </c>
      <c r="D428">
        <v>6.3560999999999996</v>
      </c>
      <c r="E428" s="1">
        <v>42277</v>
      </c>
      <c r="F428">
        <v>6.3560999999999996</v>
      </c>
    </row>
    <row r="429" spans="1:6" x14ac:dyDescent="0.25">
      <c r="A429" s="1">
        <v>42240</v>
      </c>
      <c r="B429">
        <v>6.4958</v>
      </c>
      <c r="C429" s="1">
        <v>42278</v>
      </c>
      <c r="D429">
        <v>6.3571</v>
      </c>
      <c r="E429" s="1">
        <v>42278</v>
      </c>
      <c r="F429">
        <v>6.3571</v>
      </c>
    </row>
    <row r="430" spans="1:6" x14ac:dyDescent="0.25">
      <c r="A430" s="1">
        <v>42241</v>
      </c>
      <c r="B430">
        <v>6.5111999999999997</v>
      </c>
      <c r="C430" s="1">
        <v>42285</v>
      </c>
      <c r="D430">
        <v>6.3533999999999997</v>
      </c>
      <c r="E430" s="1">
        <v>42285</v>
      </c>
      <c r="F430">
        <v>6.3533999999999997</v>
      </c>
    </row>
    <row r="431" spans="1:6" x14ac:dyDescent="0.25">
      <c r="A431" s="1">
        <v>42242</v>
      </c>
      <c r="B431">
        <v>6.4898999999999996</v>
      </c>
      <c r="C431" s="1">
        <v>42286</v>
      </c>
      <c r="D431">
        <v>6.3453999999999997</v>
      </c>
      <c r="E431" s="1">
        <v>42286</v>
      </c>
      <c r="F431">
        <v>6.3453999999999997</v>
      </c>
    </row>
    <row r="432" spans="1:6" x14ac:dyDescent="0.25">
      <c r="A432" s="1">
        <v>42243</v>
      </c>
      <c r="B432">
        <v>6.4772999999999996</v>
      </c>
      <c r="C432" s="1">
        <v>42289</v>
      </c>
      <c r="D432">
        <v>6.3235000000000001</v>
      </c>
      <c r="E432" s="1">
        <v>42289</v>
      </c>
      <c r="F432">
        <v>6.3235000000000001</v>
      </c>
    </row>
    <row r="433" spans="1:6" x14ac:dyDescent="0.25">
      <c r="A433" s="1">
        <v>42244</v>
      </c>
      <c r="B433">
        <v>6.4627999999999997</v>
      </c>
      <c r="C433" s="1">
        <v>42290</v>
      </c>
      <c r="D433">
        <v>6.3411999999999997</v>
      </c>
      <c r="E433" s="1">
        <v>42290</v>
      </c>
      <c r="F433">
        <v>6.3411999999999997</v>
      </c>
    </row>
    <row r="434" spans="1:6" x14ac:dyDescent="0.25">
      <c r="A434" s="1">
        <v>42247</v>
      </c>
      <c r="B434">
        <v>6.4425999999999997</v>
      </c>
      <c r="C434" s="1">
        <v>42291</v>
      </c>
      <c r="D434">
        <v>6.3482000000000003</v>
      </c>
      <c r="E434" s="1">
        <v>42291</v>
      </c>
      <c r="F434">
        <v>6.3482000000000003</v>
      </c>
    </row>
    <row r="435" spans="1:6" x14ac:dyDescent="0.25">
      <c r="A435" s="1">
        <v>42248</v>
      </c>
      <c r="B435">
        <v>6.4177999999999997</v>
      </c>
      <c r="C435" s="1">
        <v>42292</v>
      </c>
      <c r="D435">
        <v>6.3461999999999996</v>
      </c>
      <c r="E435" s="1">
        <v>42292</v>
      </c>
      <c r="F435">
        <v>6.3461999999999996</v>
      </c>
    </row>
    <row r="436" spans="1:6" x14ac:dyDescent="0.25">
      <c r="A436" s="1">
        <v>42249</v>
      </c>
      <c r="B436">
        <v>6.4485999999999999</v>
      </c>
      <c r="C436" s="1">
        <v>42293</v>
      </c>
      <c r="D436">
        <v>6.3537999999999997</v>
      </c>
      <c r="E436" s="1">
        <v>42293</v>
      </c>
      <c r="F436">
        <v>6.3537999999999997</v>
      </c>
    </row>
    <row r="437" spans="1:6" x14ac:dyDescent="0.25">
      <c r="A437" s="1">
        <v>42250</v>
      </c>
      <c r="B437">
        <v>6.4503000000000004</v>
      </c>
      <c r="C437" s="1">
        <v>42296</v>
      </c>
      <c r="D437">
        <v>6.3604000000000003</v>
      </c>
      <c r="E437" s="1">
        <v>42296</v>
      </c>
      <c r="F437">
        <v>6.3604000000000003</v>
      </c>
    </row>
    <row r="438" spans="1:6" x14ac:dyDescent="0.25">
      <c r="A438" s="1">
        <v>42251</v>
      </c>
      <c r="B438">
        <v>6.4668999999999999</v>
      </c>
      <c r="C438" s="1">
        <v>42297</v>
      </c>
      <c r="D438">
        <v>6.3483999999999998</v>
      </c>
      <c r="E438" s="1">
        <v>42297</v>
      </c>
      <c r="F438">
        <v>6.3483999999999998</v>
      </c>
    </row>
    <row r="439" spans="1:6" x14ac:dyDescent="0.25">
      <c r="A439" s="1">
        <v>42254</v>
      </c>
      <c r="B439">
        <v>6.4794999999999998</v>
      </c>
      <c r="C439" s="1">
        <v>42298</v>
      </c>
      <c r="D439">
        <v>6.3491999999999997</v>
      </c>
      <c r="E439" s="1">
        <v>42298</v>
      </c>
      <c r="F439">
        <v>6.3491999999999997</v>
      </c>
    </row>
    <row r="440" spans="1:6" x14ac:dyDescent="0.25">
      <c r="A440" s="1">
        <v>42255</v>
      </c>
      <c r="B440">
        <v>6.4555999999999996</v>
      </c>
      <c r="C440" s="1">
        <v>42299</v>
      </c>
      <c r="D440">
        <v>6.3579999999999997</v>
      </c>
      <c r="E440" s="1">
        <v>42299</v>
      </c>
      <c r="F440">
        <v>6.3579999999999997</v>
      </c>
    </row>
    <row r="441" spans="1:6" x14ac:dyDescent="0.25">
      <c r="A441" s="1">
        <v>42256</v>
      </c>
      <c r="B441">
        <v>6.4665999999999997</v>
      </c>
      <c r="C441" s="1">
        <v>42300</v>
      </c>
      <c r="D441">
        <v>6.3506</v>
      </c>
      <c r="E441" s="1">
        <v>42300</v>
      </c>
      <c r="F441">
        <v>6.3506</v>
      </c>
    </row>
    <row r="442" spans="1:6" x14ac:dyDescent="0.25">
      <c r="A442" s="1">
        <v>42257</v>
      </c>
      <c r="B442">
        <v>6.3874000000000004</v>
      </c>
      <c r="C442" s="1">
        <v>42303</v>
      </c>
      <c r="D442">
        <v>6.3522999999999996</v>
      </c>
      <c r="E442" s="1">
        <v>42303</v>
      </c>
      <c r="F442">
        <v>6.3522999999999996</v>
      </c>
    </row>
    <row r="443" spans="1:6" x14ac:dyDescent="0.25">
      <c r="A443" s="1">
        <v>42258</v>
      </c>
      <c r="B443">
        <v>6.4108000000000001</v>
      </c>
      <c r="C443" s="1">
        <v>42304</v>
      </c>
      <c r="D443">
        <v>6.3525</v>
      </c>
      <c r="E443" s="1">
        <v>42304</v>
      </c>
      <c r="F443">
        <v>6.3525</v>
      </c>
    </row>
    <row r="444" spans="1:6" x14ac:dyDescent="0.25">
      <c r="A444" s="1">
        <v>42261</v>
      </c>
      <c r="B444">
        <v>6.4036999999999997</v>
      </c>
      <c r="C444" s="1">
        <v>42305</v>
      </c>
      <c r="D444">
        <v>6.3585000000000003</v>
      </c>
      <c r="E444" s="1">
        <v>42305</v>
      </c>
      <c r="F444">
        <v>6.3585000000000003</v>
      </c>
    </row>
    <row r="445" spans="1:6" x14ac:dyDescent="0.25">
      <c r="A445" s="1">
        <v>42262</v>
      </c>
      <c r="B445">
        <v>6.4109999999999996</v>
      </c>
      <c r="C445" s="1">
        <v>42306</v>
      </c>
      <c r="D445">
        <v>6.3563999999999998</v>
      </c>
      <c r="E445" s="1">
        <v>42306</v>
      </c>
      <c r="F445">
        <v>6.3563999999999998</v>
      </c>
    </row>
    <row r="446" spans="1:6" x14ac:dyDescent="0.25">
      <c r="A446" s="1">
        <v>42263</v>
      </c>
      <c r="B446">
        <v>6.4043999999999999</v>
      </c>
      <c r="C446" s="1">
        <v>42307</v>
      </c>
      <c r="D446">
        <v>6.3174999999999999</v>
      </c>
      <c r="E446" s="1">
        <v>42307</v>
      </c>
      <c r="F446">
        <v>6.3174999999999999</v>
      </c>
    </row>
    <row r="447" spans="1:6" x14ac:dyDescent="0.25">
      <c r="A447" s="1">
        <v>42264</v>
      </c>
      <c r="B447">
        <v>6.4005000000000001</v>
      </c>
      <c r="C447" s="1">
        <v>42310</v>
      </c>
      <c r="D447">
        <v>6.3372999999999999</v>
      </c>
      <c r="E447" s="1">
        <v>42310</v>
      </c>
      <c r="F447">
        <v>6.3372999999999999</v>
      </c>
    </row>
    <row r="448" spans="1:6" x14ac:dyDescent="0.25">
      <c r="A448" s="1">
        <v>42265</v>
      </c>
      <c r="B448">
        <v>6.3869999999999996</v>
      </c>
      <c r="C448" s="1">
        <v>42311</v>
      </c>
      <c r="D448">
        <v>6.3362999999999996</v>
      </c>
      <c r="E448" s="1">
        <v>42311</v>
      </c>
      <c r="F448">
        <v>6.3362999999999996</v>
      </c>
    </row>
    <row r="449" spans="1:6" x14ac:dyDescent="0.25">
      <c r="A449" s="1">
        <v>42268</v>
      </c>
      <c r="B449">
        <v>6.3987999999999996</v>
      </c>
      <c r="C449" s="1">
        <v>42312</v>
      </c>
      <c r="D449">
        <v>6.3365999999999998</v>
      </c>
      <c r="E449" s="1">
        <v>42312</v>
      </c>
      <c r="F449">
        <v>6.3365999999999998</v>
      </c>
    </row>
    <row r="450" spans="1:6" x14ac:dyDescent="0.25">
      <c r="A450" s="1">
        <v>42269</v>
      </c>
      <c r="B450">
        <v>6.4165999999999999</v>
      </c>
      <c r="C450" s="1">
        <v>42313</v>
      </c>
      <c r="D450">
        <v>6.3460999999999999</v>
      </c>
      <c r="E450" s="1">
        <v>42313</v>
      </c>
      <c r="F450">
        <v>6.3460999999999999</v>
      </c>
    </row>
    <row r="451" spans="1:6" x14ac:dyDescent="0.25">
      <c r="A451" s="1">
        <v>42270</v>
      </c>
      <c r="B451">
        <v>6.4383999999999997</v>
      </c>
      <c r="C451" s="1">
        <v>42314</v>
      </c>
      <c r="D451">
        <v>6.3535000000000004</v>
      </c>
      <c r="E451" s="1">
        <v>42314</v>
      </c>
      <c r="F451">
        <v>6.3535000000000004</v>
      </c>
    </row>
    <row r="452" spans="1:6" x14ac:dyDescent="0.25">
      <c r="A452" s="1">
        <v>42271</v>
      </c>
      <c r="B452">
        <v>6.4166999999999996</v>
      </c>
      <c r="C452" s="1">
        <v>42317</v>
      </c>
      <c r="D452">
        <v>6.3624999999999998</v>
      </c>
      <c r="E452" s="1">
        <v>42317</v>
      </c>
      <c r="F452">
        <v>6.3624999999999998</v>
      </c>
    </row>
    <row r="453" spans="1:6" x14ac:dyDescent="0.25">
      <c r="A453" s="1">
        <v>42272</v>
      </c>
      <c r="B453">
        <v>6.3975</v>
      </c>
      <c r="C453" s="1">
        <v>42318</v>
      </c>
      <c r="D453">
        <v>6.3616999999999999</v>
      </c>
      <c r="E453" s="1">
        <v>42318</v>
      </c>
      <c r="F453">
        <v>6.3616999999999999</v>
      </c>
    </row>
    <row r="454" spans="1:6" x14ac:dyDescent="0.25">
      <c r="A454" s="1">
        <v>42275</v>
      </c>
      <c r="B454">
        <v>6.3579999999999997</v>
      </c>
      <c r="C454" s="1">
        <v>42319</v>
      </c>
      <c r="D454">
        <v>6.3666</v>
      </c>
      <c r="E454" s="1">
        <v>42319</v>
      </c>
      <c r="F454">
        <v>6.3666</v>
      </c>
    </row>
    <row r="455" spans="1:6" x14ac:dyDescent="0.25">
      <c r="A455" s="1">
        <v>42276</v>
      </c>
      <c r="B455">
        <v>6.3441999999999998</v>
      </c>
      <c r="C455" s="1">
        <v>42320</v>
      </c>
      <c r="D455">
        <v>6.3691000000000004</v>
      </c>
      <c r="E455" s="1">
        <v>42320</v>
      </c>
      <c r="F455">
        <v>6.3691000000000004</v>
      </c>
    </row>
    <row r="456" spans="1:6" x14ac:dyDescent="0.25">
      <c r="A456" s="1">
        <v>42277</v>
      </c>
      <c r="B456">
        <v>6.3635999999999999</v>
      </c>
      <c r="C456" s="1">
        <v>42321</v>
      </c>
      <c r="D456">
        <v>6.3737000000000004</v>
      </c>
      <c r="E456" s="1">
        <v>42321</v>
      </c>
      <c r="F456">
        <v>6.3737000000000004</v>
      </c>
    </row>
    <row r="457" spans="1:6" x14ac:dyDescent="0.25">
      <c r="A457" s="1">
        <v>42278</v>
      </c>
      <c r="B457">
        <v>6.3678999999999997</v>
      </c>
      <c r="C457" s="1">
        <v>42324</v>
      </c>
      <c r="D457">
        <v>6.3701999999999996</v>
      </c>
      <c r="E457" s="1">
        <v>42324</v>
      </c>
      <c r="F457">
        <v>6.3701999999999996</v>
      </c>
    </row>
    <row r="458" spans="1:6" x14ac:dyDescent="0.25">
      <c r="A458" s="1">
        <v>42279</v>
      </c>
      <c r="B458">
        <v>6.3569000000000004</v>
      </c>
      <c r="C458" s="1">
        <v>42325</v>
      </c>
      <c r="D458">
        <v>6.3784000000000001</v>
      </c>
      <c r="E458" s="1">
        <v>42325</v>
      </c>
      <c r="F458">
        <v>6.3784000000000001</v>
      </c>
    </row>
    <row r="459" spans="1:6" x14ac:dyDescent="0.25">
      <c r="A459" s="1">
        <v>42282</v>
      </c>
      <c r="B459">
        <v>6.3489000000000004</v>
      </c>
      <c r="C459" s="1">
        <v>42326</v>
      </c>
      <c r="D459">
        <v>6.3846999999999996</v>
      </c>
      <c r="E459" s="1">
        <v>42326</v>
      </c>
      <c r="F459">
        <v>6.3846999999999996</v>
      </c>
    </row>
    <row r="460" spans="1:6" x14ac:dyDescent="0.25">
      <c r="A460" s="1">
        <v>42283</v>
      </c>
      <c r="B460">
        <v>6.3518999999999997</v>
      </c>
      <c r="C460" s="1">
        <v>42327</v>
      </c>
      <c r="D460">
        <v>6.3827999999999996</v>
      </c>
      <c r="E460" s="1">
        <v>42327</v>
      </c>
      <c r="F460">
        <v>6.3827999999999996</v>
      </c>
    </row>
    <row r="461" spans="1:6" x14ac:dyDescent="0.25">
      <c r="A461" s="1">
        <v>42284</v>
      </c>
      <c r="B461">
        <v>6.3468999999999998</v>
      </c>
      <c r="C461" s="1">
        <v>42328</v>
      </c>
      <c r="D461">
        <v>6.3846999999999996</v>
      </c>
      <c r="E461" s="1">
        <v>42328</v>
      </c>
      <c r="F461">
        <v>6.3846999999999996</v>
      </c>
    </row>
    <row r="462" spans="1:6" x14ac:dyDescent="0.25">
      <c r="A462" s="1">
        <v>42285</v>
      </c>
      <c r="B462">
        <v>6.3422999999999998</v>
      </c>
      <c r="C462" s="1">
        <v>42331</v>
      </c>
      <c r="D462">
        <v>6.3891999999999998</v>
      </c>
      <c r="E462" s="1">
        <v>42331</v>
      </c>
      <c r="F462">
        <v>6.3891999999999998</v>
      </c>
    </row>
    <row r="463" spans="1:6" x14ac:dyDescent="0.25">
      <c r="A463" s="1">
        <v>42286</v>
      </c>
      <c r="B463">
        <v>6.3384</v>
      </c>
      <c r="C463" s="1">
        <v>42332</v>
      </c>
      <c r="D463">
        <v>6.3888999999999996</v>
      </c>
      <c r="E463" s="1">
        <v>42332</v>
      </c>
      <c r="F463">
        <v>6.3888999999999996</v>
      </c>
    </row>
    <row r="464" spans="1:6" x14ac:dyDescent="0.25">
      <c r="A464" s="1">
        <v>42289</v>
      </c>
      <c r="B464">
        <v>6.3228</v>
      </c>
      <c r="C464" s="1">
        <v>42333</v>
      </c>
      <c r="D464">
        <v>6.3891999999999998</v>
      </c>
      <c r="E464" s="1">
        <v>42333</v>
      </c>
      <c r="F464">
        <v>6.3891999999999998</v>
      </c>
    </row>
    <row r="465" spans="1:6" x14ac:dyDescent="0.25">
      <c r="A465" s="1">
        <v>42290</v>
      </c>
      <c r="B465">
        <v>6.343</v>
      </c>
      <c r="C465" s="1">
        <v>42334</v>
      </c>
      <c r="D465">
        <v>6.3895</v>
      </c>
      <c r="E465" s="1">
        <v>42334</v>
      </c>
      <c r="F465">
        <v>6.3895</v>
      </c>
    </row>
    <row r="466" spans="1:6" x14ac:dyDescent="0.25">
      <c r="A466" s="1">
        <v>42291</v>
      </c>
      <c r="B466">
        <v>6.3391999999999999</v>
      </c>
      <c r="C466" s="1">
        <v>42335</v>
      </c>
      <c r="D466">
        <v>6.3944999999999999</v>
      </c>
      <c r="E466" s="1">
        <v>42335</v>
      </c>
      <c r="F466">
        <v>6.3944999999999999</v>
      </c>
    </row>
    <row r="467" spans="1:6" x14ac:dyDescent="0.25">
      <c r="A467" s="1">
        <v>42292</v>
      </c>
      <c r="B467">
        <v>6.3498999999999999</v>
      </c>
      <c r="C467" s="1">
        <v>42338</v>
      </c>
      <c r="D467">
        <v>6.3983999999999996</v>
      </c>
      <c r="E467" s="1">
        <v>42338</v>
      </c>
      <c r="F467">
        <v>6.3983999999999996</v>
      </c>
    </row>
    <row r="468" spans="1:6" x14ac:dyDescent="0.25">
      <c r="A468" s="1">
        <v>42293</v>
      </c>
      <c r="B468">
        <v>6.3644999999999996</v>
      </c>
      <c r="C468" s="1">
        <v>42339</v>
      </c>
      <c r="D468">
        <v>6.3987999999999996</v>
      </c>
      <c r="E468" s="1">
        <v>42339</v>
      </c>
      <c r="F468">
        <v>6.3987999999999996</v>
      </c>
    </row>
    <row r="469" spans="1:6" x14ac:dyDescent="0.25">
      <c r="A469" s="1">
        <v>42296</v>
      </c>
      <c r="B469">
        <v>6.3886000000000003</v>
      </c>
      <c r="C469" s="1">
        <v>42340</v>
      </c>
      <c r="D469">
        <v>6.3986999999999998</v>
      </c>
      <c r="E469" s="1">
        <v>42340</v>
      </c>
      <c r="F469">
        <v>6.3986999999999998</v>
      </c>
    </row>
    <row r="470" spans="1:6" x14ac:dyDescent="0.25">
      <c r="A470" s="1">
        <v>42297</v>
      </c>
      <c r="B470">
        <v>6.3727999999999998</v>
      </c>
      <c r="C470" s="1">
        <v>42341</v>
      </c>
      <c r="D470">
        <v>6.3979999999999997</v>
      </c>
      <c r="E470" s="1">
        <v>42341</v>
      </c>
      <c r="F470">
        <v>6.3979999999999997</v>
      </c>
    </row>
    <row r="471" spans="1:6" x14ac:dyDescent="0.25">
      <c r="A471" s="1">
        <v>42298</v>
      </c>
      <c r="B471">
        <v>6.3697999999999997</v>
      </c>
      <c r="C471" s="1">
        <v>42342</v>
      </c>
      <c r="D471">
        <v>6.4025999999999996</v>
      </c>
      <c r="E471" s="1">
        <v>42342</v>
      </c>
      <c r="F471">
        <v>6.4025999999999996</v>
      </c>
    </row>
    <row r="472" spans="1:6" x14ac:dyDescent="0.25">
      <c r="A472" s="1">
        <v>42299</v>
      </c>
      <c r="B472">
        <v>6.3879000000000001</v>
      </c>
      <c r="C472" s="1">
        <v>42345</v>
      </c>
      <c r="D472">
        <v>6.4081999999999999</v>
      </c>
      <c r="E472" s="1">
        <v>42345</v>
      </c>
      <c r="F472">
        <v>6.4081999999999999</v>
      </c>
    </row>
    <row r="473" spans="1:6" x14ac:dyDescent="0.25">
      <c r="A473" s="1">
        <v>42300</v>
      </c>
      <c r="B473">
        <v>6.3963999999999999</v>
      </c>
      <c r="C473" s="1">
        <v>42346</v>
      </c>
      <c r="D473">
        <v>6.4177</v>
      </c>
      <c r="E473" s="1">
        <v>42346</v>
      </c>
      <c r="F473">
        <v>6.4177</v>
      </c>
    </row>
    <row r="474" spans="1:6" x14ac:dyDescent="0.25">
      <c r="A474" s="1">
        <v>42303</v>
      </c>
      <c r="B474">
        <v>6.3891</v>
      </c>
      <c r="C474" s="1">
        <v>42347</v>
      </c>
      <c r="D474">
        <v>6.4280999999999997</v>
      </c>
      <c r="E474" s="1">
        <v>42347</v>
      </c>
      <c r="F474">
        <v>6.4280999999999997</v>
      </c>
    </row>
    <row r="475" spans="1:6" x14ac:dyDescent="0.25">
      <c r="A475" s="1">
        <v>42304</v>
      </c>
      <c r="B475">
        <v>6.3935000000000004</v>
      </c>
      <c r="C475" s="1">
        <v>42348</v>
      </c>
      <c r="D475">
        <v>6.4386000000000001</v>
      </c>
      <c r="E475" s="1">
        <v>42348</v>
      </c>
      <c r="F475">
        <v>6.4386000000000001</v>
      </c>
    </row>
    <row r="476" spans="1:6" x14ac:dyDescent="0.25">
      <c r="A476" s="1">
        <v>42305</v>
      </c>
      <c r="B476">
        <v>6.3891</v>
      </c>
      <c r="C476" s="1">
        <v>42349</v>
      </c>
      <c r="D476">
        <v>6.4551999999999996</v>
      </c>
      <c r="E476" s="1">
        <v>42349</v>
      </c>
      <c r="F476">
        <v>6.4551999999999996</v>
      </c>
    </row>
    <row r="477" spans="1:6" x14ac:dyDescent="0.25">
      <c r="A477" s="1">
        <v>42306</v>
      </c>
      <c r="B477">
        <v>6.3491</v>
      </c>
      <c r="C477" s="1">
        <v>42352</v>
      </c>
      <c r="D477">
        <v>6.4591000000000003</v>
      </c>
      <c r="E477" s="1">
        <v>42352</v>
      </c>
      <c r="F477">
        <v>6.4591000000000003</v>
      </c>
    </row>
    <row r="478" spans="1:6" x14ac:dyDescent="0.25">
      <c r="A478" s="1">
        <v>42307</v>
      </c>
      <c r="B478">
        <v>6.3219000000000003</v>
      </c>
      <c r="C478" s="1">
        <v>42353</v>
      </c>
      <c r="D478">
        <v>6.4622999999999999</v>
      </c>
      <c r="E478" s="1">
        <v>42353</v>
      </c>
      <c r="F478">
        <v>6.4622999999999999</v>
      </c>
    </row>
    <row r="479" spans="1:6" x14ac:dyDescent="0.25">
      <c r="A479" s="1">
        <v>42310</v>
      </c>
      <c r="B479">
        <v>6.3457999999999997</v>
      </c>
      <c r="C479" s="1">
        <v>42354</v>
      </c>
      <c r="D479">
        <v>6.4725000000000001</v>
      </c>
      <c r="E479" s="1">
        <v>42354</v>
      </c>
      <c r="F479">
        <v>6.4725000000000001</v>
      </c>
    </row>
    <row r="480" spans="1:6" x14ac:dyDescent="0.25">
      <c r="A480" s="1">
        <v>42311</v>
      </c>
      <c r="B480">
        <v>6.3449</v>
      </c>
      <c r="C480" s="1">
        <v>42355</v>
      </c>
      <c r="D480">
        <v>6.4836999999999998</v>
      </c>
      <c r="E480" s="1">
        <v>42355</v>
      </c>
      <c r="F480">
        <v>6.4836999999999998</v>
      </c>
    </row>
    <row r="481" spans="1:6" x14ac:dyDescent="0.25">
      <c r="A481" s="1">
        <v>42312</v>
      </c>
      <c r="B481">
        <v>6.3548</v>
      </c>
      <c r="C481" s="1">
        <v>42356</v>
      </c>
      <c r="D481">
        <v>6.4810999999999996</v>
      </c>
      <c r="E481" s="1">
        <v>42356</v>
      </c>
      <c r="F481">
        <v>6.4810999999999996</v>
      </c>
    </row>
    <row r="482" spans="1:6" x14ac:dyDescent="0.25">
      <c r="A482" s="1">
        <v>42313</v>
      </c>
      <c r="B482">
        <v>6.3726000000000003</v>
      </c>
      <c r="C482" s="1">
        <v>42359</v>
      </c>
      <c r="D482">
        <v>6.4806999999999997</v>
      </c>
      <c r="E482" s="1">
        <v>42359</v>
      </c>
      <c r="F482">
        <v>6.4806999999999997</v>
      </c>
    </row>
    <row r="483" spans="1:6" x14ac:dyDescent="0.25">
      <c r="A483" s="1">
        <v>42314</v>
      </c>
      <c r="B483">
        <v>6.3916000000000004</v>
      </c>
      <c r="C483" s="1">
        <v>42360</v>
      </c>
      <c r="D483">
        <v>6.4785000000000004</v>
      </c>
      <c r="E483" s="1">
        <v>42360</v>
      </c>
      <c r="F483">
        <v>6.4785000000000004</v>
      </c>
    </row>
    <row r="484" spans="1:6" x14ac:dyDescent="0.25">
      <c r="A484" s="1">
        <v>42317</v>
      </c>
      <c r="B484">
        <v>6.3913000000000002</v>
      </c>
      <c r="C484" s="1">
        <v>42361</v>
      </c>
      <c r="D484">
        <v>6.4775999999999998</v>
      </c>
      <c r="E484" s="1">
        <v>42361</v>
      </c>
      <c r="F484">
        <v>6.4775999999999998</v>
      </c>
    </row>
    <row r="485" spans="1:6" x14ac:dyDescent="0.25">
      <c r="A485" s="1">
        <v>42318</v>
      </c>
      <c r="B485">
        <v>6.3939000000000004</v>
      </c>
      <c r="C485" s="1">
        <v>42362</v>
      </c>
      <c r="D485">
        <v>6.4763000000000002</v>
      </c>
      <c r="E485" s="1">
        <v>42362</v>
      </c>
      <c r="F485">
        <v>6.4763000000000002</v>
      </c>
    </row>
    <row r="486" spans="1:6" x14ac:dyDescent="0.25">
      <c r="A486" s="1">
        <v>42319</v>
      </c>
      <c r="B486">
        <v>6.3909000000000002</v>
      </c>
      <c r="C486" s="1">
        <v>42363</v>
      </c>
      <c r="D486">
        <v>6.4759000000000002</v>
      </c>
      <c r="E486" s="1">
        <v>42363</v>
      </c>
      <c r="F486">
        <v>6.4759000000000002</v>
      </c>
    </row>
    <row r="487" spans="1:6" x14ac:dyDescent="0.25">
      <c r="A487" s="1">
        <v>42320</v>
      </c>
      <c r="B487">
        <v>6.3917000000000002</v>
      </c>
      <c r="C487" s="1">
        <v>42366</v>
      </c>
      <c r="D487">
        <v>6.4871999999999996</v>
      </c>
      <c r="E487" s="1">
        <v>42366</v>
      </c>
      <c r="F487">
        <v>6.4871999999999996</v>
      </c>
    </row>
    <row r="488" spans="1:6" x14ac:dyDescent="0.25">
      <c r="A488" s="1">
        <v>42321</v>
      </c>
      <c r="B488">
        <v>6.4067999999999996</v>
      </c>
      <c r="C488" s="1">
        <v>42367</v>
      </c>
      <c r="D488">
        <v>6.4856999999999996</v>
      </c>
      <c r="E488" s="1">
        <v>42367</v>
      </c>
      <c r="F488">
        <v>6.4856999999999996</v>
      </c>
    </row>
    <row r="489" spans="1:6" x14ac:dyDescent="0.25">
      <c r="A489" s="1">
        <v>42324</v>
      </c>
      <c r="B489">
        <v>6.4008000000000003</v>
      </c>
      <c r="C489" s="1">
        <v>42368</v>
      </c>
      <c r="D489">
        <v>6.4898999999999996</v>
      </c>
      <c r="E489" s="1">
        <v>42368</v>
      </c>
      <c r="F489">
        <v>6.4898999999999996</v>
      </c>
    </row>
    <row r="490" spans="1:6" x14ac:dyDescent="0.25">
      <c r="A490" s="1">
        <v>42325</v>
      </c>
      <c r="B490">
        <v>6.4112</v>
      </c>
      <c r="C490" s="1">
        <v>42369</v>
      </c>
      <c r="D490">
        <v>6.4936999999999996</v>
      </c>
      <c r="E490" s="1">
        <v>42369</v>
      </c>
      <c r="F490">
        <v>6.4936999999999996</v>
      </c>
    </row>
    <row r="491" spans="1:6" x14ac:dyDescent="0.25">
      <c r="A491" s="1">
        <v>42326</v>
      </c>
      <c r="B491">
        <v>6.4179000000000004</v>
      </c>
      <c r="C491" s="1">
        <v>42373</v>
      </c>
      <c r="D491">
        <v>6.5335000000000001</v>
      </c>
      <c r="E491" s="1">
        <v>42373</v>
      </c>
      <c r="F491">
        <v>6.5335000000000001</v>
      </c>
    </row>
    <row r="492" spans="1:6" x14ac:dyDescent="0.25">
      <c r="A492" s="1">
        <v>42327</v>
      </c>
      <c r="B492">
        <v>6.4036</v>
      </c>
      <c r="C492" s="1">
        <v>42374</v>
      </c>
      <c r="D492">
        <v>6.5159000000000002</v>
      </c>
      <c r="E492" s="1">
        <v>42374</v>
      </c>
      <c r="F492">
        <v>6.5159000000000002</v>
      </c>
    </row>
    <row r="493" spans="1:6" x14ac:dyDescent="0.25">
      <c r="A493" s="1">
        <v>42328</v>
      </c>
      <c r="B493">
        <v>6.4215</v>
      </c>
      <c r="C493" s="1">
        <v>42375</v>
      </c>
      <c r="D493">
        <v>6.5559000000000003</v>
      </c>
      <c r="E493" s="1">
        <v>42375</v>
      </c>
      <c r="F493">
        <v>6.5559000000000003</v>
      </c>
    </row>
    <row r="494" spans="1:6" x14ac:dyDescent="0.25">
      <c r="A494" s="1">
        <v>42331</v>
      </c>
      <c r="B494">
        <v>6.4301000000000004</v>
      </c>
      <c r="C494" s="1">
        <v>42376</v>
      </c>
      <c r="D494">
        <v>6.5929000000000002</v>
      </c>
      <c r="E494" s="1">
        <v>42376</v>
      </c>
      <c r="F494">
        <v>6.5929000000000002</v>
      </c>
    </row>
    <row r="495" spans="1:6" x14ac:dyDescent="0.25">
      <c r="A495" s="1">
        <v>42332</v>
      </c>
      <c r="B495">
        <v>6.4272999999999998</v>
      </c>
      <c r="C495" s="1">
        <v>42377</v>
      </c>
      <c r="D495">
        <v>6.5948000000000002</v>
      </c>
      <c r="E495" s="1">
        <v>42377</v>
      </c>
      <c r="F495">
        <v>6.5948000000000002</v>
      </c>
    </row>
    <row r="496" spans="1:6" x14ac:dyDescent="0.25">
      <c r="A496" s="1">
        <v>42333</v>
      </c>
      <c r="B496">
        <v>6.4226999999999999</v>
      </c>
      <c r="C496" s="1">
        <v>42380</v>
      </c>
      <c r="D496">
        <v>6.5711000000000004</v>
      </c>
      <c r="E496" s="1">
        <v>42380</v>
      </c>
      <c r="F496">
        <v>6.5711000000000004</v>
      </c>
    </row>
    <row r="497" spans="1:6" x14ac:dyDescent="0.25">
      <c r="A497" s="1">
        <v>42334</v>
      </c>
      <c r="B497">
        <v>6.4351000000000003</v>
      </c>
      <c r="C497" s="1">
        <v>42381</v>
      </c>
      <c r="D497">
        <v>6.5728999999999997</v>
      </c>
      <c r="E497" s="1">
        <v>42381</v>
      </c>
      <c r="F497">
        <v>6.5728999999999997</v>
      </c>
    </row>
    <row r="498" spans="1:6" x14ac:dyDescent="0.25">
      <c r="A498" s="1">
        <v>42335</v>
      </c>
      <c r="B498">
        <v>6.4474999999999998</v>
      </c>
      <c r="C498" s="1">
        <v>42382</v>
      </c>
      <c r="D498">
        <v>6.5754000000000001</v>
      </c>
      <c r="E498" s="1">
        <v>42382</v>
      </c>
      <c r="F498">
        <v>6.5754000000000001</v>
      </c>
    </row>
    <row r="499" spans="1:6" x14ac:dyDescent="0.25">
      <c r="A499" s="1">
        <v>42338</v>
      </c>
      <c r="B499">
        <v>6.4250999999999996</v>
      </c>
      <c r="C499" s="1">
        <v>42383</v>
      </c>
      <c r="D499">
        <v>6.59</v>
      </c>
      <c r="E499" s="1">
        <v>42383</v>
      </c>
      <c r="F499">
        <v>6.59</v>
      </c>
    </row>
    <row r="500" spans="1:6" x14ac:dyDescent="0.25">
      <c r="A500" s="1">
        <v>42339</v>
      </c>
      <c r="B500">
        <v>6.4467999999999996</v>
      </c>
      <c r="C500" s="1">
        <v>42384</v>
      </c>
      <c r="D500">
        <v>6.5849000000000002</v>
      </c>
      <c r="E500" s="1">
        <v>42384</v>
      </c>
      <c r="F500">
        <v>6.5849000000000002</v>
      </c>
    </row>
    <row r="501" spans="1:6" x14ac:dyDescent="0.25">
      <c r="A501" s="1">
        <v>42340</v>
      </c>
      <c r="B501">
        <v>6.4474999999999998</v>
      </c>
      <c r="C501" s="1">
        <v>42387</v>
      </c>
      <c r="D501">
        <v>6.5788000000000002</v>
      </c>
      <c r="E501" s="1">
        <v>42387</v>
      </c>
      <c r="F501">
        <v>6.5788000000000002</v>
      </c>
    </row>
    <row r="502" spans="1:6" x14ac:dyDescent="0.25">
      <c r="A502" s="1">
        <v>42341</v>
      </c>
      <c r="B502">
        <v>6.4215</v>
      </c>
      <c r="C502" s="1">
        <v>42388</v>
      </c>
      <c r="D502">
        <v>6.5785999999999998</v>
      </c>
      <c r="E502" s="1">
        <v>42388</v>
      </c>
      <c r="F502">
        <v>6.5785999999999998</v>
      </c>
    </row>
    <row r="503" spans="1:6" x14ac:dyDescent="0.25">
      <c r="A503" s="1">
        <v>42342</v>
      </c>
      <c r="B503">
        <v>6.4462000000000002</v>
      </c>
      <c r="C503" s="1">
        <v>42389</v>
      </c>
      <c r="D503">
        <v>6.5784000000000002</v>
      </c>
      <c r="E503" s="1">
        <v>42389</v>
      </c>
      <c r="F503">
        <v>6.5784000000000002</v>
      </c>
    </row>
    <row r="504" spans="1:6" x14ac:dyDescent="0.25">
      <c r="A504" s="1">
        <v>42345</v>
      </c>
      <c r="B504">
        <v>6.4722</v>
      </c>
      <c r="C504" s="1">
        <v>42390</v>
      </c>
      <c r="D504">
        <v>6.58</v>
      </c>
      <c r="E504" s="1">
        <v>42390</v>
      </c>
      <c r="F504">
        <v>6.58</v>
      </c>
    </row>
    <row r="505" spans="1:6" x14ac:dyDescent="0.25">
      <c r="A505" s="1">
        <v>42346</v>
      </c>
      <c r="B505">
        <v>6.4881000000000002</v>
      </c>
      <c r="C505" s="1">
        <v>42391</v>
      </c>
      <c r="D505">
        <v>6.5788000000000002</v>
      </c>
      <c r="E505" s="1">
        <v>42391</v>
      </c>
      <c r="F505">
        <v>6.5788000000000002</v>
      </c>
    </row>
    <row r="506" spans="1:6" x14ac:dyDescent="0.25">
      <c r="A506" s="1">
        <v>42347</v>
      </c>
      <c r="B506">
        <v>6.5068000000000001</v>
      </c>
      <c r="C506" s="1">
        <v>42394</v>
      </c>
      <c r="D506">
        <v>6.5792999999999999</v>
      </c>
      <c r="E506" s="1">
        <v>42394</v>
      </c>
      <c r="F506">
        <v>6.5792999999999999</v>
      </c>
    </row>
    <row r="507" spans="1:6" x14ac:dyDescent="0.25">
      <c r="A507" s="1">
        <v>42348</v>
      </c>
      <c r="B507">
        <v>6.4981</v>
      </c>
      <c r="C507" s="1">
        <v>42395</v>
      </c>
      <c r="D507">
        <v>6.5826000000000002</v>
      </c>
      <c r="E507" s="1">
        <v>42395</v>
      </c>
      <c r="F507">
        <v>6.5826000000000002</v>
      </c>
    </row>
    <row r="508" spans="1:6" x14ac:dyDescent="0.25">
      <c r="A508" s="1">
        <v>42349</v>
      </c>
      <c r="B508">
        <v>6.5323000000000002</v>
      </c>
      <c r="C508" s="1">
        <v>42396</v>
      </c>
      <c r="D508">
        <v>6.5780000000000003</v>
      </c>
      <c r="E508" s="1">
        <v>42396</v>
      </c>
      <c r="F508">
        <v>6.5780000000000003</v>
      </c>
    </row>
    <row r="509" spans="1:6" x14ac:dyDescent="0.25">
      <c r="A509" s="1">
        <v>42352</v>
      </c>
      <c r="B509">
        <v>6.5552000000000001</v>
      </c>
      <c r="C509" s="1">
        <v>42397</v>
      </c>
      <c r="D509">
        <v>6.5753000000000004</v>
      </c>
      <c r="E509" s="1">
        <v>42397</v>
      </c>
      <c r="F509">
        <v>6.5753000000000004</v>
      </c>
    </row>
    <row r="510" spans="1:6" x14ac:dyDescent="0.25">
      <c r="A510" s="1">
        <v>42353</v>
      </c>
      <c r="B510">
        <v>6.5399000000000003</v>
      </c>
      <c r="C510" s="1">
        <v>42398</v>
      </c>
      <c r="D510">
        <v>6.5759999999999996</v>
      </c>
      <c r="E510" s="1">
        <v>42398</v>
      </c>
      <c r="F510">
        <v>6.5759999999999996</v>
      </c>
    </row>
    <row r="511" spans="1:6" x14ac:dyDescent="0.25">
      <c r="A511" s="1">
        <v>42354</v>
      </c>
      <c r="B511">
        <v>6.5244</v>
      </c>
      <c r="C511" s="1">
        <v>42401</v>
      </c>
      <c r="D511">
        <v>6.5784000000000002</v>
      </c>
      <c r="E511" s="1">
        <v>42401</v>
      </c>
      <c r="F511">
        <v>6.5784000000000002</v>
      </c>
    </row>
    <row r="512" spans="1:6" x14ac:dyDescent="0.25">
      <c r="A512" s="1">
        <v>42355</v>
      </c>
      <c r="B512">
        <v>6.5689000000000002</v>
      </c>
      <c r="C512" s="1">
        <v>42402</v>
      </c>
      <c r="D512">
        <v>6.5797999999999996</v>
      </c>
      <c r="E512" s="1">
        <v>42402</v>
      </c>
      <c r="F512">
        <v>6.5797999999999996</v>
      </c>
    </row>
    <row r="513" spans="1:6" x14ac:dyDescent="0.25">
      <c r="A513" s="1">
        <v>42356</v>
      </c>
      <c r="B513">
        <v>6.5567000000000002</v>
      </c>
      <c r="C513" s="1">
        <v>42403</v>
      </c>
      <c r="D513">
        <v>6.577</v>
      </c>
      <c r="E513" s="1">
        <v>42403</v>
      </c>
      <c r="F513">
        <v>6.577</v>
      </c>
    </row>
    <row r="514" spans="1:6" x14ac:dyDescent="0.25">
      <c r="A514" s="1">
        <v>42359</v>
      </c>
      <c r="B514">
        <v>6.5528000000000004</v>
      </c>
      <c r="C514" s="1">
        <v>42404</v>
      </c>
      <c r="D514">
        <v>6.5696000000000003</v>
      </c>
      <c r="E514" s="1">
        <v>42404</v>
      </c>
      <c r="F514">
        <v>6.5696000000000003</v>
      </c>
    </row>
    <row r="515" spans="1:6" x14ac:dyDescent="0.25">
      <c r="A515" s="1">
        <v>42360</v>
      </c>
      <c r="B515">
        <v>6.5270999999999999</v>
      </c>
      <c r="C515" s="1">
        <v>42405</v>
      </c>
      <c r="D515">
        <v>6.5743</v>
      </c>
      <c r="E515" s="1">
        <v>42405</v>
      </c>
      <c r="F515">
        <v>6.5743</v>
      </c>
    </row>
    <row r="516" spans="1:6" x14ac:dyDescent="0.25">
      <c r="A516" s="1">
        <v>42361</v>
      </c>
      <c r="B516">
        <v>6.5454999999999997</v>
      </c>
      <c r="C516" s="1">
        <v>42415</v>
      </c>
      <c r="D516">
        <v>6.4962</v>
      </c>
      <c r="E516" s="1">
        <v>42415</v>
      </c>
      <c r="F516">
        <v>6.4962</v>
      </c>
    </row>
    <row r="517" spans="1:6" x14ac:dyDescent="0.25">
      <c r="A517" s="1">
        <v>42362</v>
      </c>
      <c r="B517">
        <v>6.5441000000000003</v>
      </c>
      <c r="C517" s="1">
        <v>42416</v>
      </c>
      <c r="D517">
        <v>6.5168999999999997</v>
      </c>
      <c r="E517" s="1">
        <v>42416</v>
      </c>
      <c r="F517">
        <v>6.5168999999999997</v>
      </c>
    </row>
    <row r="518" spans="1:6" x14ac:dyDescent="0.25">
      <c r="A518" s="1">
        <v>42363</v>
      </c>
      <c r="B518">
        <v>6.5423</v>
      </c>
      <c r="C518" s="1">
        <v>42417</v>
      </c>
      <c r="D518">
        <v>6.5285000000000002</v>
      </c>
      <c r="E518" s="1">
        <v>42417</v>
      </c>
      <c r="F518">
        <v>6.5285000000000002</v>
      </c>
    </row>
    <row r="519" spans="1:6" x14ac:dyDescent="0.25">
      <c r="A519" s="1">
        <v>42366</v>
      </c>
      <c r="B519">
        <v>6.5602999999999998</v>
      </c>
      <c r="C519" s="1">
        <v>42418</v>
      </c>
      <c r="D519">
        <v>6.5182000000000002</v>
      </c>
      <c r="E519" s="1">
        <v>42418</v>
      </c>
      <c r="F519">
        <v>6.5182000000000002</v>
      </c>
    </row>
    <row r="520" spans="1:6" x14ac:dyDescent="0.25">
      <c r="A520" s="1">
        <v>42367</v>
      </c>
      <c r="B520">
        <v>6.5773000000000001</v>
      </c>
      <c r="C520" s="1">
        <v>42419</v>
      </c>
      <c r="D520">
        <v>6.5223000000000004</v>
      </c>
      <c r="E520" s="1">
        <v>42419</v>
      </c>
      <c r="F520">
        <v>6.5223000000000004</v>
      </c>
    </row>
    <row r="521" spans="1:6" x14ac:dyDescent="0.25">
      <c r="A521" s="1">
        <v>42368</v>
      </c>
      <c r="B521">
        <v>6.5678000000000001</v>
      </c>
      <c r="C521" s="1">
        <v>42422</v>
      </c>
      <c r="D521">
        <v>6.5217999999999998</v>
      </c>
      <c r="E521" s="1">
        <v>42422</v>
      </c>
      <c r="F521">
        <v>6.5217999999999998</v>
      </c>
    </row>
    <row r="522" spans="1:6" x14ac:dyDescent="0.25">
      <c r="A522" s="1">
        <v>42369</v>
      </c>
      <c r="B522">
        <v>6.5686</v>
      </c>
      <c r="C522" s="1">
        <v>42423</v>
      </c>
      <c r="D522">
        <v>6.5271999999999997</v>
      </c>
      <c r="E522" s="1">
        <v>42423</v>
      </c>
      <c r="F522">
        <v>6.5271999999999997</v>
      </c>
    </row>
    <row r="523" spans="1:6" x14ac:dyDescent="0.25">
      <c r="A523" s="1">
        <v>42370</v>
      </c>
      <c r="B523">
        <v>6.5697000000000001</v>
      </c>
      <c r="C523" s="1">
        <v>42424</v>
      </c>
      <c r="D523">
        <v>6.5316999999999998</v>
      </c>
      <c r="E523" s="1">
        <v>42424</v>
      </c>
      <c r="F523">
        <v>6.5316999999999998</v>
      </c>
    </row>
    <row r="524" spans="1:6" x14ac:dyDescent="0.25">
      <c r="A524" s="1">
        <v>42373</v>
      </c>
      <c r="B524">
        <v>6.6300999999999997</v>
      </c>
      <c r="C524" s="1">
        <v>42425</v>
      </c>
      <c r="D524">
        <v>6.5335000000000001</v>
      </c>
      <c r="E524" s="1">
        <v>42425</v>
      </c>
      <c r="F524">
        <v>6.5335000000000001</v>
      </c>
    </row>
    <row r="525" spans="1:6" x14ac:dyDescent="0.25">
      <c r="A525" s="1">
        <v>42374</v>
      </c>
      <c r="B525">
        <v>6.6448999999999998</v>
      </c>
      <c r="C525" s="1">
        <v>42426</v>
      </c>
      <c r="D525">
        <v>6.5404</v>
      </c>
      <c r="E525" s="1">
        <v>42426</v>
      </c>
      <c r="F525">
        <v>6.5404</v>
      </c>
    </row>
    <row r="526" spans="1:6" x14ac:dyDescent="0.25">
      <c r="A526" s="1">
        <v>42375</v>
      </c>
      <c r="B526">
        <v>6.6963999999999997</v>
      </c>
      <c r="C526" s="1">
        <v>42429</v>
      </c>
      <c r="D526">
        <v>6.5519999999999996</v>
      </c>
      <c r="E526" s="1">
        <v>42429</v>
      </c>
      <c r="F526">
        <v>6.5519999999999996</v>
      </c>
    </row>
    <row r="527" spans="1:6" x14ac:dyDescent="0.25">
      <c r="A527" s="1">
        <v>42376</v>
      </c>
      <c r="B527">
        <v>6.6822999999999997</v>
      </c>
      <c r="C527" s="1">
        <v>42430</v>
      </c>
      <c r="D527">
        <v>6.5521000000000003</v>
      </c>
      <c r="E527" s="1">
        <v>42430</v>
      </c>
      <c r="F527">
        <v>6.5521000000000003</v>
      </c>
    </row>
    <row r="528" spans="1:6" x14ac:dyDescent="0.25">
      <c r="A528" s="1">
        <v>42377</v>
      </c>
      <c r="B528">
        <v>6.6830999999999996</v>
      </c>
      <c r="C528" s="1">
        <v>42431</v>
      </c>
      <c r="D528">
        <v>6.5510000000000002</v>
      </c>
      <c r="E528" s="1">
        <v>42431</v>
      </c>
      <c r="F528">
        <v>6.5510000000000002</v>
      </c>
    </row>
    <row r="529" spans="1:6" x14ac:dyDescent="0.25">
      <c r="A529" s="1">
        <v>42380</v>
      </c>
      <c r="B529">
        <v>6.5854999999999997</v>
      </c>
      <c r="C529" s="1">
        <v>42432</v>
      </c>
      <c r="D529">
        <v>6.5347</v>
      </c>
      <c r="E529" s="1">
        <v>42432</v>
      </c>
      <c r="F529">
        <v>6.5347</v>
      </c>
    </row>
    <row r="530" spans="1:6" x14ac:dyDescent="0.25">
      <c r="A530" s="1">
        <v>42381</v>
      </c>
      <c r="B530">
        <v>6.5780000000000003</v>
      </c>
      <c r="C530" s="1">
        <v>42433</v>
      </c>
      <c r="D530">
        <v>6.508</v>
      </c>
      <c r="E530" s="1">
        <v>42433</v>
      </c>
      <c r="F530">
        <v>6.508</v>
      </c>
    </row>
    <row r="531" spans="1:6" x14ac:dyDescent="0.25">
      <c r="A531" s="1">
        <v>42382</v>
      </c>
      <c r="B531">
        <v>6.5671999999999997</v>
      </c>
      <c r="C531" s="1">
        <v>42436</v>
      </c>
      <c r="D531">
        <v>6.5167999999999999</v>
      </c>
      <c r="E531" s="1">
        <v>42436</v>
      </c>
      <c r="F531">
        <v>6.5167999999999999</v>
      </c>
    </row>
    <row r="532" spans="1:6" x14ac:dyDescent="0.25">
      <c r="A532" s="1">
        <v>42383</v>
      </c>
      <c r="B532">
        <v>6.6021000000000001</v>
      </c>
      <c r="C532" s="1">
        <v>42437</v>
      </c>
      <c r="D532">
        <v>6.5046999999999997</v>
      </c>
      <c r="E532" s="1">
        <v>42437</v>
      </c>
      <c r="F532">
        <v>6.5046999999999997</v>
      </c>
    </row>
    <row r="533" spans="1:6" x14ac:dyDescent="0.25">
      <c r="A533" s="1">
        <v>42384</v>
      </c>
      <c r="B533">
        <v>6.6139000000000001</v>
      </c>
      <c r="C533" s="1">
        <v>42438</v>
      </c>
      <c r="D533">
        <v>6.5129999999999999</v>
      </c>
      <c r="E533" s="1">
        <v>42438</v>
      </c>
      <c r="F533">
        <v>6.5129999999999999</v>
      </c>
    </row>
    <row r="534" spans="1:6" x14ac:dyDescent="0.25">
      <c r="A534" s="1">
        <v>42387</v>
      </c>
      <c r="B534">
        <v>6.5848000000000004</v>
      </c>
      <c r="C534" s="1">
        <v>42439</v>
      </c>
      <c r="D534">
        <v>6.5084999999999997</v>
      </c>
      <c r="E534" s="1">
        <v>42439</v>
      </c>
      <c r="F534">
        <v>6.5084999999999997</v>
      </c>
    </row>
    <row r="535" spans="1:6" x14ac:dyDescent="0.25">
      <c r="A535" s="1">
        <v>42388</v>
      </c>
      <c r="B535">
        <v>6.5906000000000002</v>
      </c>
      <c r="C535" s="1">
        <v>42440</v>
      </c>
      <c r="D535">
        <v>6.4945000000000004</v>
      </c>
      <c r="E535" s="1">
        <v>42440</v>
      </c>
      <c r="F535">
        <v>6.4945000000000004</v>
      </c>
    </row>
    <row r="536" spans="1:6" x14ac:dyDescent="0.25">
      <c r="A536" s="1">
        <v>42389</v>
      </c>
      <c r="B536">
        <v>6.6032000000000002</v>
      </c>
      <c r="C536" s="1">
        <v>42443</v>
      </c>
      <c r="D536">
        <v>6.5</v>
      </c>
      <c r="E536" s="1">
        <v>42443</v>
      </c>
      <c r="F536">
        <v>6.5</v>
      </c>
    </row>
    <row r="537" spans="1:6" x14ac:dyDescent="0.25">
      <c r="A537" s="1">
        <v>42390</v>
      </c>
      <c r="B537">
        <v>6.6033999999999997</v>
      </c>
      <c r="C537" s="1">
        <v>42444</v>
      </c>
      <c r="D537">
        <v>6.5145</v>
      </c>
      <c r="E537" s="1">
        <v>42444</v>
      </c>
      <c r="F537">
        <v>6.5145</v>
      </c>
    </row>
    <row r="538" spans="1:6" x14ac:dyDescent="0.25">
      <c r="A538" s="1">
        <v>42391</v>
      </c>
      <c r="B538">
        <v>6.6135999999999999</v>
      </c>
      <c r="C538" s="1">
        <v>42445</v>
      </c>
      <c r="D538">
        <v>6.5220000000000002</v>
      </c>
      <c r="E538" s="1">
        <v>42445</v>
      </c>
      <c r="F538">
        <v>6.5220000000000002</v>
      </c>
    </row>
    <row r="539" spans="1:6" x14ac:dyDescent="0.25">
      <c r="A539" s="1">
        <v>42394</v>
      </c>
      <c r="B539">
        <v>6.6094999999999997</v>
      </c>
      <c r="C539" s="1">
        <v>42446</v>
      </c>
      <c r="D539">
        <v>6.4772999999999996</v>
      </c>
      <c r="E539" s="1">
        <v>42446</v>
      </c>
      <c r="F539">
        <v>6.4772999999999996</v>
      </c>
    </row>
    <row r="540" spans="1:6" x14ac:dyDescent="0.25">
      <c r="A540" s="1">
        <v>42395</v>
      </c>
      <c r="B540">
        <v>6.6119000000000003</v>
      </c>
      <c r="C540" s="1">
        <v>42447</v>
      </c>
      <c r="D540">
        <v>6.4715999999999996</v>
      </c>
      <c r="E540" s="1">
        <v>42447</v>
      </c>
      <c r="F540">
        <v>6.4715999999999996</v>
      </c>
    </row>
    <row r="541" spans="1:6" x14ac:dyDescent="0.25">
      <c r="A541" s="1">
        <v>42396</v>
      </c>
      <c r="B541">
        <v>6.6177999999999999</v>
      </c>
      <c r="C541" s="1">
        <v>42450</v>
      </c>
      <c r="D541">
        <v>6.4844999999999997</v>
      </c>
      <c r="E541" s="1">
        <v>42450</v>
      </c>
      <c r="F541">
        <v>6.4844999999999997</v>
      </c>
    </row>
    <row r="542" spans="1:6" x14ac:dyDescent="0.25">
      <c r="A542" s="1">
        <v>42397</v>
      </c>
      <c r="B542">
        <v>6.6150000000000002</v>
      </c>
      <c r="C542" s="1">
        <v>42451</v>
      </c>
      <c r="D542">
        <v>6.4901999999999997</v>
      </c>
      <c r="E542" s="1">
        <v>42451</v>
      </c>
      <c r="F542">
        <v>6.4901999999999997</v>
      </c>
    </row>
    <row r="543" spans="1:6" x14ac:dyDescent="0.25">
      <c r="A543" s="1">
        <v>42398</v>
      </c>
      <c r="B543">
        <v>6.5936000000000003</v>
      </c>
      <c r="C543" s="1">
        <v>42452</v>
      </c>
      <c r="D543">
        <v>6.5065999999999997</v>
      </c>
      <c r="E543" s="1">
        <v>42452</v>
      </c>
      <c r="F543">
        <v>6.5065999999999997</v>
      </c>
    </row>
    <row r="544" spans="1:6" x14ac:dyDescent="0.25">
      <c r="A544" s="1">
        <v>42401</v>
      </c>
      <c r="B544">
        <v>6.6203000000000003</v>
      </c>
      <c r="C544" s="1">
        <v>42453</v>
      </c>
      <c r="D544">
        <v>6.5147000000000004</v>
      </c>
      <c r="E544" s="1">
        <v>42453</v>
      </c>
      <c r="F544">
        <v>6.5147000000000004</v>
      </c>
    </row>
    <row r="545" spans="1:6" x14ac:dyDescent="0.25">
      <c r="A545" s="1">
        <v>42402</v>
      </c>
      <c r="B545">
        <v>6.6276000000000002</v>
      </c>
      <c r="C545" s="1">
        <v>42454</v>
      </c>
      <c r="D545">
        <v>6.516</v>
      </c>
      <c r="E545" s="1">
        <v>42454</v>
      </c>
      <c r="F545">
        <v>6.516</v>
      </c>
    </row>
    <row r="546" spans="1:6" x14ac:dyDescent="0.25">
      <c r="A546" s="1">
        <v>42403</v>
      </c>
      <c r="B546">
        <v>6.6105999999999998</v>
      </c>
      <c r="C546" s="1">
        <v>42457</v>
      </c>
      <c r="D546">
        <v>6.5075000000000003</v>
      </c>
      <c r="E546" s="1">
        <v>42457</v>
      </c>
      <c r="F546">
        <v>6.5075000000000003</v>
      </c>
    </row>
    <row r="547" spans="1:6" x14ac:dyDescent="0.25">
      <c r="A547" s="1">
        <v>42404</v>
      </c>
      <c r="B547">
        <v>6.5755999999999997</v>
      </c>
      <c r="C547" s="1">
        <v>42458</v>
      </c>
      <c r="D547">
        <v>6.5077999999999996</v>
      </c>
      <c r="E547" s="1">
        <v>42458</v>
      </c>
      <c r="F547">
        <v>6.5077999999999996</v>
      </c>
    </row>
    <row r="548" spans="1:6" x14ac:dyDescent="0.25">
      <c r="A548" s="1">
        <v>42405</v>
      </c>
      <c r="B548">
        <v>6.5671999999999997</v>
      </c>
      <c r="C548" s="1">
        <v>42459</v>
      </c>
      <c r="D548">
        <v>6.4683000000000002</v>
      </c>
      <c r="E548" s="1">
        <v>42459</v>
      </c>
      <c r="F548">
        <v>6.4683000000000002</v>
      </c>
    </row>
    <row r="549" spans="1:6" x14ac:dyDescent="0.25">
      <c r="A549" s="1">
        <v>42408</v>
      </c>
      <c r="B549">
        <v>6.5727000000000002</v>
      </c>
      <c r="C549" s="1">
        <v>42460</v>
      </c>
      <c r="D549">
        <v>6.4535999999999998</v>
      </c>
      <c r="E549" s="1">
        <v>42460</v>
      </c>
      <c r="F549">
        <v>6.4535999999999998</v>
      </c>
    </row>
    <row r="550" spans="1:6" x14ac:dyDescent="0.25">
      <c r="A550" s="1">
        <v>42409</v>
      </c>
      <c r="B550">
        <v>6.5655000000000001</v>
      </c>
      <c r="C550" s="1">
        <v>42461</v>
      </c>
      <c r="D550">
        <v>6.4817999999999998</v>
      </c>
      <c r="E550" s="1">
        <v>42461</v>
      </c>
      <c r="F550">
        <v>6.4817999999999998</v>
      </c>
    </row>
    <row r="551" spans="1:6" x14ac:dyDescent="0.25">
      <c r="A551" s="1">
        <v>42410</v>
      </c>
      <c r="B551">
        <v>6.5460000000000003</v>
      </c>
      <c r="C551" s="1">
        <v>42465</v>
      </c>
      <c r="D551">
        <v>6.4771000000000001</v>
      </c>
      <c r="E551" s="1">
        <v>42465</v>
      </c>
      <c r="F551">
        <v>6.4771000000000001</v>
      </c>
    </row>
    <row r="552" spans="1:6" x14ac:dyDescent="0.25">
      <c r="A552" s="1">
        <v>42411</v>
      </c>
      <c r="B552">
        <v>6.5294999999999996</v>
      </c>
      <c r="C552" s="1">
        <v>42466</v>
      </c>
      <c r="D552">
        <v>6.4809000000000001</v>
      </c>
      <c r="E552" s="1">
        <v>42466</v>
      </c>
      <c r="F552">
        <v>6.4809000000000001</v>
      </c>
    </row>
    <row r="553" spans="1:6" x14ac:dyDescent="0.25">
      <c r="A553" s="1">
        <v>42412</v>
      </c>
      <c r="B553">
        <v>6.5084</v>
      </c>
      <c r="C553" s="1">
        <v>42467</v>
      </c>
      <c r="D553">
        <v>6.4625000000000004</v>
      </c>
      <c r="E553" s="1">
        <v>42467</v>
      </c>
      <c r="F553">
        <v>6.4625000000000004</v>
      </c>
    </row>
    <row r="554" spans="1:6" x14ac:dyDescent="0.25">
      <c r="A554" s="1">
        <v>42415</v>
      </c>
      <c r="B554">
        <v>6.5</v>
      </c>
      <c r="C554" s="1">
        <v>42468</v>
      </c>
      <c r="D554">
        <v>6.4635999999999996</v>
      </c>
      <c r="E554" s="1">
        <v>42468</v>
      </c>
      <c r="F554">
        <v>6.4635999999999996</v>
      </c>
    </row>
    <row r="555" spans="1:6" x14ac:dyDescent="0.25">
      <c r="A555" s="1">
        <v>42416</v>
      </c>
      <c r="B555">
        <v>6.5191999999999997</v>
      </c>
      <c r="C555" s="1">
        <v>42471</v>
      </c>
      <c r="D555">
        <v>6.4592000000000001</v>
      </c>
      <c r="E555" s="1">
        <v>42471</v>
      </c>
      <c r="F555">
        <v>6.4592000000000001</v>
      </c>
    </row>
    <row r="556" spans="1:6" x14ac:dyDescent="0.25">
      <c r="A556" s="1">
        <v>42417</v>
      </c>
      <c r="B556">
        <v>6.5248999999999997</v>
      </c>
      <c r="C556" s="1">
        <v>42472</v>
      </c>
      <c r="D556">
        <v>6.4645000000000001</v>
      </c>
      <c r="E556" s="1">
        <v>42472</v>
      </c>
      <c r="F556">
        <v>6.4645000000000001</v>
      </c>
    </row>
    <row r="557" spans="1:6" x14ac:dyDescent="0.25">
      <c r="A557" s="1">
        <v>42418</v>
      </c>
      <c r="B557">
        <v>6.5228000000000002</v>
      </c>
      <c r="C557" s="1">
        <v>42473</v>
      </c>
      <c r="D557">
        <v>6.4783999999999997</v>
      </c>
      <c r="E557" s="1">
        <v>42473</v>
      </c>
      <c r="F557">
        <v>6.4783999999999997</v>
      </c>
    </row>
    <row r="558" spans="1:6" x14ac:dyDescent="0.25">
      <c r="A558" s="1">
        <v>42419</v>
      </c>
      <c r="B558">
        <v>6.5244</v>
      </c>
      <c r="C558" s="1">
        <v>42474</v>
      </c>
      <c r="D558">
        <v>6.4825999999999997</v>
      </c>
      <c r="E558" s="1">
        <v>42474</v>
      </c>
      <c r="F558">
        <v>6.4825999999999997</v>
      </c>
    </row>
    <row r="559" spans="1:6" x14ac:dyDescent="0.25">
      <c r="A559" s="1">
        <v>42422</v>
      </c>
      <c r="B559">
        <v>6.5282</v>
      </c>
      <c r="C559" s="1">
        <v>42475</v>
      </c>
      <c r="D559">
        <v>6.4755000000000003</v>
      </c>
      <c r="E559" s="1">
        <v>42475</v>
      </c>
      <c r="F559">
        <v>6.4755000000000003</v>
      </c>
    </row>
    <row r="560" spans="1:6" x14ac:dyDescent="0.25">
      <c r="A560" s="1">
        <v>42423</v>
      </c>
      <c r="B560">
        <v>6.5335999999999999</v>
      </c>
      <c r="C560" s="1">
        <v>42478</v>
      </c>
      <c r="D560">
        <v>6.4752000000000001</v>
      </c>
      <c r="E560" s="1">
        <v>42478</v>
      </c>
      <c r="F560">
        <v>6.4752000000000001</v>
      </c>
    </row>
    <row r="561" spans="1:6" x14ac:dyDescent="0.25">
      <c r="A561" s="1">
        <v>42424</v>
      </c>
      <c r="B561">
        <v>6.5350000000000001</v>
      </c>
      <c r="C561" s="1">
        <v>42479</v>
      </c>
      <c r="D561">
        <v>6.46</v>
      </c>
      <c r="E561" s="1">
        <v>42479</v>
      </c>
      <c r="F561">
        <v>6.46</v>
      </c>
    </row>
    <row r="562" spans="1:6" x14ac:dyDescent="0.25">
      <c r="A562" s="1">
        <v>42425</v>
      </c>
      <c r="B562">
        <v>6.5351999999999997</v>
      </c>
      <c r="C562" s="1">
        <v>42480</v>
      </c>
      <c r="D562">
        <v>6.4683999999999999</v>
      </c>
      <c r="E562" s="1">
        <v>42480</v>
      </c>
      <c r="F562">
        <v>6.4683999999999999</v>
      </c>
    </row>
    <row r="563" spans="1:6" x14ac:dyDescent="0.25">
      <c r="A563" s="1">
        <v>42426</v>
      </c>
      <c r="B563">
        <v>6.5461999999999998</v>
      </c>
      <c r="C563" s="1">
        <v>42481</v>
      </c>
      <c r="D563">
        <v>6.4823000000000004</v>
      </c>
      <c r="E563" s="1">
        <v>42481</v>
      </c>
      <c r="F563">
        <v>6.4823000000000004</v>
      </c>
    </row>
    <row r="564" spans="1:6" x14ac:dyDescent="0.25">
      <c r="A564" s="1">
        <v>42429</v>
      </c>
      <c r="B564">
        <v>6.5521000000000003</v>
      </c>
      <c r="C564" s="1">
        <v>42482</v>
      </c>
      <c r="D564">
        <v>6.4995000000000003</v>
      </c>
      <c r="E564" s="1">
        <v>42482</v>
      </c>
      <c r="F564">
        <v>6.4995000000000003</v>
      </c>
    </row>
    <row r="565" spans="1:6" x14ac:dyDescent="0.25">
      <c r="A565" s="1">
        <v>42430</v>
      </c>
      <c r="B565">
        <v>6.5484999999999998</v>
      </c>
      <c r="C565" s="1">
        <v>42485</v>
      </c>
      <c r="D565">
        <v>6.4927999999999999</v>
      </c>
      <c r="E565" s="1">
        <v>42485</v>
      </c>
      <c r="F565">
        <v>6.4927999999999999</v>
      </c>
    </row>
    <row r="566" spans="1:6" x14ac:dyDescent="0.25">
      <c r="A566" s="1">
        <v>42431</v>
      </c>
      <c r="B566">
        <v>6.5468000000000002</v>
      </c>
      <c r="C566" s="1">
        <v>42486</v>
      </c>
      <c r="D566">
        <v>6.4935</v>
      </c>
      <c r="E566" s="1">
        <v>42486</v>
      </c>
      <c r="F566">
        <v>6.4935</v>
      </c>
    </row>
    <row r="567" spans="1:6" x14ac:dyDescent="0.25">
      <c r="A567" s="1">
        <v>42432</v>
      </c>
      <c r="B567">
        <v>6.5223000000000004</v>
      </c>
      <c r="C567" s="1">
        <v>42487</v>
      </c>
      <c r="D567">
        <v>6.4980000000000002</v>
      </c>
      <c r="E567" s="1">
        <v>42487</v>
      </c>
      <c r="F567">
        <v>6.4980000000000002</v>
      </c>
    </row>
    <row r="568" spans="1:6" x14ac:dyDescent="0.25">
      <c r="A568" s="1">
        <v>42433</v>
      </c>
      <c r="B568">
        <v>6.5027999999999997</v>
      </c>
      <c r="C568" s="1">
        <v>42488</v>
      </c>
      <c r="D568">
        <v>6.4759000000000002</v>
      </c>
      <c r="E568" s="1">
        <v>42488</v>
      </c>
      <c r="F568">
        <v>6.4759000000000002</v>
      </c>
    </row>
    <row r="569" spans="1:6" x14ac:dyDescent="0.25">
      <c r="A569" s="1">
        <v>42436</v>
      </c>
      <c r="B569">
        <v>6.5098000000000003</v>
      </c>
      <c r="C569" s="1">
        <v>42489</v>
      </c>
      <c r="D569">
        <v>6.4779999999999998</v>
      </c>
      <c r="E569" s="1">
        <v>42489</v>
      </c>
      <c r="F569">
        <v>6.4779999999999998</v>
      </c>
    </row>
    <row r="570" spans="1:6" x14ac:dyDescent="0.25">
      <c r="A570" s="1">
        <v>42437</v>
      </c>
      <c r="B570">
        <v>6.5083000000000002</v>
      </c>
      <c r="C570" s="1">
        <v>42493</v>
      </c>
      <c r="D570">
        <v>6.4945000000000004</v>
      </c>
      <c r="E570" s="1">
        <v>42493</v>
      </c>
      <c r="F570">
        <v>6.4945000000000004</v>
      </c>
    </row>
    <row r="571" spans="1:6" x14ac:dyDescent="0.25">
      <c r="A571" s="1">
        <v>42438</v>
      </c>
      <c r="B571">
        <v>6.5118999999999998</v>
      </c>
      <c r="C571" s="1">
        <v>42494</v>
      </c>
      <c r="D571">
        <v>6.5101000000000004</v>
      </c>
      <c r="E571" s="1">
        <v>42494</v>
      </c>
      <c r="F571">
        <v>6.5101000000000004</v>
      </c>
    </row>
    <row r="572" spans="1:6" x14ac:dyDescent="0.25">
      <c r="A572" s="1">
        <v>42439</v>
      </c>
      <c r="B572">
        <v>6.5048000000000004</v>
      </c>
      <c r="C572" s="1">
        <v>42495</v>
      </c>
      <c r="D572">
        <v>6.5102000000000002</v>
      </c>
      <c r="E572" s="1">
        <v>42495</v>
      </c>
      <c r="F572">
        <v>6.5102000000000002</v>
      </c>
    </row>
    <row r="573" spans="1:6" x14ac:dyDescent="0.25">
      <c r="A573" s="1">
        <v>42440</v>
      </c>
      <c r="B573">
        <v>6.4819000000000004</v>
      </c>
      <c r="C573" s="1">
        <v>42496</v>
      </c>
      <c r="D573">
        <v>6.4960000000000004</v>
      </c>
      <c r="E573" s="1">
        <v>42496</v>
      </c>
      <c r="F573">
        <v>6.4960000000000004</v>
      </c>
    </row>
    <row r="574" spans="1:6" x14ac:dyDescent="0.25">
      <c r="A574" s="1">
        <v>42443</v>
      </c>
      <c r="B574">
        <v>6.4939</v>
      </c>
      <c r="C574" s="1">
        <v>42499</v>
      </c>
      <c r="D574">
        <v>6.5168999999999997</v>
      </c>
      <c r="E574" s="1">
        <v>42499</v>
      </c>
      <c r="F574">
        <v>6.5168999999999997</v>
      </c>
    </row>
    <row r="575" spans="1:6" x14ac:dyDescent="0.25">
      <c r="A575" s="1">
        <v>42444</v>
      </c>
      <c r="B575">
        <v>6.5118</v>
      </c>
      <c r="C575" s="1">
        <v>42500</v>
      </c>
      <c r="D575">
        <v>6.5208000000000004</v>
      </c>
      <c r="E575" s="1">
        <v>42500</v>
      </c>
      <c r="F575">
        <v>6.5208000000000004</v>
      </c>
    </row>
    <row r="576" spans="1:6" x14ac:dyDescent="0.25">
      <c r="A576" s="1">
        <v>42445</v>
      </c>
      <c r="B576">
        <v>6.4852999999999996</v>
      </c>
      <c r="C576" s="1">
        <v>42501</v>
      </c>
      <c r="D576">
        <v>6.4984999999999999</v>
      </c>
      <c r="E576" s="1">
        <v>42501</v>
      </c>
      <c r="F576">
        <v>6.4984999999999999</v>
      </c>
    </row>
    <row r="577" spans="1:6" x14ac:dyDescent="0.25">
      <c r="A577" s="1">
        <v>42446</v>
      </c>
      <c r="B577">
        <v>6.4561000000000002</v>
      </c>
      <c r="C577" s="1">
        <v>42502</v>
      </c>
      <c r="D577">
        <v>6.5167000000000002</v>
      </c>
      <c r="E577" s="1">
        <v>42502</v>
      </c>
      <c r="F577">
        <v>6.5167000000000002</v>
      </c>
    </row>
    <row r="578" spans="1:6" x14ac:dyDescent="0.25">
      <c r="A578" s="1">
        <v>42447</v>
      </c>
      <c r="B578">
        <v>6.4645000000000001</v>
      </c>
      <c r="C578" s="1">
        <v>42503</v>
      </c>
      <c r="D578">
        <v>6.532</v>
      </c>
      <c r="E578" s="1">
        <v>42503</v>
      </c>
      <c r="F578">
        <v>6.532</v>
      </c>
    </row>
    <row r="579" spans="1:6" x14ac:dyDescent="0.25">
      <c r="A579" s="1">
        <v>42450</v>
      </c>
      <c r="B579">
        <v>6.4854000000000003</v>
      </c>
      <c r="C579" s="1">
        <v>42506</v>
      </c>
      <c r="D579">
        <v>6.5205000000000002</v>
      </c>
      <c r="E579" s="1">
        <v>42506</v>
      </c>
      <c r="F579">
        <v>6.5205000000000002</v>
      </c>
    </row>
    <row r="580" spans="1:6" x14ac:dyDescent="0.25">
      <c r="A580" s="1">
        <v>42451</v>
      </c>
      <c r="B580">
        <v>6.4939</v>
      </c>
      <c r="C580" s="1">
        <v>42507</v>
      </c>
      <c r="D580">
        <v>6.5204000000000004</v>
      </c>
      <c r="E580" s="1">
        <v>42507</v>
      </c>
      <c r="F580">
        <v>6.5204000000000004</v>
      </c>
    </row>
    <row r="581" spans="1:6" x14ac:dyDescent="0.25">
      <c r="A581" s="1">
        <v>42452</v>
      </c>
      <c r="B581">
        <v>6.5071000000000003</v>
      </c>
      <c r="C581" s="1">
        <v>42508</v>
      </c>
      <c r="D581">
        <v>6.5385999999999997</v>
      </c>
      <c r="E581" s="1">
        <v>42508</v>
      </c>
      <c r="F581">
        <v>6.5385999999999997</v>
      </c>
    </row>
    <row r="582" spans="1:6" x14ac:dyDescent="0.25">
      <c r="A582" s="1">
        <v>42453</v>
      </c>
      <c r="B582">
        <v>6.5232000000000001</v>
      </c>
      <c r="C582" s="1">
        <v>42509</v>
      </c>
      <c r="D582">
        <v>6.5495000000000001</v>
      </c>
      <c r="E582" s="1">
        <v>42509</v>
      </c>
      <c r="F582">
        <v>6.5495000000000001</v>
      </c>
    </row>
    <row r="583" spans="1:6" x14ac:dyDescent="0.25">
      <c r="A583" s="1">
        <v>42454</v>
      </c>
      <c r="B583">
        <v>6.5258000000000003</v>
      </c>
      <c r="C583" s="1">
        <v>42510</v>
      </c>
      <c r="D583">
        <v>6.5490000000000004</v>
      </c>
      <c r="E583" s="1">
        <v>42510</v>
      </c>
      <c r="F583">
        <v>6.5490000000000004</v>
      </c>
    </row>
    <row r="584" spans="1:6" x14ac:dyDescent="0.25">
      <c r="A584" s="1">
        <v>42457</v>
      </c>
      <c r="B584">
        <v>6.5175000000000001</v>
      </c>
      <c r="C584" s="1">
        <v>42513</v>
      </c>
      <c r="D584">
        <v>6.5556999999999999</v>
      </c>
      <c r="E584" s="1">
        <v>42513</v>
      </c>
      <c r="F584">
        <v>6.5556999999999999</v>
      </c>
    </row>
    <row r="585" spans="1:6" x14ac:dyDescent="0.25">
      <c r="A585" s="1">
        <v>42458</v>
      </c>
      <c r="B585">
        <v>6.4928999999999997</v>
      </c>
      <c r="C585" s="1">
        <v>42514</v>
      </c>
      <c r="D585">
        <v>6.5571000000000002</v>
      </c>
      <c r="E585" s="1">
        <v>42514</v>
      </c>
      <c r="F585">
        <v>6.5571000000000002</v>
      </c>
    </row>
    <row r="586" spans="1:6" x14ac:dyDescent="0.25">
      <c r="A586" s="1">
        <v>42459</v>
      </c>
      <c r="B586">
        <v>6.4766000000000004</v>
      </c>
      <c r="C586" s="1">
        <v>42515</v>
      </c>
      <c r="D586">
        <v>6.5579999999999998</v>
      </c>
      <c r="E586" s="1">
        <v>42515</v>
      </c>
      <c r="F586">
        <v>6.5579999999999998</v>
      </c>
    </row>
    <row r="587" spans="1:6" x14ac:dyDescent="0.25">
      <c r="A587" s="1">
        <v>42460</v>
      </c>
      <c r="B587">
        <v>6.4638999999999998</v>
      </c>
      <c r="C587" s="1">
        <v>42516</v>
      </c>
      <c r="D587">
        <v>6.5585000000000004</v>
      </c>
      <c r="E587" s="1">
        <v>42516</v>
      </c>
      <c r="F587">
        <v>6.5585000000000004</v>
      </c>
    </row>
    <row r="588" spans="1:6" x14ac:dyDescent="0.25">
      <c r="A588" s="1">
        <v>42461</v>
      </c>
      <c r="B588">
        <v>6.4714</v>
      </c>
      <c r="C588" s="1">
        <v>42517</v>
      </c>
      <c r="D588">
        <v>6.5655000000000001</v>
      </c>
      <c r="E588" s="1">
        <v>42517</v>
      </c>
      <c r="F588">
        <v>6.5655000000000001</v>
      </c>
    </row>
    <row r="589" spans="1:6" x14ac:dyDescent="0.25">
      <c r="A589" s="1">
        <v>42464</v>
      </c>
      <c r="B589">
        <v>6.4720000000000004</v>
      </c>
      <c r="C589" s="1">
        <v>42520</v>
      </c>
      <c r="D589">
        <v>6.5833000000000004</v>
      </c>
      <c r="E589" s="1">
        <v>42520</v>
      </c>
      <c r="F589">
        <v>6.5833000000000004</v>
      </c>
    </row>
    <row r="590" spans="1:6" x14ac:dyDescent="0.25">
      <c r="A590" s="1">
        <v>42465</v>
      </c>
      <c r="B590">
        <v>6.4854000000000003</v>
      </c>
      <c r="C590" s="1">
        <v>42521</v>
      </c>
      <c r="D590">
        <v>6.5853999999999999</v>
      </c>
      <c r="E590" s="1">
        <v>42521</v>
      </c>
      <c r="F590">
        <v>6.5853999999999999</v>
      </c>
    </row>
    <row r="591" spans="1:6" x14ac:dyDescent="0.25">
      <c r="A591" s="1">
        <v>42466</v>
      </c>
      <c r="B591">
        <v>6.4821999999999997</v>
      </c>
      <c r="C591" s="1">
        <v>42522</v>
      </c>
      <c r="D591">
        <v>6.58</v>
      </c>
      <c r="E591" s="1">
        <v>42522</v>
      </c>
      <c r="F591">
        <v>6.58</v>
      </c>
    </row>
    <row r="592" spans="1:6" x14ac:dyDescent="0.25">
      <c r="A592" s="1">
        <v>42467</v>
      </c>
      <c r="B592">
        <v>6.4865000000000004</v>
      </c>
      <c r="C592" s="1">
        <v>42523</v>
      </c>
      <c r="D592">
        <v>6.5845000000000002</v>
      </c>
      <c r="E592" s="1">
        <v>42523</v>
      </c>
      <c r="F592">
        <v>6.5845000000000002</v>
      </c>
    </row>
    <row r="593" spans="1:6" x14ac:dyDescent="0.25">
      <c r="A593" s="1">
        <v>42468</v>
      </c>
      <c r="B593">
        <v>6.4790000000000001</v>
      </c>
      <c r="C593" s="1">
        <v>42524</v>
      </c>
      <c r="D593">
        <v>6.5491999999999999</v>
      </c>
      <c r="E593" s="1">
        <v>42524</v>
      </c>
      <c r="F593">
        <v>6.5491999999999999</v>
      </c>
    </row>
    <row r="594" spans="1:6" x14ac:dyDescent="0.25">
      <c r="A594" s="1">
        <v>42471</v>
      </c>
      <c r="B594">
        <v>6.4691000000000001</v>
      </c>
      <c r="C594" s="1">
        <v>42527</v>
      </c>
      <c r="D594">
        <v>6.5636999999999999</v>
      </c>
      <c r="E594" s="1">
        <v>42527</v>
      </c>
      <c r="F594">
        <v>6.5636999999999999</v>
      </c>
    </row>
    <row r="595" spans="1:6" x14ac:dyDescent="0.25">
      <c r="A595" s="1">
        <v>42472</v>
      </c>
      <c r="B595">
        <v>6.4740000000000002</v>
      </c>
      <c r="C595" s="1">
        <v>42528</v>
      </c>
      <c r="D595">
        <v>6.5715000000000003</v>
      </c>
      <c r="E595" s="1">
        <v>42528</v>
      </c>
      <c r="F595">
        <v>6.5715000000000003</v>
      </c>
    </row>
    <row r="596" spans="1:6" x14ac:dyDescent="0.25">
      <c r="A596" s="1">
        <v>42473</v>
      </c>
      <c r="B596">
        <v>6.4847999999999999</v>
      </c>
      <c r="C596" s="1">
        <v>42529</v>
      </c>
      <c r="D596">
        <v>6.5624000000000002</v>
      </c>
      <c r="E596" s="1">
        <v>42529</v>
      </c>
      <c r="F596">
        <v>6.5624000000000002</v>
      </c>
    </row>
    <row r="597" spans="1:6" x14ac:dyDescent="0.25">
      <c r="A597" s="1">
        <v>42474</v>
      </c>
      <c r="B597">
        <v>6.4927999999999999</v>
      </c>
      <c r="C597" s="1">
        <v>42534</v>
      </c>
      <c r="D597">
        <v>6.5857000000000001</v>
      </c>
      <c r="E597" s="1">
        <v>42534</v>
      </c>
      <c r="F597">
        <v>6.5857000000000001</v>
      </c>
    </row>
    <row r="598" spans="1:6" x14ac:dyDescent="0.25">
      <c r="A598" s="1">
        <v>42475</v>
      </c>
      <c r="B598">
        <v>6.4859999999999998</v>
      </c>
      <c r="C598" s="1">
        <v>42535</v>
      </c>
      <c r="D598">
        <v>6.5970000000000004</v>
      </c>
      <c r="E598" s="1">
        <v>42535</v>
      </c>
      <c r="F598">
        <v>6.5970000000000004</v>
      </c>
    </row>
    <row r="599" spans="1:6" x14ac:dyDescent="0.25">
      <c r="A599" s="1">
        <v>42478</v>
      </c>
      <c r="B599">
        <v>6.4840999999999998</v>
      </c>
      <c r="C599" s="1">
        <v>42536</v>
      </c>
      <c r="D599">
        <v>6.5818000000000003</v>
      </c>
      <c r="E599" s="1">
        <v>42536</v>
      </c>
      <c r="F599">
        <v>6.5818000000000003</v>
      </c>
    </row>
    <row r="600" spans="1:6" x14ac:dyDescent="0.25">
      <c r="A600" s="1">
        <v>42479</v>
      </c>
      <c r="B600">
        <v>6.4686000000000003</v>
      </c>
      <c r="C600" s="1">
        <v>42537</v>
      </c>
      <c r="D600">
        <v>6.5914999999999999</v>
      </c>
      <c r="E600" s="1">
        <v>42537</v>
      </c>
      <c r="F600">
        <v>6.5914999999999999</v>
      </c>
    </row>
    <row r="601" spans="1:6" x14ac:dyDescent="0.25">
      <c r="A601" s="1">
        <v>42480</v>
      </c>
      <c r="B601">
        <v>6.4817</v>
      </c>
      <c r="C601" s="1">
        <v>42538</v>
      </c>
      <c r="D601">
        <v>6.5869999999999997</v>
      </c>
      <c r="E601" s="1">
        <v>42538</v>
      </c>
      <c r="F601">
        <v>6.5869999999999997</v>
      </c>
    </row>
    <row r="602" spans="1:6" x14ac:dyDescent="0.25">
      <c r="A602" s="1">
        <v>42481</v>
      </c>
      <c r="B602">
        <v>6.4877000000000002</v>
      </c>
      <c r="C602" s="1">
        <v>42541</v>
      </c>
      <c r="D602">
        <v>6.5819999999999999</v>
      </c>
      <c r="E602" s="1">
        <v>42541</v>
      </c>
      <c r="F602">
        <v>6.5819999999999999</v>
      </c>
    </row>
    <row r="603" spans="1:6" x14ac:dyDescent="0.25">
      <c r="A603" s="1">
        <v>42482</v>
      </c>
      <c r="B603">
        <v>6.5042999999999997</v>
      </c>
      <c r="C603" s="1">
        <v>42542</v>
      </c>
      <c r="D603">
        <v>6.5910000000000002</v>
      </c>
      <c r="E603" s="1">
        <v>42542</v>
      </c>
      <c r="F603">
        <v>6.5910000000000002</v>
      </c>
    </row>
    <row r="604" spans="1:6" x14ac:dyDescent="0.25">
      <c r="A604" s="1">
        <v>42485</v>
      </c>
      <c r="B604">
        <v>6.5061999999999998</v>
      </c>
      <c r="C604" s="1">
        <v>42543</v>
      </c>
      <c r="D604">
        <v>6.5784000000000002</v>
      </c>
      <c r="E604" s="1">
        <v>42543</v>
      </c>
      <c r="F604">
        <v>6.5784000000000002</v>
      </c>
    </row>
    <row r="605" spans="1:6" x14ac:dyDescent="0.25">
      <c r="A605" s="1">
        <v>42486</v>
      </c>
      <c r="B605">
        <v>6.5026999999999999</v>
      </c>
      <c r="C605" s="1">
        <v>42544</v>
      </c>
      <c r="D605">
        <v>6.5807000000000002</v>
      </c>
      <c r="E605" s="1">
        <v>42544</v>
      </c>
      <c r="F605">
        <v>6.5807000000000002</v>
      </c>
    </row>
    <row r="606" spans="1:6" x14ac:dyDescent="0.25">
      <c r="A606" s="1">
        <v>42487</v>
      </c>
      <c r="B606">
        <v>6.5045000000000002</v>
      </c>
      <c r="C606" s="1">
        <v>42545</v>
      </c>
      <c r="D606">
        <v>6.6218000000000004</v>
      </c>
      <c r="E606" s="1">
        <v>42545</v>
      </c>
      <c r="F606">
        <v>6.6218000000000004</v>
      </c>
    </row>
    <row r="607" spans="1:6" x14ac:dyDescent="0.25">
      <c r="A607" s="1">
        <v>42488</v>
      </c>
      <c r="B607">
        <v>6.4839000000000002</v>
      </c>
      <c r="C607" s="1">
        <v>42548</v>
      </c>
      <c r="D607">
        <v>6.6474000000000002</v>
      </c>
      <c r="E607" s="1">
        <v>42548</v>
      </c>
      <c r="F607">
        <v>6.6474000000000002</v>
      </c>
    </row>
    <row r="608" spans="1:6" x14ac:dyDescent="0.25">
      <c r="A608" s="1">
        <v>42489</v>
      </c>
      <c r="B608">
        <v>6.4869000000000003</v>
      </c>
      <c r="C608" s="1">
        <v>42549</v>
      </c>
      <c r="D608">
        <v>6.6481000000000003</v>
      </c>
      <c r="E608" s="1">
        <v>42549</v>
      </c>
      <c r="F608">
        <v>6.6481000000000003</v>
      </c>
    </row>
    <row r="609" spans="1:6" x14ac:dyDescent="0.25">
      <c r="A609" s="1">
        <v>42492</v>
      </c>
      <c r="B609">
        <v>6.4798</v>
      </c>
      <c r="C609" s="1">
        <v>42550</v>
      </c>
      <c r="D609">
        <v>6.6368</v>
      </c>
      <c r="E609" s="1">
        <v>42550</v>
      </c>
      <c r="F609">
        <v>6.6368</v>
      </c>
    </row>
    <row r="610" spans="1:6" x14ac:dyDescent="0.25">
      <c r="A610" s="1">
        <v>42493</v>
      </c>
      <c r="B610">
        <v>6.5035999999999996</v>
      </c>
      <c r="C610" s="1">
        <v>42551</v>
      </c>
      <c r="D610">
        <v>6.6479999999999997</v>
      </c>
      <c r="E610" s="1">
        <v>42551</v>
      </c>
      <c r="F610">
        <v>6.6479999999999997</v>
      </c>
    </row>
    <row r="611" spans="1:6" x14ac:dyDescent="0.25">
      <c r="A611" s="1">
        <v>42494</v>
      </c>
      <c r="B611">
        <v>6.5171000000000001</v>
      </c>
      <c r="C611" s="1">
        <v>42552</v>
      </c>
      <c r="D611">
        <v>6.6599000000000004</v>
      </c>
      <c r="E611" s="1">
        <v>42552</v>
      </c>
      <c r="F611">
        <v>6.6599000000000004</v>
      </c>
    </row>
    <row r="612" spans="1:6" x14ac:dyDescent="0.25">
      <c r="A612" s="1">
        <v>42495</v>
      </c>
      <c r="B612">
        <v>6.5194999999999999</v>
      </c>
      <c r="C612" s="1">
        <v>42555</v>
      </c>
      <c r="D612">
        <v>6.6653000000000002</v>
      </c>
      <c r="E612" s="1">
        <v>42555</v>
      </c>
      <c r="F612">
        <v>6.6653000000000002</v>
      </c>
    </row>
    <row r="613" spans="1:6" x14ac:dyDescent="0.25">
      <c r="A613" s="1">
        <v>42496</v>
      </c>
      <c r="B613">
        <v>6.5194000000000001</v>
      </c>
      <c r="C613" s="1">
        <v>42556</v>
      </c>
      <c r="D613">
        <v>6.6859999999999999</v>
      </c>
      <c r="E613" s="1">
        <v>42556</v>
      </c>
      <c r="F613">
        <v>6.6859999999999999</v>
      </c>
    </row>
    <row r="614" spans="1:6" x14ac:dyDescent="0.25">
      <c r="A614" s="1">
        <v>42499</v>
      </c>
      <c r="B614">
        <v>6.5411000000000001</v>
      </c>
      <c r="C614" s="1">
        <v>42557</v>
      </c>
      <c r="D614">
        <v>6.6886000000000001</v>
      </c>
      <c r="E614" s="1">
        <v>42557</v>
      </c>
      <c r="F614">
        <v>6.6886000000000001</v>
      </c>
    </row>
    <row r="615" spans="1:6" x14ac:dyDescent="0.25">
      <c r="A615" s="1">
        <v>42500</v>
      </c>
      <c r="B615">
        <v>6.5366999999999997</v>
      </c>
      <c r="C615" s="1">
        <v>42558</v>
      </c>
      <c r="D615">
        <v>6.6820000000000004</v>
      </c>
      <c r="E615" s="1">
        <v>42558</v>
      </c>
      <c r="F615">
        <v>6.6820000000000004</v>
      </c>
    </row>
    <row r="616" spans="1:6" x14ac:dyDescent="0.25">
      <c r="A616" s="1">
        <v>42501</v>
      </c>
      <c r="B616">
        <v>6.5278</v>
      </c>
      <c r="C616" s="1">
        <v>42559</v>
      </c>
      <c r="D616">
        <v>6.6908000000000003</v>
      </c>
      <c r="E616" s="1">
        <v>42559</v>
      </c>
      <c r="F616">
        <v>6.6908000000000003</v>
      </c>
    </row>
    <row r="617" spans="1:6" x14ac:dyDescent="0.25">
      <c r="A617" s="1">
        <v>42502</v>
      </c>
      <c r="B617">
        <v>6.5486000000000004</v>
      </c>
      <c r="C617" s="1">
        <v>42562</v>
      </c>
      <c r="D617">
        <v>6.6959999999999997</v>
      </c>
      <c r="E617" s="1">
        <v>42562</v>
      </c>
      <c r="F617">
        <v>6.6959999999999997</v>
      </c>
    </row>
    <row r="618" spans="1:6" x14ac:dyDescent="0.25">
      <c r="A618" s="1">
        <v>42503</v>
      </c>
      <c r="B618">
        <v>6.5560999999999998</v>
      </c>
      <c r="C618" s="1">
        <v>42563</v>
      </c>
      <c r="D618">
        <v>6.6885000000000003</v>
      </c>
      <c r="E618" s="1">
        <v>42563</v>
      </c>
      <c r="F618">
        <v>6.6885000000000003</v>
      </c>
    </row>
    <row r="619" spans="1:6" x14ac:dyDescent="0.25">
      <c r="A619" s="1">
        <v>42506</v>
      </c>
      <c r="B619">
        <v>6.5490000000000004</v>
      </c>
      <c r="C619" s="1">
        <v>42564</v>
      </c>
      <c r="D619">
        <v>6.6886999999999999</v>
      </c>
      <c r="E619" s="1">
        <v>42564</v>
      </c>
      <c r="F619">
        <v>6.6886999999999999</v>
      </c>
    </row>
    <row r="620" spans="1:6" x14ac:dyDescent="0.25">
      <c r="A620" s="1">
        <v>42507</v>
      </c>
      <c r="B620">
        <v>6.5475000000000003</v>
      </c>
      <c r="C620" s="1">
        <v>42565</v>
      </c>
      <c r="D620">
        <v>6.6835000000000004</v>
      </c>
      <c r="E620" s="1">
        <v>42565</v>
      </c>
      <c r="F620">
        <v>6.6835000000000004</v>
      </c>
    </row>
    <row r="621" spans="1:6" x14ac:dyDescent="0.25">
      <c r="A621" s="1">
        <v>42508</v>
      </c>
      <c r="B621">
        <v>6.5784000000000002</v>
      </c>
      <c r="C621" s="1">
        <v>42566</v>
      </c>
      <c r="D621">
        <v>6.6935000000000002</v>
      </c>
      <c r="E621" s="1">
        <v>42566</v>
      </c>
      <c r="F621">
        <v>6.6935000000000002</v>
      </c>
    </row>
    <row r="622" spans="1:6" x14ac:dyDescent="0.25">
      <c r="A622" s="1">
        <v>42509</v>
      </c>
      <c r="B622">
        <v>6.5627000000000004</v>
      </c>
      <c r="C622" s="1">
        <v>42569</v>
      </c>
      <c r="D622">
        <v>6.7045000000000003</v>
      </c>
      <c r="E622" s="1">
        <v>42569</v>
      </c>
      <c r="F622">
        <v>6.7045000000000003</v>
      </c>
    </row>
    <row r="623" spans="1:6" x14ac:dyDescent="0.25">
      <c r="A623" s="1">
        <v>42510</v>
      </c>
      <c r="B623">
        <v>6.5644999999999998</v>
      </c>
      <c r="C623" s="1">
        <v>42570</v>
      </c>
      <c r="D623">
        <v>6.6962999999999999</v>
      </c>
      <c r="E623" s="1">
        <v>42570</v>
      </c>
      <c r="F623">
        <v>6.6962999999999999</v>
      </c>
    </row>
    <row r="624" spans="1:6" x14ac:dyDescent="0.25">
      <c r="A624" s="1">
        <v>42513</v>
      </c>
      <c r="B624">
        <v>6.5617999999999999</v>
      </c>
      <c r="C624" s="1">
        <v>42571</v>
      </c>
      <c r="D624">
        <v>6.6778000000000004</v>
      </c>
      <c r="E624" s="1">
        <v>42571</v>
      </c>
      <c r="F624">
        <v>6.6778000000000004</v>
      </c>
    </row>
    <row r="625" spans="1:6" x14ac:dyDescent="0.25">
      <c r="A625" s="1">
        <v>42514</v>
      </c>
      <c r="B625">
        <v>6.5663</v>
      </c>
      <c r="C625" s="1">
        <v>42572</v>
      </c>
      <c r="D625">
        <v>6.6755000000000004</v>
      </c>
      <c r="E625" s="1">
        <v>42572</v>
      </c>
      <c r="F625">
        <v>6.6755000000000004</v>
      </c>
    </row>
    <row r="626" spans="1:6" x14ac:dyDescent="0.25">
      <c r="A626" s="1">
        <v>42515</v>
      </c>
      <c r="B626">
        <v>6.5654000000000003</v>
      </c>
      <c r="C626" s="1">
        <v>42573</v>
      </c>
      <c r="D626">
        <v>6.6795</v>
      </c>
      <c r="E626" s="1">
        <v>42573</v>
      </c>
      <c r="F626">
        <v>6.6795</v>
      </c>
    </row>
    <row r="627" spans="1:6" x14ac:dyDescent="0.25">
      <c r="A627" s="1">
        <v>42516</v>
      </c>
      <c r="B627">
        <v>6.5585000000000004</v>
      </c>
      <c r="C627" s="1">
        <v>42576</v>
      </c>
      <c r="D627">
        <v>6.6798999999999999</v>
      </c>
      <c r="E627" s="1">
        <v>42576</v>
      </c>
      <c r="F627">
        <v>6.6798999999999999</v>
      </c>
    </row>
    <row r="628" spans="1:6" x14ac:dyDescent="0.25">
      <c r="A628" s="1">
        <v>42517</v>
      </c>
      <c r="B628">
        <v>6.5762</v>
      </c>
      <c r="C628" s="1">
        <v>42577</v>
      </c>
      <c r="D628">
        <v>6.6719999999999997</v>
      </c>
      <c r="E628" s="1">
        <v>42577</v>
      </c>
      <c r="F628">
        <v>6.6719999999999997</v>
      </c>
    </row>
    <row r="629" spans="1:6" x14ac:dyDescent="0.25">
      <c r="A629" s="1">
        <v>42520</v>
      </c>
      <c r="B629">
        <v>6.5903999999999998</v>
      </c>
      <c r="C629" s="1">
        <v>42578</v>
      </c>
      <c r="D629">
        <v>6.67</v>
      </c>
      <c r="E629" s="1">
        <v>42578</v>
      </c>
      <c r="F629">
        <v>6.67</v>
      </c>
    </row>
    <row r="630" spans="1:6" x14ac:dyDescent="0.25">
      <c r="A630" s="1">
        <v>42521</v>
      </c>
      <c r="B630">
        <v>6.5865</v>
      </c>
      <c r="C630" s="1">
        <v>42579</v>
      </c>
      <c r="D630">
        <v>6.6576000000000004</v>
      </c>
      <c r="E630" s="1">
        <v>42579</v>
      </c>
      <c r="F630">
        <v>6.6576000000000004</v>
      </c>
    </row>
    <row r="631" spans="1:6" x14ac:dyDescent="0.25">
      <c r="A631" s="1">
        <v>42522</v>
      </c>
      <c r="B631">
        <v>6.5869</v>
      </c>
      <c r="C631" s="1">
        <v>42580</v>
      </c>
      <c r="D631">
        <v>6.6349999999999998</v>
      </c>
      <c r="E631" s="1">
        <v>42580</v>
      </c>
      <c r="F631">
        <v>6.6349999999999998</v>
      </c>
    </row>
    <row r="632" spans="1:6" x14ac:dyDescent="0.25">
      <c r="A632" s="1">
        <v>42523</v>
      </c>
      <c r="B632">
        <v>6.5876999999999999</v>
      </c>
      <c r="C632" s="1">
        <v>42583</v>
      </c>
      <c r="D632">
        <v>6.6439000000000004</v>
      </c>
      <c r="E632" s="1">
        <v>42583</v>
      </c>
      <c r="F632">
        <v>6.6439000000000004</v>
      </c>
    </row>
    <row r="633" spans="1:6" x14ac:dyDescent="0.25">
      <c r="A633" s="1">
        <v>42524</v>
      </c>
      <c r="B633">
        <v>6.5420999999999996</v>
      </c>
      <c r="C633" s="1">
        <v>42584</v>
      </c>
      <c r="D633">
        <v>6.6272000000000002</v>
      </c>
      <c r="E633" s="1">
        <v>42584</v>
      </c>
      <c r="F633">
        <v>6.6272000000000002</v>
      </c>
    </row>
    <row r="634" spans="1:6" x14ac:dyDescent="0.25">
      <c r="A634" s="1">
        <v>42527</v>
      </c>
      <c r="B634">
        <v>6.5663</v>
      </c>
      <c r="C634" s="1">
        <v>42585</v>
      </c>
      <c r="D634">
        <v>6.6341999999999999</v>
      </c>
      <c r="E634" s="1">
        <v>42585</v>
      </c>
      <c r="F634">
        <v>6.6341999999999999</v>
      </c>
    </row>
    <row r="635" spans="1:6" x14ac:dyDescent="0.25">
      <c r="A635" s="1">
        <v>42528</v>
      </c>
      <c r="B635">
        <v>6.5759999999999996</v>
      </c>
      <c r="C635" s="1">
        <v>42586</v>
      </c>
      <c r="D635">
        <v>6.6417999999999999</v>
      </c>
      <c r="E635" s="1">
        <v>42586</v>
      </c>
      <c r="F635">
        <v>6.6417999999999999</v>
      </c>
    </row>
    <row r="636" spans="1:6" x14ac:dyDescent="0.25">
      <c r="A636" s="1">
        <v>42529</v>
      </c>
      <c r="B636">
        <v>6.5666000000000002</v>
      </c>
      <c r="C636" s="1">
        <v>42587</v>
      </c>
      <c r="D636">
        <v>6.6603000000000003</v>
      </c>
      <c r="E636" s="1">
        <v>42587</v>
      </c>
      <c r="F636">
        <v>6.6603000000000003</v>
      </c>
    </row>
    <row r="637" spans="1:6" x14ac:dyDescent="0.25">
      <c r="A637" s="1">
        <v>42530</v>
      </c>
      <c r="B637">
        <v>6.5846999999999998</v>
      </c>
      <c r="C637" s="1">
        <v>42590</v>
      </c>
      <c r="D637">
        <v>6.6614000000000004</v>
      </c>
      <c r="E637" s="1">
        <v>42590</v>
      </c>
      <c r="F637">
        <v>6.6614000000000004</v>
      </c>
    </row>
    <row r="638" spans="1:6" x14ac:dyDescent="0.25">
      <c r="A638" s="1">
        <v>42531</v>
      </c>
      <c r="B638">
        <v>6.6044</v>
      </c>
      <c r="C638" s="1">
        <v>42591</v>
      </c>
      <c r="D638">
        <v>6.6557000000000004</v>
      </c>
      <c r="E638" s="1">
        <v>42591</v>
      </c>
      <c r="F638">
        <v>6.6557000000000004</v>
      </c>
    </row>
    <row r="639" spans="1:6" x14ac:dyDescent="0.25">
      <c r="A639" s="1">
        <v>42534</v>
      </c>
      <c r="B639">
        <v>6.5972</v>
      </c>
      <c r="C639" s="1">
        <v>42592</v>
      </c>
      <c r="D639">
        <v>6.6360000000000001</v>
      </c>
      <c r="E639" s="1">
        <v>42592</v>
      </c>
      <c r="F639">
        <v>6.6360000000000001</v>
      </c>
    </row>
    <row r="640" spans="1:6" x14ac:dyDescent="0.25">
      <c r="A640" s="1">
        <v>42535</v>
      </c>
      <c r="B640">
        <v>6.6066000000000003</v>
      </c>
      <c r="C640" s="1">
        <v>42593</v>
      </c>
      <c r="D640">
        <v>6.6337000000000002</v>
      </c>
      <c r="E640" s="1">
        <v>42593</v>
      </c>
      <c r="F640">
        <v>6.6337000000000002</v>
      </c>
    </row>
    <row r="641" spans="1:6" x14ac:dyDescent="0.25">
      <c r="A641" s="1">
        <v>42536</v>
      </c>
      <c r="B641">
        <v>6.5945</v>
      </c>
      <c r="C641" s="1">
        <v>42594</v>
      </c>
      <c r="D641">
        <v>6.6361999999999997</v>
      </c>
      <c r="E641" s="1">
        <v>42594</v>
      </c>
      <c r="F641">
        <v>6.6361999999999997</v>
      </c>
    </row>
    <row r="642" spans="1:6" x14ac:dyDescent="0.25">
      <c r="A642" s="1">
        <v>42537</v>
      </c>
      <c r="B642">
        <v>6.5976999999999997</v>
      </c>
      <c r="C642" s="1">
        <v>42597</v>
      </c>
      <c r="D642">
        <v>6.6379999999999999</v>
      </c>
      <c r="E642" s="1">
        <v>42597</v>
      </c>
      <c r="F642">
        <v>6.6379999999999999</v>
      </c>
    </row>
    <row r="643" spans="1:6" x14ac:dyDescent="0.25">
      <c r="A643" s="1">
        <v>42538</v>
      </c>
      <c r="B643">
        <v>6.5972999999999997</v>
      </c>
      <c r="C643" s="1">
        <v>42598</v>
      </c>
      <c r="D643">
        <v>6.6253000000000002</v>
      </c>
      <c r="E643" s="1">
        <v>42598</v>
      </c>
      <c r="F643">
        <v>6.6253000000000002</v>
      </c>
    </row>
    <row r="644" spans="1:6" x14ac:dyDescent="0.25">
      <c r="A644" s="1">
        <v>42541</v>
      </c>
      <c r="B644">
        <v>6.5900999999999996</v>
      </c>
      <c r="C644" s="1">
        <v>42599</v>
      </c>
      <c r="D644">
        <v>6.6342999999999996</v>
      </c>
      <c r="E644" s="1">
        <v>42599</v>
      </c>
      <c r="F644">
        <v>6.6342999999999996</v>
      </c>
    </row>
    <row r="645" spans="1:6" x14ac:dyDescent="0.25">
      <c r="A645" s="1">
        <v>42542</v>
      </c>
      <c r="B645">
        <v>6.5934999999999997</v>
      </c>
      <c r="C645" s="1">
        <v>42600</v>
      </c>
      <c r="D645">
        <v>6.6311999999999998</v>
      </c>
      <c r="E645" s="1">
        <v>42600</v>
      </c>
      <c r="F645">
        <v>6.6311999999999998</v>
      </c>
    </row>
    <row r="646" spans="1:6" x14ac:dyDescent="0.25">
      <c r="A646" s="1">
        <v>42543</v>
      </c>
      <c r="B646">
        <v>6.5819999999999999</v>
      </c>
      <c r="C646" s="1">
        <v>42601</v>
      </c>
      <c r="D646">
        <v>6.6532</v>
      </c>
      <c r="E646" s="1">
        <v>42601</v>
      </c>
      <c r="F646">
        <v>6.6532</v>
      </c>
    </row>
    <row r="647" spans="1:6" x14ac:dyDescent="0.25">
      <c r="A647" s="1">
        <v>42544</v>
      </c>
      <c r="B647">
        <v>6.5858999999999996</v>
      </c>
      <c r="C647" s="1">
        <v>42604</v>
      </c>
      <c r="D647">
        <v>6.6506999999999996</v>
      </c>
      <c r="E647" s="1">
        <v>42604</v>
      </c>
      <c r="F647">
        <v>6.6506999999999996</v>
      </c>
    </row>
    <row r="648" spans="1:6" x14ac:dyDescent="0.25">
      <c r="A648" s="1">
        <v>42545</v>
      </c>
      <c r="B648">
        <v>6.6365999999999996</v>
      </c>
      <c r="C648" s="1">
        <v>42605</v>
      </c>
      <c r="D648">
        <v>6.6409000000000002</v>
      </c>
      <c r="E648" s="1">
        <v>42605</v>
      </c>
      <c r="F648">
        <v>6.6409000000000002</v>
      </c>
    </row>
    <row r="649" spans="1:6" x14ac:dyDescent="0.25">
      <c r="A649" s="1">
        <v>42548</v>
      </c>
      <c r="B649">
        <v>6.6821999999999999</v>
      </c>
      <c r="C649" s="1">
        <v>42606</v>
      </c>
      <c r="D649">
        <v>6.6589999999999998</v>
      </c>
      <c r="E649" s="1">
        <v>42606</v>
      </c>
      <c r="F649">
        <v>6.6589999999999998</v>
      </c>
    </row>
    <row r="650" spans="1:6" x14ac:dyDescent="0.25">
      <c r="A650" s="1">
        <v>42549</v>
      </c>
      <c r="B650">
        <v>6.6844999999999999</v>
      </c>
      <c r="C650" s="1">
        <v>42607</v>
      </c>
      <c r="D650">
        <v>6.6595000000000004</v>
      </c>
      <c r="E650" s="1">
        <v>42607</v>
      </c>
      <c r="F650">
        <v>6.6595000000000004</v>
      </c>
    </row>
    <row r="651" spans="1:6" x14ac:dyDescent="0.25">
      <c r="A651" s="1">
        <v>42550</v>
      </c>
      <c r="B651">
        <v>6.6544999999999996</v>
      </c>
      <c r="C651" s="1">
        <v>42608</v>
      </c>
      <c r="D651">
        <v>6.6695000000000002</v>
      </c>
      <c r="E651" s="1">
        <v>42608</v>
      </c>
      <c r="F651">
        <v>6.6695000000000002</v>
      </c>
    </row>
    <row r="652" spans="1:6" x14ac:dyDescent="0.25">
      <c r="A652" s="1">
        <v>42551</v>
      </c>
      <c r="B652">
        <v>6.6711999999999998</v>
      </c>
      <c r="C652" s="1">
        <v>42611</v>
      </c>
      <c r="D652">
        <v>6.6829999999999998</v>
      </c>
      <c r="E652" s="1">
        <v>42611</v>
      </c>
      <c r="F652">
        <v>6.6829999999999998</v>
      </c>
    </row>
    <row r="653" spans="1:6" x14ac:dyDescent="0.25">
      <c r="A653" s="1">
        <v>42552</v>
      </c>
      <c r="B653">
        <v>6.6779999999999999</v>
      </c>
      <c r="C653" s="1">
        <v>42612</v>
      </c>
      <c r="D653">
        <v>6.6806999999999999</v>
      </c>
      <c r="E653" s="1">
        <v>42612</v>
      </c>
      <c r="F653">
        <v>6.6806999999999999</v>
      </c>
    </row>
    <row r="654" spans="1:6" x14ac:dyDescent="0.25">
      <c r="A654" s="1">
        <v>42555</v>
      </c>
      <c r="B654">
        <v>6.6745999999999999</v>
      </c>
      <c r="C654" s="1">
        <v>42613</v>
      </c>
      <c r="D654">
        <v>6.6792999999999996</v>
      </c>
      <c r="E654" s="1">
        <v>42613</v>
      </c>
      <c r="F654">
        <v>6.6792999999999996</v>
      </c>
    </row>
    <row r="655" spans="1:6" x14ac:dyDescent="0.25">
      <c r="A655" s="1">
        <v>42556</v>
      </c>
      <c r="B655">
        <v>6.6889000000000003</v>
      </c>
      <c r="C655" s="1">
        <v>42614</v>
      </c>
      <c r="D655">
        <v>6.6749999999999998</v>
      </c>
      <c r="E655" s="1">
        <v>42614</v>
      </c>
      <c r="F655">
        <v>6.6749999999999998</v>
      </c>
    </row>
    <row r="656" spans="1:6" x14ac:dyDescent="0.25">
      <c r="A656" s="1">
        <v>42557</v>
      </c>
      <c r="B656">
        <v>6.6967999999999996</v>
      </c>
      <c r="C656" s="1">
        <v>42615</v>
      </c>
      <c r="D656">
        <v>6.6805000000000003</v>
      </c>
      <c r="E656" s="1">
        <v>42615</v>
      </c>
      <c r="F656">
        <v>6.6805000000000003</v>
      </c>
    </row>
    <row r="657" spans="1:6" x14ac:dyDescent="0.25">
      <c r="A657" s="1">
        <v>42558</v>
      </c>
      <c r="B657">
        <v>6.7008999999999999</v>
      </c>
      <c r="C657" s="1">
        <v>42618</v>
      </c>
      <c r="D657">
        <v>6.6771000000000003</v>
      </c>
      <c r="E657" s="1">
        <v>42618</v>
      </c>
      <c r="F657">
        <v>6.6771000000000003</v>
      </c>
    </row>
    <row r="658" spans="1:6" x14ac:dyDescent="0.25">
      <c r="A658" s="1">
        <v>42559</v>
      </c>
      <c r="B658">
        <v>6.7035</v>
      </c>
      <c r="C658" s="1">
        <v>42619</v>
      </c>
      <c r="D658">
        <v>6.67</v>
      </c>
      <c r="E658" s="1">
        <v>42619</v>
      </c>
      <c r="F658">
        <v>6.67</v>
      </c>
    </row>
    <row r="659" spans="1:6" x14ac:dyDescent="0.25">
      <c r="A659" s="1">
        <v>42562</v>
      </c>
      <c r="B659">
        <v>6.7053000000000003</v>
      </c>
      <c r="C659" s="1">
        <v>42620</v>
      </c>
      <c r="D659">
        <v>6.6624999999999996</v>
      </c>
      <c r="E659" s="1">
        <v>42620</v>
      </c>
      <c r="F659">
        <v>6.6624999999999996</v>
      </c>
    </row>
    <row r="660" spans="1:6" x14ac:dyDescent="0.25">
      <c r="A660" s="1">
        <v>42563</v>
      </c>
      <c r="B660">
        <v>6.6967999999999996</v>
      </c>
      <c r="C660" s="1">
        <v>42621</v>
      </c>
      <c r="D660">
        <v>6.6680000000000001</v>
      </c>
      <c r="E660" s="1">
        <v>42621</v>
      </c>
      <c r="F660">
        <v>6.6680000000000001</v>
      </c>
    </row>
    <row r="661" spans="1:6" x14ac:dyDescent="0.25">
      <c r="A661" s="1">
        <v>42564</v>
      </c>
      <c r="B661">
        <v>6.6898999999999997</v>
      </c>
      <c r="C661" s="1">
        <v>42622</v>
      </c>
      <c r="D661">
        <v>6.6849999999999996</v>
      </c>
      <c r="E661" s="1">
        <v>42622</v>
      </c>
      <c r="F661">
        <v>6.6849999999999996</v>
      </c>
    </row>
    <row r="662" spans="1:6" x14ac:dyDescent="0.25">
      <c r="A662" s="1">
        <v>42565</v>
      </c>
      <c r="B662">
        <v>6.6924000000000001</v>
      </c>
      <c r="C662" s="1">
        <v>42625</v>
      </c>
      <c r="D662">
        <v>6.6802000000000001</v>
      </c>
      <c r="E662" s="1">
        <v>42625</v>
      </c>
      <c r="F662">
        <v>6.6802000000000001</v>
      </c>
    </row>
    <row r="663" spans="1:6" x14ac:dyDescent="0.25">
      <c r="A663" s="1">
        <v>42566</v>
      </c>
      <c r="B663">
        <v>6.7103999999999999</v>
      </c>
      <c r="C663" s="1">
        <v>42626</v>
      </c>
      <c r="D663">
        <v>6.6795</v>
      </c>
      <c r="E663" s="1">
        <v>42626</v>
      </c>
      <c r="F663">
        <v>6.6795</v>
      </c>
    </row>
    <row r="664" spans="1:6" x14ac:dyDescent="0.25">
      <c r="A664" s="1">
        <v>42569</v>
      </c>
      <c r="B664">
        <v>6.7107000000000001</v>
      </c>
      <c r="C664" s="1">
        <v>42627</v>
      </c>
      <c r="D664">
        <v>6.6746999999999996</v>
      </c>
      <c r="E664" s="1">
        <v>42627</v>
      </c>
      <c r="F664">
        <v>6.6746999999999996</v>
      </c>
    </row>
    <row r="665" spans="1:6" x14ac:dyDescent="0.25">
      <c r="A665" s="1">
        <v>42570</v>
      </c>
      <c r="B665">
        <v>6.7104999999999997</v>
      </c>
      <c r="C665" s="1">
        <v>42632</v>
      </c>
      <c r="D665">
        <v>6.6684999999999999</v>
      </c>
      <c r="E665" s="1">
        <v>42632</v>
      </c>
      <c r="F665">
        <v>6.6684999999999999</v>
      </c>
    </row>
    <row r="666" spans="1:6" x14ac:dyDescent="0.25">
      <c r="A666" s="1">
        <v>42571</v>
      </c>
      <c r="B666">
        <v>6.6784999999999997</v>
      </c>
      <c r="C666" s="1">
        <v>42633</v>
      </c>
      <c r="D666">
        <v>6.6719999999999997</v>
      </c>
      <c r="E666" s="1">
        <v>42633</v>
      </c>
      <c r="F666">
        <v>6.6719999999999997</v>
      </c>
    </row>
    <row r="667" spans="1:6" x14ac:dyDescent="0.25">
      <c r="A667" s="1">
        <v>42572</v>
      </c>
      <c r="B667">
        <v>6.6768999999999998</v>
      </c>
      <c r="C667" s="1">
        <v>42634</v>
      </c>
      <c r="D667">
        <v>6.6688000000000001</v>
      </c>
      <c r="E667" s="1">
        <v>42634</v>
      </c>
      <c r="F667">
        <v>6.6688000000000001</v>
      </c>
    </row>
    <row r="668" spans="1:6" x14ac:dyDescent="0.25">
      <c r="A668" s="1">
        <v>42573</v>
      </c>
      <c r="B668">
        <v>6.6825999999999999</v>
      </c>
      <c r="C668" s="1">
        <v>42635</v>
      </c>
      <c r="D668">
        <v>6.6647999999999996</v>
      </c>
      <c r="E668" s="1">
        <v>42635</v>
      </c>
      <c r="F668">
        <v>6.6647999999999996</v>
      </c>
    </row>
    <row r="669" spans="1:6" x14ac:dyDescent="0.25">
      <c r="A669" s="1">
        <v>42576</v>
      </c>
      <c r="B669">
        <v>6.6882999999999999</v>
      </c>
      <c r="C669" s="1">
        <v>42636</v>
      </c>
      <c r="D669">
        <v>6.6694000000000004</v>
      </c>
      <c r="E669" s="1">
        <v>42636</v>
      </c>
      <c r="F669">
        <v>6.6694000000000004</v>
      </c>
    </row>
    <row r="670" spans="1:6" x14ac:dyDescent="0.25">
      <c r="A670" s="1">
        <v>42577</v>
      </c>
      <c r="B670">
        <v>6.6798999999999999</v>
      </c>
      <c r="C670" s="1">
        <v>42639</v>
      </c>
      <c r="D670">
        <v>6.6688999999999998</v>
      </c>
      <c r="E670" s="1">
        <v>42639</v>
      </c>
      <c r="F670">
        <v>6.6688999999999998</v>
      </c>
    </row>
    <row r="671" spans="1:6" x14ac:dyDescent="0.25">
      <c r="A671" s="1">
        <v>42578</v>
      </c>
      <c r="B671">
        <v>6.6715</v>
      </c>
      <c r="C671" s="1">
        <v>42640</v>
      </c>
      <c r="D671">
        <v>6.6700999999999997</v>
      </c>
      <c r="E671" s="1">
        <v>42640</v>
      </c>
      <c r="F671">
        <v>6.6700999999999997</v>
      </c>
    </row>
    <row r="672" spans="1:6" x14ac:dyDescent="0.25">
      <c r="A672" s="1">
        <v>42579</v>
      </c>
      <c r="B672">
        <v>6.6612</v>
      </c>
      <c r="C672" s="1">
        <v>42641</v>
      </c>
      <c r="D672">
        <v>6.6750999999999996</v>
      </c>
      <c r="E672" s="1">
        <v>42641</v>
      </c>
      <c r="F672">
        <v>6.6750999999999996</v>
      </c>
    </row>
    <row r="673" spans="1:6" x14ac:dyDescent="0.25">
      <c r="A673" s="1">
        <v>42580</v>
      </c>
      <c r="B673">
        <v>6.6307</v>
      </c>
      <c r="C673" s="1">
        <v>42642</v>
      </c>
      <c r="D673">
        <v>6.6672000000000002</v>
      </c>
      <c r="E673" s="1">
        <v>42642</v>
      </c>
      <c r="F673">
        <v>6.6672000000000002</v>
      </c>
    </row>
    <row r="674" spans="1:6" x14ac:dyDescent="0.25">
      <c r="A674" s="1">
        <v>42583</v>
      </c>
      <c r="B674">
        <v>6.6459999999999999</v>
      </c>
      <c r="C674" s="1">
        <v>42643</v>
      </c>
      <c r="D674">
        <v>6.6718000000000002</v>
      </c>
      <c r="E674" s="1">
        <v>42643</v>
      </c>
      <c r="F674">
        <v>6.6718000000000002</v>
      </c>
    </row>
    <row r="675" spans="1:6" x14ac:dyDescent="0.25">
      <c r="A675" s="1">
        <v>42584</v>
      </c>
      <c r="B675">
        <v>6.6326999999999998</v>
      </c>
      <c r="C675" s="1">
        <v>42653</v>
      </c>
      <c r="D675">
        <v>6.7073999999999998</v>
      </c>
      <c r="E675" s="1">
        <v>42653</v>
      </c>
      <c r="F675">
        <v>6.7073999999999998</v>
      </c>
    </row>
    <row r="676" spans="1:6" x14ac:dyDescent="0.25">
      <c r="A676" s="1">
        <v>42585</v>
      </c>
      <c r="B676">
        <v>6.6436000000000002</v>
      </c>
      <c r="C676" s="1">
        <v>42654</v>
      </c>
      <c r="D676">
        <v>6.7220000000000004</v>
      </c>
      <c r="E676" s="1">
        <v>42654</v>
      </c>
      <c r="F676">
        <v>6.7220000000000004</v>
      </c>
    </row>
    <row r="677" spans="1:6" x14ac:dyDescent="0.25">
      <c r="A677" s="1">
        <v>42586</v>
      </c>
      <c r="B677">
        <v>6.6464999999999996</v>
      </c>
      <c r="C677" s="1">
        <v>42655</v>
      </c>
      <c r="D677">
        <v>6.7195</v>
      </c>
      <c r="E677" s="1">
        <v>42655</v>
      </c>
      <c r="F677">
        <v>6.7195</v>
      </c>
    </row>
    <row r="678" spans="1:6" x14ac:dyDescent="0.25">
      <c r="A678" s="1">
        <v>42587</v>
      </c>
      <c r="B678">
        <v>6.6660000000000004</v>
      </c>
      <c r="C678" s="1">
        <v>42656</v>
      </c>
      <c r="D678">
        <v>6.7274000000000003</v>
      </c>
      <c r="E678" s="1">
        <v>42656</v>
      </c>
      <c r="F678">
        <v>6.7274000000000003</v>
      </c>
    </row>
    <row r="679" spans="1:6" x14ac:dyDescent="0.25">
      <c r="A679" s="1">
        <v>42590</v>
      </c>
      <c r="B679">
        <v>6.6684999999999999</v>
      </c>
      <c r="C679" s="1">
        <v>42657</v>
      </c>
      <c r="D679">
        <v>6.7282999999999999</v>
      </c>
      <c r="E679" s="1">
        <v>42657</v>
      </c>
      <c r="F679">
        <v>6.7282999999999999</v>
      </c>
    </row>
    <row r="680" spans="1:6" x14ac:dyDescent="0.25">
      <c r="A680" s="1">
        <v>42591</v>
      </c>
      <c r="B680">
        <v>6.6618000000000004</v>
      </c>
      <c r="C680" s="1">
        <v>42660</v>
      </c>
      <c r="D680">
        <v>6.7374999999999998</v>
      </c>
      <c r="E680" s="1">
        <v>42660</v>
      </c>
      <c r="F680">
        <v>6.7374999999999998</v>
      </c>
    </row>
    <row r="681" spans="1:6" x14ac:dyDescent="0.25">
      <c r="A681" s="1">
        <v>42592</v>
      </c>
      <c r="B681">
        <v>6.6426999999999996</v>
      </c>
      <c r="C681" s="1">
        <v>42661</v>
      </c>
      <c r="D681">
        <v>6.7408999999999999</v>
      </c>
      <c r="E681" s="1">
        <v>42661</v>
      </c>
      <c r="F681">
        <v>6.7408999999999999</v>
      </c>
    </row>
    <row r="682" spans="1:6" x14ac:dyDescent="0.25">
      <c r="A682" s="1">
        <v>42593</v>
      </c>
      <c r="B682">
        <v>6.6428000000000003</v>
      </c>
      <c r="C682" s="1">
        <v>42662</v>
      </c>
      <c r="D682">
        <v>6.7378</v>
      </c>
      <c r="E682" s="1">
        <v>42662</v>
      </c>
      <c r="F682">
        <v>6.7378</v>
      </c>
    </row>
    <row r="683" spans="1:6" x14ac:dyDescent="0.25">
      <c r="A683" s="1">
        <v>42594</v>
      </c>
      <c r="B683">
        <v>6.6520000000000001</v>
      </c>
      <c r="C683" s="1">
        <v>42663</v>
      </c>
      <c r="D683">
        <v>6.7449000000000003</v>
      </c>
      <c r="E683" s="1">
        <v>42663</v>
      </c>
      <c r="F683">
        <v>6.7449000000000003</v>
      </c>
    </row>
    <row r="684" spans="1:6" x14ac:dyDescent="0.25">
      <c r="A684" s="1">
        <v>42597</v>
      </c>
      <c r="B684">
        <v>6.6466000000000003</v>
      </c>
      <c r="C684" s="1">
        <v>42664</v>
      </c>
      <c r="D684">
        <v>6.7670000000000003</v>
      </c>
      <c r="E684" s="1">
        <v>42664</v>
      </c>
      <c r="F684">
        <v>6.7670000000000003</v>
      </c>
    </row>
    <row r="685" spans="1:6" x14ac:dyDescent="0.25">
      <c r="A685" s="1">
        <v>42598</v>
      </c>
      <c r="B685">
        <v>6.6303000000000001</v>
      </c>
      <c r="C685" s="1">
        <v>42667</v>
      </c>
      <c r="D685">
        <v>6.7751999999999999</v>
      </c>
      <c r="E685" s="1">
        <v>42667</v>
      </c>
      <c r="F685">
        <v>6.7751999999999999</v>
      </c>
    </row>
    <row r="686" spans="1:6" x14ac:dyDescent="0.25">
      <c r="A686" s="1">
        <v>42599</v>
      </c>
      <c r="B686">
        <v>6.6353</v>
      </c>
      <c r="C686" s="1">
        <v>42668</v>
      </c>
      <c r="D686">
        <v>6.7804000000000002</v>
      </c>
      <c r="E686" s="1">
        <v>42668</v>
      </c>
      <c r="F686">
        <v>6.7804000000000002</v>
      </c>
    </row>
    <row r="687" spans="1:6" x14ac:dyDescent="0.25">
      <c r="A687" s="1">
        <v>42600</v>
      </c>
      <c r="B687">
        <v>6.6338999999999997</v>
      </c>
      <c r="C687" s="1">
        <v>42669</v>
      </c>
      <c r="D687">
        <v>6.7710999999999997</v>
      </c>
      <c r="E687" s="1">
        <v>42669</v>
      </c>
      <c r="F687">
        <v>6.7710999999999997</v>
      </c>
    </row>
    <row r="688" spans="1:6" x14ac:dyDescent="0.25">
      <c r="A688" s="1">
        <v>42601</v>
      </c>
      <c r="B688">
        <v>6.6561000000000003</v>
      </c>
      <c r="C688" s="1">
        <v>42670</v>
      </c>
      <c r="D688">
        <v>6.7835000000000001</v>
      </c>
      <c r="E688" s="1">
        <v>42670</v>
      </c>
      <c r="F688">
        <v>6.7835000000000001</v>
      </c>
    </row>
    <row r="689" spans="1:6" x14ac:dyDescent="0.25">
      <c r="A689" s="1">
        <v>42604</v>
      </c>
      <c r="B689">
        <v>6.6612</v>
      </c>
      <c r="C689" s="1">
        <v>42671</v>
      </c>
      <c r="D689">
        <v>6.7789000000000001</v>
      </c>
      <c r="E689" s="1">
        <v>42671</v>
      </c>
      <c r="F689">
        <v>6.7789000000000001</v>
      </c>
    </row>
    <row r="690" spans="1:6" x14ac:dyDescent="0.25">
      <c r="A690" s="1">
        <v>42605</v>
      </c>
      <c r="B690">
        <v>6.6577999999999999</v>
      </c>
      <c r="C690" s="1">
        <v>42674</v>
      </c>
      <c r="D690">
        <v>6.7758000000000003</v>
      </c>
      <c r="E690" s="1">
        <v>42674</v>
      </c>
      <c r="F690">
        <v>6.7758000000000003</v>
      </c>
    </row>
    <row r="691" spans="1:6" x14ac:dyDescent="0.25">
      <c r="A691" s="1">
        <v>42606</v>
      </c>
      <c r="B691">
        <v>6.6721000000000004</v>
      </c>
      <c r="C691" s="1">
        <v>42675</v>
      </c>
      <c r="D691">
        <v>6.7656999999999998</v>
      </c>
      <c r="E691" s="1">
        <v>42675</v>
      </c>
      <c r="F691">
        <v>6.7656999999999998</v>
      </c>
    </row>
    <row r="692" spans="1:6" x14ac:dyDescent="0.25">
      <c r="A692" s="1">
        <v>42607</v>
      </c>
      <c r="B692">
        <v>6.6684999999999999</v>
      </c>
      <c r="C692" s="1">
        <v>42676</v>
      </c>
      <c r="D692">
        <v>6.7569999999999997</v>
      </c>
      <c r="E692" s="1">
        <v>42676</v>
      </c>
      <c r="F692">
        <v>6.7569999999999997</v>
      </c>
    </row>
    <row r="693" spans="1:6" x14ac:dyDescent="0.25">
      <c r="A693" s="1">
        <v>42608</v>
      </c>
      <c r="B693">
        <v>6.6932999999999998</v>
      </c>
      <c r="C693" s="1">
        <v>42677</v>
      </c>
      <c r="D693">
        <v>6.7649999999999997</v>
      </c>
      <c r="E693" s="1">
        <v>42677</v>
      </c>
      <c r="F693">
        <v>6.7649999999999997</v>
      </c>
    </row>
    <row r="694" spans="1:6" x14ac:dyDescent="0.25">
      <c r="A694" s="1">
        <v>42611</v>
      </c>
      <c r="B694">
        <v>6.6897000000000002</v>
      </c>
      <c r="C694" s="1">
        <v>42678</v>
      </c>
      <c r="D694">
        <v>6.7564000000000002</v>
      </c>
      <c r="E694" s="1">
        <v>42678</v>
      </c>
      <c r="F694">
        <v>6.7564000000000002</v>
      </c>
    </row>
    <row r="695" spans="1:6" x14ac:dyDescent="0.25">
      <c r="A695" s="1">
        <v>42612</v>
      </c>
      <c r="B695">
        <v>6.694</v>
      </c>
      <c r="C695" s="1">
        <v>42681</v>
      </c>
      <c r="D695">
        <v>6.7766000000000002</v>
      </c>
      <c r="E695" s="1">
        <v>42681</v>
      </c>
      <c r="F695">
        <v>6.7766000000000002</v>
      </c>
    </row>
    <row r="696" spans="1:6" x14ac:dyDescent="0.25">
      <c r="A696" s="1">
        <v>42613</v>
      </c>
      <c r="B696">
        <v>6.6914999999999996</v>
      </c>
      <c r="C696" s="1">
        <v>42682</v>
      </c>
      <c r="D696">
        <v>6.7869000000000002</v>
      </c>
      <c r="E696" s="1">
        <v>42682</v>
      </c>
      <c r="F696">
        <v>6.7869000000000002</v>
      </c>
    </row>
    <row r="697" spans="1:6" x14ac:dyDescent="0.25">
      <c r="A697" s="1">
        <v>42614</v>
      </c>
      <c r="B697">
        <v>6.6858000000000004</v>
      </c>
      <c r="C697" s="1">
        <v>42683</v>
      </c>
      <c r="D697">
        <v>6.7915000000000001</v>
      </c>
      <c r="E697" s="1">
        <v>42683</v>
      </c>
      <c r="F697">
        <v>6.7915000000000001</v>
      </c>
    </row>
    <row r="698" spans="1:6" x14ac:dyDescent="0.25">
      <c r="A698" s="1">
        <v>42615</v>
      </c>
      <c r="B698">
        <v>6.6984000000000004</v>
      </c>
      <c r="C698" s="1">
        <v>42684</v>
      </c>
      <c r="D698">
        <v>6.8059000000000003</v>
      </c>
      <c r="E698" s="1">
        <v>42684</v>
      </c>
      <c r="F698">
        <v>6.8059000000000003</v>
      </c>
    </row>
    <row r="699" spans="1:6" x14ac:dyDescent="0.25">
      <c r="A699" s="1">
        <v>42618</v>
      </c>
      <c r="B699">
        <v>6.6914999999999996</v>
      </c>
      <c r="C699" s="1">
        <v>42685</v>
      </c>
      <c r="D699">
        <v>6.8120000000000003</v>
      </c>
      <c r="E699" s="1">
        <v>42685</v>
      </c>
      <c r="F699">
        <v>6.8120000000000003</v>
      </c>
    </row>
    <row r="700" spans="1:6" x14ac:dyDescent="0.25">
      <c r="A700" s="1">
        <v>42619</v>
      </c>
      <c r="B700">
        <v>6.6753</v>
      </c>
      <c r="C700" s="1">
        <v>42688</v>
      </c>
      <c r="D700">
        <v>6.86</v>
      </c>
      <c r="E700" s="1">
        <v>42688</v>
      </c>
      <c r="F700">
        <v>6.86</v>
      </c>
    </row>
    <row r="701" spans="1:6" x14ac:dyDescent="0.25">
      <c r="A701" s="1">
        <v>42620</v>
      </c>
      <c r="B701">
        <v>6.6714000000000002</v>
      </c>
      <c r="C701" s="1">
        <v>42689</v>
      </c>
      <c r="D701">
        <v>6.859</v>
      </c>
      <c r="E701" s="1">
        <v>42689</v>
      </c>
      <c r="F701">
        <v>6.859</v>
      </c>
    </row>
    <row r="702" spans="1:6" x14ac:dyDescent="0.25">
      <c r="A702" s="1">
        <v>42621</v>
      </c>
      <c r="B702">
        <v>6.6801000000000004</v>
      </c>
      <c r="C702" s="1">
        <v>42690</v>
      </c>
      <c r="D702">
        <v>6.8803999999999998</v>
      </c>
      <c r="E702" s="1">
        <v>42690</v>
      </c>
      <c r="F702">
        <v>6.8803999999999998</v>
      </c>
    </row>
    <row r="703" spans="1:6" x14ac:dyDescent="0.25">
      <c r="A703" s="1">
        <v>42622</v>
      </c>
      <c r="B703">
        <v>6.6959</v>
      </c>
      <c r="C703" s="1">
        <v>42691</v>
      </c>
      <c r="D703">
        <v>6.8780999999999999</v>
      </c>
      <c r="E703" s="1">
        <v>42691</v>
      </c>
      <c r="F703">
        <v>6.8780999999999999</v>
      </c>
    </row>
    <row r="704" spans="1:6" x14ac:dyDescent="0.25">
      <c r="A704" s="1">
        <v>42625</v>
      </c>
      <c r="B704">
        <v>6.6851000000000003</v>
      </c>
      <c r="C704" s="1">
        <v>42692</v>
      </c>
      <c r="D704">
        <v>6.8864000000000001</v>
      </c>
      <c r="E704" s="1">
        <v>42692</v>
      </c>
      <c r="F704">
        <v>6.8864000000000001</v>
      </c>
    </row>
    <row r="705" spans="1:6" x14ac:dyDescent="0.25">
      <c r="A705" s="1">
        <v>42626</v>
      </c>
      <c r="B705">
        <v>6.6905000000000001</v>
      </c>
      <c r="C705" s="1">
        <v>42695</v>
      </c>
      <c r="D705">
        <v>6.8928000000000003</v>
      </c>
      <c r="E705" s="1">
        <v>42695</v>
      </c>
      <c r="F705">
        <v>6.8928000000000003</v>
      </c>
    </row>
    <row r="706" spans="1:6" x14ac:dyDescent="0.25">
      <c r="A706" s="1">
        <v>42627</v>
      </c>
      <c r="B706">
        <v>6.6673</v>
      </c>
      <c r="C706" s="1">
        <v>42696</v>
      </c>
      <c r="D706">
        <v>6.89</v>
      </c>
      <c r="E706" s="1">
        <v>42696</v>
      </c>
      <c r="F706">
        <v>6.89</v>
      </c>
    </row>
    <row r="707" spans="1:6" x14ac:dyDescent="0.25">
      <c r="A707" s="1">
        <v>42628</v>
      </c>
      <c r="B707">
        <v>6.65</v>
      </c>
      <c r="C707" s="1">
        <v>42697</v>
      </c>
      <c r="D707">
        <v>6.9189999999999996</v>
      </c>
      <c r="E707" s="1">
        <v>42697</v>
      </c>
      <c r="F707">
        <v>6.9189999999999996</v>
      </c>
    </row>
    <row r="708" spans="1:6" x14ac:dyDescent="0.25">
      <c r="A708" s="1">
        <v>42629</v>
      </c>
      <c r="B708">
        <v>6.6536999999999997</v>
      </c>
      <c r="C708" s="1">
        <v>42698</v>
      </c>
      <c r="D708">
        <v>6.9218999999999999</v>
      </c>
      <c r="E708" s="1">
        <v>42698</v>
      </c>
      <c r="F708">
        <v>6.9218999999999999</v>
      </c>
    </row>
    <row r="709" spans="1:6" x14ac:dyDescent="0.25">
      <c r="A709" s="1">
        <v>42632</v>
      </c>
      <c r="B709">
        <v>6.6660000000000004</v>
      </c>
      <c r="C709" s="1">
        <v>42699</v>
      </c>
      <c r="D709">
        <v>6.9191000000000003</v>
      </c>
      <c r="E709" s="1">
        <v>42699</v>
      </c>
      <c r="F709">
        <v>6.9191000000000003</v>
      </c>
    </row>
    <row r="710" spans="1:6" x14ac:dyDescent="0.25">
      <c r="A710" s="1">
        <v>42633</v>
      </c>
      <c r="B710">
        <v>6.6820000000000004</v>
      </c>
      <c r="C710" s="1">
        <v>42702</v>
      </c>
      <c r="D710">
        <v>6.9153000000000002</v>
      </c>
      <c r="E710" s="1">
        <v>42702</v>
      </c>
      <c r="F710">
        <v>6.9153000000000002</v>
      </c>
    </row>
    <row r="711" spans="1:6" x14ac:dyDescent="0.25">
      <c r="A711" s="1">
        <v>42634</v>
      </c>
      <c r="B711">
        <v>6.6699000000000002</v>
      </c>
      <c r="C711" s="1">
        <v>42703</v>
      </c>
      <c r="D711">
        <v>6.9047000000000001</v>
      </c>
      <c r="E711" s="1">
        <v>42703</v>
      </c>
      <c r="F711">
        <v>6.9047000000000001</v>
      </c>
    </row>
    <row r="712" spans="1:6" x14ac:dyDescent="0.25">
      <c r="A712" s="1">
        <v>42635</v>
      </c>
      <c r="B712">
        <v>6.6824000000000003</v>
      </c>
      <c r="C712" s="1">
        <v>42704</v>
      </c>
      <c r="D712">
        <v>6.8894000000000002</v>
      </c>
      <c r="E712" s="1">
        <v>42704</v>
      </c>
      <c r="F712">
        <v>6.8894000000000002</v>
      </c>
    </row>
    <row r="713" spans="1:6" x14ac:dyDescent="0.25">
      <c r="A713" s="1">
        <v>42636</v>
      </c>
      <c r="B713">
        <v>6.6794000000000002</v>
      </c>
      <c r="C713" s="1">
        <v>42705</v>
      </c>
      <c r="D713">
        <v>6.8856000000000002</v>
      </c>
      <c r="E713" s="1">
        <v>42705</v>
      </c>
      <c r="F713">
        <v>6.8856000000000002</v>
      </c>
    </row>
    <row r="714" spans="1:6" x14ac:dyDescent="0.25">
      <c r="A714" s="1">
        <v>42639</v>
      </c>
      <c r="B714">
        <v>6.6832000000000003</v>
      </c>
      <c r="C714" s="1">
        <v>42706</v>
      </c>
      <c r="D714">
        <v>6.88</v>
      </c>
      <c r="E714" s="1">
        <v>42706</v>
      </c>
      <c r="F714">
        <v>6.88</v>
      </c>
    </row>
    <row r="715" spans="1:6" x14ac:dyDescent="0.25">
      <c r="A715" s="1">
        <v>42640</v>
      </c>
      <c r="B715">
        <v>6.6840999999999999</v>
      </c>
      <c r="C715" s="1">
        <v>42709</v>
      </c>
      <c r="D715">
        <v>6.8815</v>
      </c>
      <c r="E715" s="1">
        <v>42709</v>
      </c>
      <c r="F715">
        <v>6.8815</v>
      </c>
    </row>
    <row r="716" spans="1:6" x14ac:dyDescent="0.25">
      <c r="A716" s="1">
        <v>42641</v>
      </c>
      <c r="B716">
        <v>6.6840000000000002</v>
      </c>
      <c r="C716" s="1">
        <v>42710</v>
      </c>
      <c r="D716">
        <v>6.8819999999999997</v>
      </c>
      <c r="E716" s="1">
        <v>42710</v>
      </c>
      <c r="F716">
        <v>6.8819999999999997</v>
      </c>
    </row>
    <row r="717" spans="1:6" x14ac:dyDescent="0.25">
      <c r="A717" s="1">
        <v>42642</v>
      </c>
      <c r="B717">
        <v>6.6711</v>
      </c>
      <c r="C717" s="1">
        <v>42711</v>
      </c>
      <c r="D717">
        <v>6.8766999999999996</v>
      </c>
      <c r="E717" s="1">
        <v>42711</v>
      </c>
      <c r="F717">
        <v>6.8766999999999996</v>
      </c>
    </row>
    <row r="718" spans="1:6" x14ac:dyDescent="0.25">
      <c r="A718" s="1">
        <v>42643</v>
      </c>
      <c r="B718">
        <v>6.6769999999999996</v>
      </c>
      <c r="C718" s="1">
        <v>42712</v>
      </c>
      <c r="D718">
        <v>6.891</v>
      </c>
      <c r="E718" s="1">
        <v>42712</v>
      </c>
      <c r="F718">
        <v>6.891</v>
      </c>
    </row>
    <row r="719" spans="1:6" x14ac:dyDescent="0.25">
      <c r="A719" s="1">
        <v>42646</v>
      </c>
      <c r="B719">
        <v>6.6783000000000001</v>
      </c>
      <c r="C719" s="1">
        <v>42713</v>
      </c>
      <c r="D719">
        <v>6.9080000000000004</v>
      </c>
      <c r="E719" s="1">
        <v>42713</v>
      </c>
      <c r="F719">
        <v>6.9080000000000004</v>
      </c>
    </row>
    <row r="720" spans="1:6" x14ac:dyDescent="0.25">
      <c r="A720" s="1">
        <v>42647</v>
      </c>
      <c r="B720">
        <v>6.6939000000000002</v>
      </c>
      <c r="C720" s="1">
        <v>42716</v>
      </c>
      <c r="D720">
        <v>6.9069000000000003</v>
      </c>
      <c r="E720" s="1">
        <v>42716</v>
      </c>
      <c r="F720">
        <v>6.9069000000000003</v>
      </c>
    </row>
    <row r="721" spans="1:6" x14ac:dyDescent="0.25">
      <c r="A721" s="1">
        <v>42648</v>
      </c>
      <c r="B721">
        <v>6.6989999999999998</v>
      </c>
      <c r="C721" s="1">
        <v>42717</v>
      </c>
      <c r="D721">
        <v>6.9028999999999998</v>
      </c>
      <c r="E721" s="1">
        <v>42717</v>
      </c>
      <c r="F721">
        <v>6.9028999999999998</v>
      </c>
    </row>
    <row r="722" spans="1:6" x14ac:dyDescent="0.25">
      <c r="A722" s="1">
        <v>42649</v>
      </c>
      <c r="B722">
        <v>6.7073</v>
      </c>
      <c r="C722" s="1">
        <v>42718</v>
      </c>
      <c r="D722">
        <v>6.9048999999999996</v>
      </c>
      <c r="E722" s="1">
        <v>42718</v>
      </c>
      <c r="F722">
        <v>6.9048999999999996</v>
      </c>
    </row>
    <row r="723" spans="1:6" x14ac:dyDescent="0.25">
      <c r="A723" s="1">
        <v>42650</v>
      </c>
      <c r="B723">
        <v>6.7080000000000002</v>
      </c>
      <c r="C723" s="1">
        <v>42719</v>
      </c>
      <c r="D723">
        <v>6.9466999999999999</v>
      </c>
      <c r="E723" s="1">
        <v>42719</v>
      </c>
      <c r="F723">
        <v>6.9466999999999999</v>
      </c>
    </row>
    <row r="724" spans="1:6" x14ac:dyDescent="0.25">
      <c r="A724" s="1">
        <v>42653</v>
      </c>
      <c r="B724">
        <v>6.7171000000000003</v>
      </c>
      <c r="C724" s="1">
        <v>42720</v>
      </c>
      <c r="D724">
        <v>6.9615</v>
      </c>
      <c r="E724" s="1">
        <v>42720</v>
      </c>
      <c r="F724">
        <v>6.9615</v>
      </c>
    </row>
    <row r="725" spans="1:6" x14ac:dyDescent="0.25">
      <c r="A725" s="1">
        <v>42654</v>
      </c>
      <c r="B725">
        <v>6.7297000000000002</v>
      </c>
      <c r="C725" s="1">
        <v>42723</v>
      </c>
      <c r="D725">
        <v>6.9604999999999997</v>
      </c>
      <c r="E725" s="1">
        <v>42723</v>
      </c>
      <c r="F725">
        <v>6.9604999999999997</v>
      </c>
    </row>
    <row r="726" spans="1:6" x14ac:dyDescent="0.25">
      <c r="A726" s="1">
        <v>42655</v>
      </c>
      <c r="B726">
        <v>6.7253999999999996</v>
      </c>
      <c r="C726" s="1">
        <v>42724</v>
      </c>
      <c r="D726">
        <v>6.9527000000000001</v>
      </c>
      <c r="E726" s="1">
        <v>42724</v>
      </c>
      <c r="F726">
        <v>6.9527000000000001</v>
      </c>
    </row>
    <row r="727" spans="1:6" x14ac:dyDescent="0.25">
      <c r="A727" s="1">
        <v>42656</v>
      </c>
      <c r="B727">
        <v>6.7342000000000004</v>
      </c>
      <c r="C727" s="1">
        <v>42725</v>
      </c>
      <c r="D727">
        <v>6.944</v>
      </c>
      <c r="E727" s="1">
        <v>42725</v>
      </c>
      <c r="F727">
        <v>6.944</v>
      </c>
    </row>
    <row r="728" spans="1:6" x14ac:dyDescent="0.25">
      <c r="A728" s="1">
        <v>42657</v>
      </c>
      <c r="B728">
        <v>6.7375999999999996</v>
      </c>
      <c r="C728" s="1">
        <v>42726</v>
      </c>
      <c r="D728">
        <v>6.9484000000000004</v>
      </c>
      <c r="E728" s="1">
        <v>42726</v>
      </c>
      <c r="F728">
        <v>6.9484000000000004</v>
      </c>
    </row>
    <row r="729" spans="1:6" x14ac:dyDescent="0.25">
      <c r="A729" s="1">
        <v>42660</v>
      </c>
      <c r="B729">
        <v>6.7473999999999998</v>
      </c>
      <c r="C729" s="1">
        <v>42727</v>
      </c>
      <c r="D729">
        <v>6.9462000000000002</v>
      </c>
      <c r="E729" s="1">
        <v>42727</v>
      </c>
      <c r="F729">
        <v>6.9462000000000002</v>
      </c>
    </row>
    <row r="730" spans="1:6" x14ac:dyDescent="0.25">
      <c r="A730" s="1">
        <v>42661</v>
      </c>
      <c r="B730">
        <v>6.7435999999999998</v>
      </c>
      <c r="C730" s="1">
        <v>42730</v>
      </c>
      <c r="D730">
        <v>6.9489000000000001</v>
      </c>
      <c r="E730" s="1">
        <v>42730</v>
      </c>
      <c r="F730">
        <v>6.9489000000000001</v>
      </c>
    </row>
    <row r="731" spans="1:6" x14ac:dyDescent="0.25">
      <c r="A731" s="1">
        <v>42662</v>
      </c>
      <c r="B731">
        <v>6.7405999999999997</v>
      </c>
      <c r="C731" s="1">
        <v>42731</v>
      </c>
      <c r="D731">
        <v>6.952</v>
      </c>
      <c r="E731" s="1">
        <v>42731</v>
      </c>
      <c r="F731">
        <v>6.952</v>
      </c>
    </row>
    <row r="732" spans="1:6" x14ac:dyDescent="0.25">
      <c r="A732" s="1">
        <v>42663</v>
      </c>
      <c r="B732">
        <v>6.7478999999999996</v>
      </c>
      <c r="C732" s="1">
        <v>42732</v>
      </c>
      <c r="D732">
        <v>6.9612999999999996</v>
      </c>
      <c r="E732" s="1">
        <v>42732</v>
      </c>
      <c r="F732">
        <v>6.9612999999999996</v>
      </c>
    </row>
    <row r="733" spans="1:6" x14ac:dyDescent="0.25">
      <c r="A733" s="1">
        <v>42664</v>
      </c>
      <c r="B733">
        <v>6.7704000000000004</v>
      </c>
      <c r="C733" s="1">
        <v>42733</v>
      </c>
      <c r="D733">
        <v>6.9565000000000001</v>
      </c>
      <c r="E733" s="1">
        <v>42733</v>
      </c>
      <c r="F733">
        <v>6.9565000000000001</v>
      </c>
    </row>
    <row r="734" spans="1:6" x14ac:dyDescent="0.25">
      <c r="A734" s="1">
        <v>42667</v>
      </c>
      <c r="B734">
        <v>6.7828999999999997</v>
      </c>
      <c r="C734" s="1">
        <v>42734</v>
      </c>
      <c r="D734">
        <v>6.9450000000000003</v>
      </c>
      <c r="E734" s="1">
        <v>42734</v>
      </c>
      <c r="F734">
        <v>6.9450000000000003</v>
      </c>
    </row>
    <row r="735" spans="1:6" x14ac:dyDescent="0.25">
      <c r="A735" s="1">
        <v>42668</v>
      </c>
      <c r="B735">
        <v>6.7755999999999998</v>
      </c>
      <c r="C735" s="1">
        <v>42738</v>
      </c>
      <c r="D735">
        <v>6.9640000000000004</v>
      </c>
      <c r="E735" s="1">
        <v>42738</v>
      </c>
      <c r="F735">
        <v>6.9640000000000004</v>
      </c>
    </row>
    <row r="736" spans="1:6" x14ac:dyDescent="0.25">
      <c r="A736" s="1">
        <v>42669</v>
      </c>
      <c r="B736">
        <v>6.7847</v>
      </c>
      <c r="C736" s="1">
        <v>42739</v>
      </c>
      <c r="D736">
        <v>6.9341999999999997</v>
      </c>
      <c r="E736" s="1">
        <v>42739</v>
      </c>
      <c r="F736">
        <v>6.9341999999999997</v>
      </c>
    </row>
    <row r="737" spans="1:6" x14ac:dyDescent="0.25">
      <c r="A737" s="1">
        <v>42670</v>
      </c>
      <c r="B737">
        <v>6.7952000000000004</v>
      </c>
      <c r="C737" s="1">
        <v>42740</v>
      </c>
      <c r="D737">
        <v>6.8765999999999998</v>
      </c>
      <c r="E737" s="1">
        <v>42740</v>
      </c>
      <c r="F737">
        <v>6.8765999999999998</v>
      </c>
    </row>
    <row r="738" spans="1:6" x14ac:dyDescent="0.25">
      <c r="A738" s="1">
        <v>42671</v>
      </c>
      <c r="B738">
        <v>6.7847999999999997</v>
      </c>
      <c r="C738" s="1">
        <v>42741</v>
      </c>
      <c r="D738">
        <v>6.9260000000000002</v>
      </c>
      <c r="E738" s="1">
        <v>42741</v>
      </c>
      <c r="F738">
        <v>6.9260000000000002</v>
      </c>
    </row>
    <row r="739" spans="1:6" x14ac:dyDescent="0.25">
      <c r="A739" s="1">
        <v>42674</v>
      </c>
      <c r="B739">
        <v>6.7777000000000003</v>
      </c>
      <c r="C739" s="1">
        <v>42744</v>
      </c>
      <c r="D739">
        <v>6.9375</v>
      </c>
      <c r="E739" s="1">
        <v>42744</v>
      </c>
      <c r="F739">
        <v>6.9375</v>
      </c>
    </row>
    <row r="740" spans="1:6" x14ac:dyDescent="0.25">
      <c r="A740" s="1">
        <v>42675</v>
      </c>
      <c r="B740">
        <v>6.7732999999999999</v>
      </c>
      <c r="C740" s="1">
        <v>42745</v>
      </c>
      <c r="D740">
        <v>6.9215</v>
      </c>
      <c r="E740" s="1">
        <v>42745</v>
      </c>
      <c r="F740">
        <v>6.9215</v>
      </c>
    </row>
    <row r="741" spans="1:6" x14ac:dyDescent="0.25">
      <c r="A741" s="1">
        <v>42676</v>
      </c>
      <c r="B741">
        <v>6.7679</v>
      </c>
      <c r="C741" s="1">
        <v>42746</v>
      </c>
      <c r="D741">
        <v>6.9377000000000004</v>
      </c>
      <c r="E741" s="1">
        <v>42746</v>
      </c>
      <c r="F741">
        <v>6.9377000000000004</v>
      </c>
    </row>
    <row r="742" spans="1:6" x14ac:dyDescent="0.25">
      <c r="A742" s="1">
        <v>42677</v>
      </c>
      <c r="B742">
        <v>6.7702</v>
      </c>
      <c r="C742" s="1">
        <v>42747</v>
      </c>
      <c r="D742">
        <v>6.8940999999999999</v>
      </c>
      <c r="E742" s="1">
        <v>42747</v>
      </c>
      <c r="F742">
        <v>6.8940999999999999</v>
      </c>
    </row>
    <row r="743" spans="1:6" x14ac:dyDescent="0.25">
      <c r="A743" s="1">
        <v>42678</v>
      </c>
      <c r="B743">
        <v>6.7728000000000002</v>
      </c>
      <c r="C743" s="1">
        <v>42748</v>
      </c>
      <c r="D743">
        <v>6.9005000000000001</v>
      </c>
      <c r="E743" s="1">
        <v>42748</v>
      </c>
      <c r="F743">
        <v>6.9005000000000001</v>
      </c>
    </row>
    <row r="744" spans="1:6" x14ac:dyDescent="0.25">
      <c r="A744" s="1">
        <v>42681</v>
      </c>
      <c r="B744">
        <v>6.7938000000000001</v>
      </c>
      <c r="C744" s="1">
        <v>42751</v>
      </c>
      <c r="D744">
        <v>6.9008000000000003</v>
      </c>
      <c r="E744" s="1">
        <v>42751</v>
      </c>
      <c r="F744">
        <v>6.9008000000000003</v>
      </c>
    </row>
    <row r="745" spans="1:6" x14ac:dyDescent="0.25">
      <c r="A745" s="1">
        <v>42682</v>
      </c>
      <c r="B745">
        <v>6.7979000000000003</v>
      </c>
      <c r="C745" s="1">
        <v>42752</v>
      </c>
      <c r="D745">
        <v>6.8449999999999998</v>
      </c>
      <c r="E745" s="1">
        <v>42752</v>
      </c>
      <c r="F745">
        <v>6.8449999999999998</v>
      </c>
    </row>
    <row r="746" spans="1:6" x14ac:dyDescent="0.25">
      <c r="A746" s="1">
        <v>42683</v>
      </c>
      <c r="B746">
        <v>6.8341000000000003</v>
      </c>
      <c r="C746" s="1">
        <v>42753</v>
      </c>
      <c r="D746">
        <v>6.8495999999999997</v>
      </c>
      <c r="E746" s="1">
        <v>42753</v>
      </c>
      <c r="F746">
        <v>6.8495999999999997</v>
      </c>
    </row>
    <row r="747" spans="1:6" x14ac:dyDescent="0.25">
      <c r="A747" s="1">
        <v>42684</v>
      </c>
      <c r="B747">
        <v>6.8300999999999998</v>
      </c>
      <c r="C747" s="1">
        <v>42754</v>
      </c>
      <c r="D747">
        <v>6.8719999999999999</v>
      </c>
      <c r="E747" s="1">
        <v>42754</v>
      </c>
      <c r="F747">
        <v>6.8719999999999999</v>
      </c>
    </row>
    <row r="748" spans="1:6" x14ac:dyDescent="0.25">
      <c r="A748" s="1">
        <v>42685</v>
      </c>
      <c r="B748">
        <v>6.8226000000000004</v>
      </c>
      <c r="C748" s="1">
        <v>42755</v>
      </c>
      <c r="D748">
        <v>6.8765000000000001</v>
      </c>
      <c r="E748" s="1">
        <v>42755</v>
      </c>
      <c r="F748">
        <v>6.8765000000000001</v>
      </c>
    </row>
    <row r="749" spans="1:6" x14ac:dyDescent="0.25">
      <c r="A749" s="1">
        <v>42688</v>
      </c>
      <c r="B749">
        <v>6.8555999999999999</v>
      </c>
      <c r="C749" s="1">
        <v>42758</v>
      </c>
      <c r="D749">
        <v>6.8536999999999999</v>
      </c>
      <c r="E749" s="1">
        <v>42758</v>
      </c>
      <c r="F749">
        <v>6.8536999999999999</v>
      </c>
    </row>
    <row r="750" spans="1:6" x14ac:dyDescent="0.25">
      <c r="A750" s="1">
        <v>42689</v>
      </c>
      <c r="B750">
        <v>6.8730000000000002</v>
      </c>
      <c r="C750" s="1">
        <v>42759</v>
      </c>
      <c r="D750">
        <v>6.859</v>
      </c>
      <c r="E750" s="1">
        <v>42759</v>
      </c>
      <c r="F750">
        <v>6.859</v>
      </c>
    </row>
    <row r="751" spans="1:6" x14ac:dyDescent="0.25">
      <c r="A751" s="1">
        <v>42690</v>
      </c>
      <c r="B751">
        <v>6.8895999999999997</v>
      </c>
      <c r="C751" s="1">
        <v>42760</v>
      </c>
      <c r="D751">
        <v>6.8836000000000004</v>
      </c>
      <c r="E751" s="1">
        <v>42760</v>
      </c>
      <c r="F751">
        <v>6.8836000000000004</v>
      </c>
    </row>
    <row r="752" spans="1:6" x14ac:dyDescent="0.25">
      <c r="A752" s="1">
        <v>42691</v>
      </c>
      <c r="B752">
        <v>6.9043999999999999</v>
      </c>
      <c r="C752" s="1">
        <v>42761</v>
      </c>
      <c r="D752">
        <v>6.8840000000000003</v>
      </c>
      <c r="E752" s="1">
        <v>42761</v>
      </c>
      <c r="F752">
        <v>6.8840000000000003</v>
      </c>
    </row>
    <row r="753" spans="1:6" x14ac:dyDescent="0.25">
      <c r="A753" s="1">
        <v>42692</v>
      </c>
      <c r="B753">
        <v>6.9054000000000002</v>
      </c>
      <c r="C753" s="1">
        <v>42769</v>
      </c>
      <c r="D753">
        <v>6.8672000000000004</v>
      </c>
      <c r="E753" s="1">
        <v>42769</v>
      </c>
      <c r="F753">
        <v>6.8672000000000004</v>
      </c>
    </row>
    <row r="754" spans="1:6" x14ac:dyDescent="0.25">
      <c r="A754" s="1">
        <v>42695</v>
      </c>
      <c r="B754">
        <v>6.9047999999999998</v>
      </c>
      <c r="C754" s="1">
        <v>42772</v>
      </c>
      <c r="D754">
        <v>6.8630000000000004</v>
      </c>
      <c r="E754" s="1">
        <v>42772</v>
      </c>
      <c r="F754">
        <v>6.8630000000000004</v>
      </c>
    </row>
    <row r="755" spans="1:6" x14ac:dyDescent="0.25">
      <c r="A755" s="1">
        <v>42696</v>
      </c>
      <c r="B755">
        <v>6.9119999999999999</v>
      </c>
      <c r="C755" s="1">
        <v>42773</v>
      </c>
      <c r="D755">
        <v>6.8853</v>
      </c>
      <c r="E755" s="1">
        <v>42773</v>
      </c>
      <c r="F755">
        <v>6.8853</v>
      </c>
    </row>
    <row r="756" spans="1:6" x14ac:dyDescent="0.25">
      <c r="A756" s="1">
        <v>42697</v>
      </c>
      <c r="B756">
        <v>6.9545000000000003</v>
      </c>
      <c r="C756" s="1">
        <v>42774</v>
      </c>
      <c r="D756">
        <v>6.8638000000000003</v>
      </c>
      <c r="E756" s="1">
        <v>42774</v>
      </c>
      <c r="F756">
        <v>6.8638000000000003</v>
      </c>
    </row>
    <row r="757" spans="1:6" x14ac:dyDescent="0.25">
      <c r="A757" s="1">
        <v>42698</v>
      </c>
      <c r="B757">
        <v>6.9477000000000002</v>
      </c>
      <c r="C757" s="1">
        <v>42775</v>
      </c>
      <c r="D757">
        <v>6.8692000000000002</v>
      </c>
      <c r="E757" s="1">
        <v>42775</v>
      </c>
      <c r="F757">
        <v>6.8692000000000002</v>
      </c>
    </row>
    <row r="758" spans="1:6" x14ac:dyDescent="0.25">
      <c r="A758" s="1">
        <v>42699</v>
      </c>
      <c r="B758">
        <v>6.9465000000000003</v>
      </c>
      <c r="C758" s="1">
        <v>42776</v>
      </c>
      <c r="D758">
        <v>6.8784999999999998</v>
      </c>
      <c r="E758" s="1">
        <v>42776</v>
      </c>
      <c r="F758">
        <v>6.8784999999999998</v>
      </c>
    </row>
    <row r="759" spans="1:6" x14ac:dyDescent="0.25">
      <c r="A759" s="1">
        <v>42702</v>
      </c>
      <c r="B759">
        <v>6.9275000000000002</v>
      </c>
      <c r="C759" s="1">
        <v>42779</v>
      </c>
      <c r="D759">
        <v>6.8802000000000003</v>
      </c>
      <c r="E759" s="1">
        <v>42779</v>
      </c>
      <c r="F759">
        <v>6.8802000000000003</v>
      </c>
    </row>
    <row r="760" spans="1:6" x14ac:dyDescent="0.25">
      <c r="A760" s="1">
        <v>42703</v>
      </c>
      <c r="B760">
        <v>6.9135999999999997</v>
      </c>
      <c r="C760" s="1">
        <v>42780</v>
      </c>
      <c r="D760">
        <v>6.8674999999999997</v>
      </c>
      <c r="E760" s="1">
        <v>42780</v>
      </c>
      <c r="F760">
        <v>6.8674999999999997</v>
      </c>
    </row>
    <row r="761" spans="1:6" x14ac:dyDescent="0.25">
      <c r="A761" s="1">
        <v>42704</v>
      </c>
      <c r="B761">
        <v>6.9161999999999999</v>
      </c>
      <c r="C761" s="1">
        <v>42781</v>
      </c>
      <c r="D761">
        <v>6.8711000000000002</v>
      </c>
      <c r="E761" s="1">
        <v>42781</v>
      </c>
      <c r="F761">
        <v>6.8711000000000002</v>
      </c>
    </row>
    <row r="762" spans="1:6" x14ac:dyDescent="0.25">
      <c r="A762" s="1">
        <v>42705</v>
      </c>
      <c r="B762">
        <v>6.8804999999999996</v>
      </c>
      <c r="C762" s="1">
        <v>42782</v>
      </c>
      <c r="D762">
        <v>6.8529999999999998</v>
      </c>
      <c r="E762" s="1">
        <v>42782</v>
      </c>
      <c r="F762">
        <v>6.8529999999999998</v>
      </c>
    </row>
    <row r="763" spans="1:6" x14ac:dyDescent="0.25">
      <c r="A763" s="1">
        <v>42706</v>
      </c>
      <c r="B763">
        <v>6.8704000000000001</v>
      </c>
      <c r="C763" s="1">
        <v>42783</v>
      </c>
      <c r="D763">
        <v>6.8665000000000003</v>
      </c>
      <c r="E763" s="1">
        <v>42783</v>
      </c>
      <c r="F763">
        <v>6.8665000000000003</v>
      </c>
    </row>
    <row r="764" spans="1:6" x14ac:dyDescent="0.25">
      <c r="A764" s="1">
        <v>42709</v>
      </c>
      <c r="B764">
        <v>6.8655999999999997</v>
      </c>
      <c r="C764" s="1">
        <v>42786</v>
      </c>
      <c r="D764">
        <v>6.8784999999999998</v>
      </c>
      <c r="E764" s="1">
        <v>42786</v>
      </c>
      <c r="F764">
        <v>6.8784999999999998</v>
      </c>
    </row>
    <row r="765" spans="1:6" x14ac:dyDescent="0.25">
      <c r="A765" s="1">
        <v>42710</v>
      </c>
      <c r="B765">
        <v>6.8878000000000004</v>
      </c>
      <c r="C765" s="1">
        <v>42787</v>
      </c>
      <c r="D765">
        <v>6.8840000000000003</v>
      </c>
      <c r="E765" s="1">
        <v>42787</v>
      </c>
      <c r="F765">
        <v>6.8840000000000003</v>
      </c>
    </row>
    <row r="766" spans="1:6" x14ac:dyDescent="0.25">
      <c r="A766" s="1">
        <v>42711</v>
      </c>
      <c r="B766">
        <v>6.8960999999999997</v>
      </c>
      <c r="C766" s="1">
        <v>42788</v>
      </c>
      <c r="D766">
        <v>6.8777999999999997</v>
      </c>
      <c r="E766" s="1">
        <v>42788</v>
      </c>
      <c r="F766">
        <v>6.8777999999999997</v>
      </c>
    </row>
    <row r="767" spans="1:6" x14ac:dyDescent="0.25">
      <c r="A767" s="1">
        <v>42712</v>
      </c>
      <c r="B767">
        <v>6.9123999999999999</v>
      </c>
      <c r="C767" s="1">
        <v>42789</v>
      </c>
      <c r="D767">
        <v>6.8661000000000003</v>
      </c>
      <c r="E767" s="1">
        <v>42789</v>
      </c>
      <c r="F767">
        <v>6.8661000000000003</v>
      </c>
    </row>
    <row r="768" spans="1:6" x14ac:dyDescent="0.25">
      <c r="A768" s="1">
        <v>42713</v>
      </c>
      <c r="B768">
        <v>6.9282000000000004</v>
      </c>
      <c r="C768" s="1">
        <v>42790</v>
      </c>
      <c r="D768">
        <v>6.8691000000000004</v>
      </c>
      <c r="E768" s="1">
        <v>42790</v>
      </c>
      <c r="F768">
        <v>6.8691000000000004</v>
      </c>
    </row>
    <row r="769" spans="1:6" x14ac:dyDescent="0.25">
      <c r="A769" s="1">
        <v>42716</v>
      </c>
      <c r="B769">
        <v>6.9268999999999998</v>
      </c>
      <c r="C769" s="1">
        <v>42793</v>
      </c>
      <c r="D769">
        <v>6.8708</v>
      </c>
      <c r="E769" s="1">
        <v>42793</v>
      </c>
      <c r="F769">
        <v>6.8708</v>
      </c>
    </row>
    <row r="770" spans="1:6" x14ac:dyDescent="0.25">
      <c r="A770" s="1">
        <v>42717</v>
      </c>
      <c r="B770">
        <v>6.9207999999999998</v>
      </c>
      <c r="C770" s="1">
        <v>42794</v>
      </c>
      <c r="D770">
        <v>6.867</v>
      </c>
      <c r="E770" s="1">
        <v>42794</v>
      </c>
      <c r="F770">
        <v>6.867</v>
      </c>
    </row>
    <row r="771" spans="1:6" x14ac:dyDescent="0.25">
      <c r="A771" s="1">
        <v>42718</v>
      </c>
      <c r="B771">
        <v>6.9269999999999996</v>
      </c>
      <c r="C771" s="1">
        <v>42795</v>
      </c>
      <c r="D771">
        <v>6.8818999999999999</v>
      </c>
      <c r="E771" s="1">
        <v>42795</v>
      </c>
      <c r="F771">
        <v>6.8818999999999999</v>
      </c>
    </row>
    <row r="772" spans="1:6" x14ac:dyDescent="0.25">
      <c r="A772" s="1">
        <v>42719</v>
      </c>
      <c r="B772">
        <v>6.9330999999999996</v>
      </c>
      <c r="C772" s="1">
        <v>42796</v>
      </c>
      <c r="D772">
        <v>6.8898999999999999</v>
      </c>
      <c r="E772" s="1">
        <v>42796</v>
      </c>
      <c r="F772">
        <v>6.8898999999999999</v>
      </c>
    </row>
    <row r="773" spans="1:6" x14ac:dyDescent="0.25">
      <c r="A773" s="1">
        <v>42720</v>
      </c>
      <c r="B773">
        <v>6.9672000000000001</v>
      </c>
      <c r="C773" s="1">
        <v>42797</v>
      </c>
      <c r="D773">
        <v>6.8971999999999998</v>
      </c>
      <c r="E773" s="1">
        <v>42797</v>
      </c>
      <c r="F773">
        <v>6.8971999999999998</v>
      </c>
    </row>
    <row r="774" spans="1:6" x14ac:dyDescent="0.25">
      <c r="A774" s="1">
        <v>42723</v>
      </c>
      <c r="B774">
        <v>6.9325000000000001</v>
      </c>
      <c r="C774" s="1">
        <v>42800</v>
      </c>
      <c r="D774">
        <v>6.8970000000000002</v>
      </c>
      <c r="E774" s="1">
        <v>42800</v>
      </c>
      <c r="F774">
        <v>6.8970000000000002</v>
      </c>
    </row>
    <row r="775" spans="1:6" x14ac:dyDescent="0.25">
      <c r="A775" s="1">
        <v>42724</v>
      </c>
      <c r="B775">
        <v>6.9390000000000001</v>
      </c>
      <c r="C775" s="1">
        <v>42801</v>
      </c>
      <c r="D775">
        <v>6.9024999999999999</v>
      </c>
      <c r="E775" s="1">
        <v>42801</v>
      </c>
      <c r="F775">
        <v>6.9024999999999999</v>
      </c>
    </row>
    <row r="776" spans="1:6" x14ac:dyDescent="0.25">
      <c r="A776" s="1">
        <v>42725</v>
      </c>
      <c r="B776">
        <v>6.9306000000000001</v>
      </c>
      <c r="C776" s="1">
        <v>42802</v>
      </c>
      <c r="D776">
        <v>6.9131</v>
      </c>
      <c r="E776" s="1">
        <v>42802</v>
      </c>
      <c r="F776">
        <v>6.9131</v>
      </c>
    </row>
    <row r="777" spans="1:6" x14ac:dyDescent="0.25">
      <c r="A777" s="1">
        <v>42726</v>
      </c>
      <c r="B777">
        <v>6.9489999999999998</v>
      </c>
      <c r="C777" s="1">
        <v>42803</v>
      </c>
      <c r="D777">
        <v>6.9109999999999996</v>
      </c>
      <c r="E777" s="1">
        <v>42803</v>
      </c>
      <c r="F777">
        <v>6.9109999999999996</v>
      </c>
    </row>
    <row r="778" spans="1:6" x14ac:dyDescent="0.25">
      <c r="A778" s="1">
        <v>42727</v>
      </c>
      <c r="B778">
        <v>6.9569999999999999</v>
      </c>
      <c r="C778" s="1">
        <v>42804</v>
      </c>
      <c r="D778">
        <v>6.9093</v>
      </c>
      <c r="E778" s="1">
        <v>42804</v>
      </c>
      <c r="F778">
        <v>6.9093</v>
      </c>
    </row>
    <row r="779" spans="1:6" x14ac:dyDescent="0.25">
      <c r="A779" s="1">
        <v>42730</v>
      </c>
      <c r="B779">
        <v>6.9565000000000001</v>
      </c>
      <c r="C779" s="1">
        <v>42807</v>
      </c>
      <c r="D779">
        <v>6.9142999999999999</v>
      </c>
      <c r="E779" s="1">
        <v>42807</v>
      </c>
      <c r="F779">
        <v>6.9142999999999999</v>
      </c>
    </row>
    <row r="780" spans="1:6" x14ac:dyDescent="0.25">
      <c r="A780" s="1">
        <v>42731</v>
      </c>
      <c r="B780">
        <v>6.9580000000000002</v>
      </c>
      <c r="C780" s="1">
        <v>42808</v>
      </c>
      <c r="D780">
        <v>6.915</v>
      </c>
      <c r="E780" s="1">
        <v>42808</v>
      </c>
      <c r="F780">
        <v>6.915</v>
      </c>
    </row>
    <row r="781" spans="1:6" x14ac:dyDescent="0.25">
      <c r="A781" s="1">
        <v>42732</v>
      </c>
      <c r="B781">
        <v>6.9711999999999996</v>
      </c>
      <c r="C781" s="1">
        <v>42809</v>
      </c>
      <c r="D781">
        <v>6.9149000000000003</v>
      </c>
      <c r="E781" s="1">
        <v>42809</v>
      </c>
      <c r="F781">
        <v>6.9149000000000003</v>
      </c>
    </row>
    <row r="782" spans="1:6" x14ac:dyDescent="0.25">
      <c r="A782" s="1">
        <v>42733</v>
      </c>
      <c r="B782">
        <v>6.9640000000000004</v>
      </c>
      <c r="C782" s="1">
        <v>42810</v>
      </c>
      <c r="D782">
        <v>6.8979999999999997</v>
      </c>
      <c r="E782" s="1">
        <v>42810</v>
      </c>
      <c r="F782">
        <v>6.8979999999999997</v>
      </c>
    </row>
    <row r="783" spans="1:6" x14ac:dyDescent="0.25">
      <c r="A783" s="1">
        <v>42734</v>
      </c>
      <c r="B783">
        <v>6.9760999999999997</v>
      </c>
      <c r="C783" s="1">
        <v>42811</v>
      </c>
      <c r="D783">
        <v>6.9034000000000004</v>
      </c>
      <c r="E783" s="1">
        <v>42811</v>
      </c>
      <c r="F783">
        <v>6.9034000000000004</v>
      </c>
    </row>
    <row r="784" spans="1:6" x14ac:dyDescent="0.25">
      <c r="A784" s="1">
        <v>42737</v>
      </c>
      <c r="B784">
        <v>6.9751000000000003</v>
      </c>
      <c r="C784" s="1">
        <v>42814</v>
      </c>
      <c r="D784">
        <v>6.9085000000000001</v>
      </c>
      <c r="E784" s="1">
        <v>42814</v>
      </c>
      <c r="F784">
        <v>6.9085000000000001</v>
      </c>
    </row>
    <row r="785" spans="1:6" x14ac:dyDescent="0.25">
      <c r="A785" s="1">
        <v>42738</v>
      </c>
      <c r="B785">
        <v>6.9589999999999996</v>
      </c>
      <c r="C785" s="1">
        <v>42815</v>
      </c>
      <c r="D785">
        <v>6.8874000000000004</v>
      </c>
      <c r="E785" s="1">
        <v>42815</v>
      </c>
      <c r="F785">
        <v>6.8874000000000004</v>
      </c>
    </row>
    <row r="786" spans="1:6" x14ac:dyDescent="0.25">
      <c r="A786" s="1">
        <v>42739</v>
      </c>
      <c r="B786">
        <v>6.8659999999999997</v>
      </c>
      <c r="C786" s="1">
        <v>42816</v>
      </c>
      <c r="D786">
        <v>6.8818999999999999</v>
      </c>
      <c r="E786" s="1">
        <v>42816</v>
      </c>
      <c r="F786">
        <v>6.8818999999999999</v>
      </c>
    </row>
    <row r="787" spans="1:6" x14ac:dyDescent="0.25">
      <c r="A787" s="1">
        <v>42740</v>
      </c>
      <c r="B787">
        <v>6.7888999999999999</v>
      </c>
      <c r="C787" s="1">
        <v>42817</v>
      </c>
      <c r="D787">
        <v>6.8863000000000003</v>
      </c>
      <c r="E787" s="1">
        <v>42817</v>
      </c>
      <c r="F787">
        <v>6.8863000000000003</v>
      </c>
    </row>
    <row r="788" spans="1:6" x14ac:dyDescent="0.25">
      <c r="A788" s="1">
        <v>42741</v>
      </c>
      <c r="B788">
        <v>6.8498000000000001</v>
      </c>
      <c r="C788" s="1">
        <v>42818</v>
      </c>
      <c r="D788">
        <v>6.8837000000000002</v>
      </c>
      <c r="E788" s="1">
        <v>42818</v>
      </c>
      <c r="F788">
        <v>6.8837000000000002</v>
      </c>
    </row>
    <row r="789" spans="1:6" x14ac:dyDescent="0.25">
      <c r="A789" s="1">
        <v>42744</v>
      </c>
      <c r="B789">
        <v>6.8796999999999997</v>
      </c>
      <c r="C789" s="1">
        <v>42821</v>
      </c>
      <c r="D789">
        <v>6.8728999999999996</v>
      </c>
      <c r="E789" s="1">
        <v>42821</v>
      </c>
      <c r="F789">
        <v>6.8728999999999996</v>
      </c>
    </row>
    <row r="790" spans="1:6" x14ac:dyDescent="0.25">
      <c r="A790" s="1">
        <v>42745</v>
      </c>
      <c r="B790">
        <v>6.9103000000000003</v>
      </c>
      <c r="C790" s="1">
        <v>42822</v>
      </c>
      <c r="D790">
        <v>6.8795000000000002</v>
      </c>
      <c r="E790" s="1">
        <v>42822</v>
      </c>
      <c r="F790">
        <v>6.8795000000000002</v>
      </c>
    </row>
    <row r="791" spans="1:6" x14ac:dyDescent="0.25">
      <c r="A791" s="1">
        <v>42746</v>
      </c>
      <c r="B791">
        <v>6.8869999999999996</v>
      </c>
      <c r="C791" s="1">
        <v>42823</v>
      </c>
      <c r="D791">
        <v>6.8901000000000003</v>
      </c>
      <c r="E791" s="1">
        <v>42823</v>
      </c>
      <c r="F791">
        <v>6.8901000000000003</v>
      </c>
    </row>
    <row r="792" spans="1:6" x14ac:dyDescent="0.25">
      <c r="A792" s="1">
        <v>42747</v>
      </c>
      <c r="B792">
        <v>6.8597000000000001</v>
      </c>
      <c r="C792" s="1">
        <v>42824</v>
      </c>
      <c r="D792">
        <v>6.8894000000000002</v>
      </c>
      <c r="E792" s="1">
        <v>42824</v>
      </c>
      <c r="F792">
        <v>6.8894000000000002</v>
      </c>
    </row>
    <row r="793" spans="1:6" x14ac:dyDescent="0.25">
      <c r="A793" s="1">
        <v>42748</v>
      </c>
      <c r="B793">
        <v>6.843</v>
      </c>
      <c r="C793" s="1">
        <v>42825</v>
      </c>
      <c r="D793">
        <v>6.8872</v>
      </c>
      <c r="E793" s="1">
        <v>42825</v>
      </c>
      <c r="F793">
        <v>6.8872</v>
      </c>
    </row>
    <row r="794" spans="1:6" x14ac:dyDescent="0.25">
      <c r="A794" s="1">
        <v>42751</v>
      </c>
      <c r="B794">
        <v>6.8593999999999999</v>
      </c>
      <c r="C794" s="1">
        <v>42830</v>
      </c>
      <c r="D794">
        <v>6.8948</v>
      </c>
      <c r="E794" s="1">
        <v>42830</v>
      </c>
      <c r="F794">
        <v>6.8948</v>
      </c>
    </row>
    <row r="795" spans="1:6" x14ac:dyDescent="0.25">
      <c r="A795" s="1">
        <v>42752</v>
      </c>
      <c r="B795">
        <v>6.8022999999999998</v>
      </c>
      <c r="C795" s="1">
        <v>42831</v>
      </c>
      <c r="D795">
        <v>6.8977000000000004</v>
      </c>
      <c r="E795" s="1">
        <v>42831</v>
      </c>
      <c r="F795">
        <v>6.8977000000000004</v>
      </c>
    </row>
    <row r="796" spans="1:6" x14ac:dyDescent="0.25">
      <c r="A796" s="1">
        <v>42753</v>
      </c>
      <c r="B796">
        <v>6.8402000000000003</v>
      </c>
      <c r="C796" s="1">
        <v>42832</v>
      </c>
      <c r="D796">
        <v>6.9005000000000001</v>
      </c>
      <c r="E796" s="1">
        <v>42832</v>
      </c>
      <c r="F796">
        <v>6.9005000000000001</v>
      </c>
    </row>
    <row r="797" spans="1:6" x14ac:dyDescent="0.25">
      <c r="A797" s="1">
        <v>42754</v>
      </c>
      <c r="B797">
        <v>6.8464</v>
      </c>
      <c r="C797" s="1">
        <v>42835</v>
      </c>
      <c r="D797">
        <v>6.9029999999999996</v>
      </c>
      <c r="E797" s="1">
        <v>42835</v>
      </c>
      <c r="F797">
        <v>6.9029999999999996</v>
      </c>
    </row>
    <row r="798" spans="1:6" x14ac:dyDescent="0.25">
      <c r="A798" s="1">
        <v>42755</v>
      </c>
      <c r="B798">
        <v>6.8404999999999996</v>
      </c>
      <c r="C798" s="1">
        <v>42836</v>
      </c>
      <c r="D798">
        <v>6.8921000000000001</v>
      </c>
      <c r="E798" s="1">
        <v>42836</v>
      </c>
      <c r="F798">
        <v>6.8921000000000001</v>
      </c>
    </row>
    <row r="799" spans="1:6" x14ac:dyDescent="0.25">
      <c r="A799" s="1">
        <v>42758</v>
      </c>
      <c r="B799">
        <v>6.8127000000000004</v>
      </c>
      <c r="C799" s="1">
        <v>42837</v>
      </c>
      <c r="D799">
        <v>6.8914999999999997</v>
      </c>
      <c r="E799" s="1">
        <v>42837</v>
      </c>
      <c r="F799">
        <v>6.8914999999999997</v>
      </c>
    </row>
    <row r="800" spans="1:6" x14ac:dyDescent="0.25">
      <c r="A800" s="1">
        <v>42759</v>
      </c>
      <c r="B800">
        <v>6.8159999999999998</v>
      </c>
      <c r="C800" s="1">
        <v>42838</v>
      </c>
      <c r="D800">
        <v>6.89</v>
      </c>
      <c r="E800" s="1">
        <v>42838</v>
      </c>
      <c r="F800">
        <v>6.89</v>
      </c>
    </row>
    <row r="801" spans="1:6" x14ac:dyDescent="0.25">
      <c r="A801" s="1">
        <v>42760</v>
      </c>
      <c r="B801">
        <v>6.8277000000000001</v>
      </c>
      <c r="C801" s="1">
        <v>42839</v>
      </c>
      <c r="D801">
        <v>6.8853999999999997</v>
      </c>
      <c r="E801" s="1">
        <v>42839</v>
      </c>
      <c r="F801">
        <v>6.8853999999999997</v>
      </c>
    </row>
    <row r="802" spans="1:6" x14ac:dyDescent="0.25">
      <c r="A802" s="1">
        <v>42761</v>
      </c>
      <c r="B802">
        <v>6.8502999999999998</v>
      </c>
      <c r="C802" s="1">
        <v>42842</v>
      </c>
      <c r="D802">
        <v>6.8803000000000001</v>
      </c>
      <c r="E802" s="1">
        <v>42842</v>
      </c>
      <c r="F802">
        <v>6.8803000000000001</v>
      </c>
    </row>
    <row r="803" spans="1:6" x14ac:dyDescent="0.25">
      <c r="A803" s="1">
        <v>42762</v>
      </c>
      <c r="B803">
        <v>6.8693</v>
      </c>
      <c r="C803" s="1">
        <v>42843</v>
      </c>
      <c r="D803">
        <v>6.8819999999999997</v>
      </c>
      <c r="E803" s="1">
        <v>42843</v>
      </c>
      <c r="F803">
        <v>6.8819999999999997</v>
      </c>
    </row>
    <row r="804" spans="1:6" x14ac:dyDescent="0.25">
      <c r="A804" s="1">
        <v>42765</v>
      </c>
      <c r="B804">
        <v>6.8632999999999997</v>
      </c>
      <c r="C804" s="1">
        <v>42844</v>
      </c>
      <c r="D804">
        <v>6.8879999999999999</v>
      </c>
      <c r="E804" s="1">
        <v>42844</v>
      </c>
      <c r="F804">
        <v>6.8879999999999999</v>
      </c>
    </row>
    <row r="805" spans="1:6" x14ac:dyDescent="0.25">
      <c r="A805" s="1">
        <v>42766</v>
      </c>
      <c r="B805">
        <v>6.8274999999999997</v>
      </c>
      <c r="C805" s="1">
        <v>42845</v>
      </c>
      <c r="D805">
        <v>6.8822000000000001</v>
      </c>
      <c r="E805" s="1">
        <v>42845</v>
      </c>
      <c r="F805">
        <v>6.8822000000000001</v>
      </c>
    </row>
    <row r="806" spans="1:6" x14ac:dyDescent="0.25">
      <c r="A806" s="1">
        <v>42767</v>
      </c>
      <c r="B806">
        <v>6.8310000000000004</v>
      </c>
      <c r="C806" s="1">
        <v>42846</v>
      </c>
      <c r="D806">
        <v>6.8859000000000004</v>
      </c>
      <c r="E806" s="1">
        <v>42846</v>
      </c>
      <c r="F806">
        <v>6.8859000000000004</v>
      </c>
    </row>
    <row r="807" spans="1:6" x14ac:dyDescent="0.25">
      <c r="A807" s="1">
        <v>42768</v>
      </c>
      <c r="B807">
        <v>6.8101000000000003</v>
      </c>
      <c r="C807" s="1">
        <v>42849</v>
      </c>
      <c r="D807">
        <v>6.8846999999999996</v>
      </c>
      <c r="E807" s="1">
        <v>42849</v>
      </c>
      <c r="F807">
        <v>6.8846999999999996</v>
      </c>
    </row>
    <row r="808" spans="1:6" x14ac:dyDescent="0.25">
      <c r="A808" s="1">
        <v>42769</v>
      </c>
      <c r="B808">
        <v>6.8025000000000002</v>
      </c>
      <c r="C808" s="1">
        <v>42850</v>
      </c>
      <c r="D808">
        <v>6.8846999999999996</v>
      </c>
      <c r="E808" s="1">
        <v>42850</v>
      </c>
      <c r="F808">
        <v>6.8846999999999996</v>
      </c>
    </row>
    <row r="809" spans="1:6" x14ac:dyDescent="0.25">
      <c r="A809" s="1">
        <v>42772</v>
      </c>
      <c r="B809">
        <v>6.8002000000000002</v>
      </c>
      <c r="C809" s="1">
        <v>42851</v>
      </c>
      <c r="D809">
        <v>6.8925999999999998</v>
      </c>
      <c r="E809" s="1">
        <v>42851</v>
      </c>
      <c r="F809">
        <v>6.8925999999999998</v>
      </c>
    </row>
    <row r="810" spans="1:6" x14ac:dyDescent="0.25">
      <c r="A810" s="1">
        <v>42773</v>
      </c>
      <c r="B810">
        <v>6.8352000000000004</v>
      </c>
      <c r="C810" s="1">
        <v>42852</v>
      </c>
      <c r="D810">
        <v>6.8978999999999999</v>
      </c>
      <c r="E810" s="1">
        <v>42852</v>
      </c>
      <c r="F810">
        <v>6.8978999999999999</v>
      </c>
    </row>
    <row r="811" spans="1:6" x14ac:dyDescent="0.25">
      <c r="A811" s="1">
        <v>42774</v>
      </c>
      <c r="B811">
        <v>6.8422000000000001</v>
      </c>
      <c r="C811" s="1">
        <v>42853</v>
      </c>
      <c r="D811">
        <v>6.8935000000000004</v>
      </c>
      <c r="E811" s="1">
        <v>42853</v>
      </c>
      <c r="F811">
        <v>6.8935000000000004</v>
      </c>
    </row>
    <row r="812" spans="1:6" x14ac:dyDescent="0.25">
      <c r="A812" s="1">
        <v>42775</v>
      </c>
      <c r="B812">
        <v>6.8636999999999997</v>
      </c>
      <c r="C812" s="1">
        <v>42857</v>
      </c>
      <c r="D812">
        <v>6.8959000000000001</v>
      </c>
      <c r="E812" s="1">
        <v>42857</v>
      </c>
      <c r="F812">
        <v>6.8959000000000001</v>
      </c>
    </row>
    <row r="813" spans="1:6" x14ac:dyDescent="0.25">
      <c r="A813" s="1">
        <v>42776</v>
      </c>
      <c r="B813">
        <v>6.8634000000000004</v>
      </c>
      <c r="C813" s="1">
        <v>42858</v>
      </c>
      <c r="D813">
        <v>6.8989000000000003</v>
      </c>
      <c r="E813" s="1">
        <v>42858</v>
      </c>
      <c r="F813">
        <v>6.8989000000000003</v>
      </c>
    </row>
    <row r="814" spans="1:6" x14ac:dyDescent="0.25">
      <c r="A814" s="1">
        <v>42779</v>
      </c>
      <c r="B814">
        <v>6.8741000000000003</v>
      </c>
      <c r="C814" s="1">
        <v>42859</v>
      </c>
      <c r="D814">
        <v>6.8959000000000001</v>
      </c>
      <c r="E814" s="1">
        <v>42859</v>
      </c>
      <c r="F814">
        <v>6.8959000000000001</v>
      </c>
    </row>
    <row r="815" spans="1:6" x14ac:dyDescent="0.25">
      <c r="A815" s="1">
        <v>42780</v>
      </c>
      <c r="B815">
        <v>6.8601000000000001</v>
      </c>
      <c r="C815" s="1">
        <v>42860</v>
      </c>
      <c r="D815">
        <v>6.9031000000000002</v>
      </c>
      <c r="E815" s="1">
        <v>42860</v>
      </c>
      <c r="F815">
        <v>6.9031000000000002</v>
      </c>
    </row>
    <row r="816" spans="1:6" x14ac:dyDescent="0.25">
      <c r="A816" s="1">
        <v>42781</v>
      </c>
      <c r="B816">
        <v>6.8451000000000004</v>
      </c>
      <c r="C816" s="1">
        <v>42863</v>
      </c>
      <c r="D816">
        <v>6.9044999999999996</v>
      </c>
      <c r="E816" s="1">
        <v>42863</v>
      </c>
      <c r="F816">
        <v>6.9044999999999996</v>
      </c>
    </row>
    <row r="817" spans="1:6" x14ac:dyDescent="0.25">
      <c r="A817" s="1">
        <v>42782</v>
      </c>
      <c r="B817">
        <v>6.8493000000000004</v>
      </c>
      <c r="C817" s="1">
        <v>42864</v>
      </c>
      <c r="D817">
        <v>6.9074</v>
      </c>
      <c r="E817" s="1">
        <v>42864</v>
      </c>
      <c r="F817">
        <v>6.9074</v>
      </c>
    </row>
    <row r="818" spans="1:6" x14ac:dyDescent="0.25">
      <c r="A818" s="1">
        <v>42783</v>
      </c>
      <c r="B818">
        <v>6.8507999999999996</v>
      </c>
      <c r="C818" s="1">
        <v>42865</v>
      </c>
      <c r="D818">
        <v>6.9032</v>
      </c>
      <c r="E818" s="1">
        <v>42865</v>
      </c>
      <c r="F818">
        <v>6.9032</v>
      </c>
    </row>
    <row r="819" spans="1:6" x14ac:dyDescent="0.25">
      <c r="A819" s="1">
        <v>42786</v>
      </c>
      <c r="B819">
        <v>6.8575999999999997</v>
      </c>
      <c r="C819" s="1">
        <v>42866</v>
      </c>
      <c r="D819">
        <v>6.9036999999999997</v>
      </c>
      <c r="E819" s="1">
        <v>42866</v>
      </c>
      <c r="F819">
        <v>6.9036999999999997</v>
      </c>
    </row>
    <row r="820" spans="1:6" x14ac:dyDescent="0.25">
      <c r="A820" s="1">
        <v>42787</v>
      </c>
      <c r="B820">
        <v>6.8635999999999999</v>
      </c>
      <c r="C820" s="1">
        <v>42867</v>
      </c>
      <c r="D820">
        <v>6.8994999999999997</v>
      </c>
      <c r="E820" s="1">
        <v>42867</v>
      </c>
      <c r="F820">
        <v>6.8994999999999997</v>
      </c>
    </row>
    <row r="821" spans="1:6" x14ac:dyDescent="0.25">
      <c r="A821" s="1">
        <v>42788</v>
      </c>
      <c r="B821">
        <v>6.8573000000000004</v>
      </c>
      <c r="C821" s="1">
        <v>42870</v>
      </c>
      <c r="D821">
        <v>6.8935000000000004</v>
      </c>
      <c r="E821" s="1">
        <v>42870</v>
      </c>
      <c r="F821">
        <v>6.8935000000000004</v>
      </c>
    </row>
    <row r="822" spans="1:6" x14ac:dyDescent="0.25">
      <c r="A822" s="1">
        <v>42789</v>
      </c>
      <c r="B822">
        <v>6.8494000000000002</v>
      </c>
      <c r="C822" s="1">
        <v>42871</v>
      </c>
      <c r="D822">
        <v>6.8867000000000003</v>
      </c>
      <c r="E822" s="1">
        <v>42871</v>
      </c>
      <c r="F822">
        <v>6.8867000000000003</v>
      </c>
    </row>
    <row r="823" spans="1:6" x14ac:dyDescent="0.25">
      <c r="A823" s="1">
        <v>42790</v>
      </c>
      <c r="B823">
        <v>6.8544999999999998</v>
      </c>
      <c r="C823" s="1">
        <v>42872</v>
      </c>
      <c r="D823">
        <v>6.8784000000000001</v>
      </c>
      <c r="E823" s="1">
        <v>42872</v>
      </c>
      <c r="F823">
        <v>6.8784000000000001</v>
      </c>
    </row>
    <row r="824" spans="1:6" x14ac:dyDescent="0.25">
      <c r="A824" s="1">
        <v>42793</v>
      </c>
      <c r="B824">
        <v>6.8619000000000003</v>
      </c>
      <c r="C824" s="1">
        <v>42873</v>
      </c>
      <c r="D824">
        <v>6.8891999999999998</v>
      </c>
      <c r="E824" s="1">
        <v>42873</v>
      </c>
      <c r="F824">
        <v>6.8891999999999998</v>
      </c>
    </row>
    <row r="825" spans="1:6" x14ac:dyDescent="0.25">
      <c r="A825" s="1">
        <v>42794</v>
      </c>
      <c r="B825">
        <v>6.8554000000000004</v>
      </c>
      <c r="C825" s="1">
        <v>42874</v>
      </c>
      <c r="D825">
        <v>6.8849999999999998</v>
      </c>
      <c r="E825" s="1">
        <v>42874</v>
      </c>
      <c r="F825">
        <v>6.8849999999999998</v>
      </c>
    </row>
    <row r="826" spans="1:6" x14ac:dyDescent="0.25">
      <c r="A826" s="1">
        <v>42795</v>
      </c>
      <c r="B826">
        <v>6.8715999999999999</v>
      </c>
      <c r="C826" s="1">
        <v>42877</v>
      </c>
      <c r="D826">
        <v>6.8864000000000001</v>
      </c>
      <c r="E826" s="1">
        <v>42877</v>
      </c>
      <c r="F826">
        <v>6.8864000000000001</v>
      </c>
    </row>
    <row r="827" spans="1:6" x14ac:dyDescent="0.25">
      <c r="A827" s="1">
        <v>42796</v>
      </c>
      <c r="B827">
        <v>6.8852000000000002</v>
      </c>
      <c r="C827" s="1">
        <v>42878</v>
      </c>
      <c r="D827">
        <v>6.8852000000000002</v>
      </c>
      <c r="E827" s="1">
        <v>42878</v>
      </c>
      <c r="F827">
        <v>6.8852000000000002</v>
      </c>
    </row>
    <row r="828" spans="1:6" x14ac:dyDescent="0.25">
      <c r="A828" s="1">
        <v>42797</v>
      </c>
      <c r="B828">
        <v>6.8967000000000001</v>
      </c>
      <c r="C828" s="1">
        <v>42879</v>
      </c>
      <c r="D828">
        <v>6.8901000000000003</v>
      </c>
      <c r="E828" s="1">
        <v>42879</v>
      </c>
      <c r="F828">
        <v>6.8901000000000003</v>
      </c>
    </row>
    <row r="829" spans="1:6" x14ac:dyDescent="0.25">
      <c r="A829" s="1">
        <v>42800</v>
      </c>
      <c r="B829">
        <v>6.9010999999999996</v>
      </c>
      <c r="C829" s="1">
        <v>42880</v>
      </c>
      <c r="D829">
        <v>6.8685</v>
      </c>
      <c r="E829" s="1">
        <v>42880</v>
      </c>
      <c r="F829">
        <v>6.8685</v>
      </c>
    </row>
    <row r="830" spans="1:6" x14ac:dyDescent="0.25">
      <c r="A830" s="1">
        <v>42801</v>
      </c>
      <c r="B830">
        <v>6.8937999999999997</v>
      </c>
      <c r="C830" s="1">
        <v>42881</v>
      </c>
      <c r="D830">
        <v>6.8555000000000001</v>
      </c>
      <c r="E830" s="1">
        <v>42881</v>
      </c>
      <c r="F830">
        <v>6.8555000000000001</v>
      </c>
    </row>
    <row r="831" spans="1:6" x14ac:dyDescent="0.25">
      <c r="A831" s="1">
        <v>42802</v>
      </c>
      <c r="B831">
        <v>6.9161999999999999</v>
      </c>
      <c r="C831" s="1">
        <v>42886</v>
      </c>
      <c r="D831">
        <v>6.8179999999999996</v>
      </c>
      <c r="E831" s="1">
        <v>42886</v>
      </c>
      <c r="F831">
        <v>6.8179999999999996</v>
      </c>
    </row>
    <row r="832" spans="1:6" x14ac:dyDescent="0.25">
      <c r="A832" s="1">
        <v>42803</v>
      </c>
      <c r="B832">
        <v>6.9046000000000003</v>
      </c>
      <c r="C832" s="1">
        <v>42887</v>
      </c>
      <c r="D832">
        <v>6.8083</v>
      </c>
      <c r="E832" s="1">
        <v>42887</v>
      </c>
      <c r="F832">
        <v>6.8083</v>
      </c>
    </row>
    <row r="833" spans="1:6" x14ac:dyDescent="0.25">
      <c r="A833" s="1">
        <v>42804</v>
      </c>
      <c r="B833">
        <v>6.8949999999999996</v>
      </c>
      <c r="C833" s="1">
        <v>42888</v>
      </c>
      <c r="D833">
        <v>6.81</v>
      </c>
      <c r="E833" s="1">
        <v>42888</v>
      </c>
      <c r="F833">
        <v>6.81</v>
      </c>
    </row>
    <row r="834" spans="1:6" x14ac:dyDescent="0.25">
      <c r="A834" s="1">
        <v>42807</v>
      </c>
      <c r="B834">
        <v>6.8963000000000001</v>
      </c>
      <c r="C834" s="1">
        <v>42891</v>
      </c>
      <c r="D834">
        <v>6.8040000000000003</v>
      </c>
      <c r="E834" s="1">
        <v>42891</v>
      </c>
      <c r="F834">
        <v>6.8040000000000003</v>
      </c>
    </row>
    <row r="835" spans="1:6" x14ac:dyDescent="0.25">
      <c r="A835" s="1">
        <v>42808</v>
      </c>
      <c r="B835">
        <v>6.9005000000000001</v>
      </c>
      <c r="C835" s="1">
        <v>42892</v>
      </c>
      <c r="D835">
        <v>6.7952000000000004</v>
      </c>
      <c r="E835" s="1">
        <v>42892</v>
      </c>
      <c r="F835">
        <v>6.7952000000000004</v>
      </c>
    </row>
    <row r="836" spans="1:6" x14ac:dyDescent="0.25">
      <c r="A836" s="1">
        <v>42809</v>
      </c>
      <c r="B836">
        <v>6.8476999999999997</v>
      </c>
      <c r="C836" s="1">
        <v>42893</v>
      </c>
      <c r="D836">
        <v>6.7957999999999998</v>
      </c>
      <c r="E836" s="1">
        <v>42893</v>
      </c>
      <c r="F836">
        <v>6.7957999999999998</v>
      </c>
    </row>
    <row r="837" spans="1:6" x14ac:dyDescent="0.25">
      <c r="A837" s="1">
        <v>42810</v>
      </c>
      <c r="B837">
        <v>6.8703000000000003</v>
      </c>
      <c r="C837" s="1">
        <v>42894</v>
      </c>
      <c r="D837">
        <v>6.8003</v>
      </c>
      <c r="E837" s="1">
        <v>42894</v>
      </c>
      <c r="F837">
        <v>6.8003</v>
      </c>
    </row>
    <row r="838" spans="1:6" x14ac:dyDescent="0.25">
      <c r="A838" s="1">
        <v>42811</v>
      </c>
      <c r="B838">
        <v>6.8864999999999998</v>
      </c>
      <c r="C838" s="1">
        <v>42895</v>
      </c>
      <c r="D838">
        <v>6.798</v>
      </c>
      <c r="E838" s="1">
        <v>42895</v>
      </c>
      <c r="F838">
        <v>6.798</v>
      </c>
    </row>
    <row r="839" spans="1:6" x14ac:dyDescent="0.25">
      <c r="A839" s="1">
        <v>42814</v>
      </c>
      <c r="B839">
        <v>6.8888999999999996</v>
      </c>
      <c r="C839" s="1">
        <v>42898</v>
      </c>
      <c r="D839">
        <v>6.7981999999999996</v>
      </c>
      <c r="E839" s="1">
        <v>42898</v>
      </c>
      <c r="F839">
        <v>6.7981999999999996</v>
      </c>
    </row>
    <row r="840" spans="1:6" x14ac:dyDescent="0.25">
      <c r="A840" s="1">
        <v>42815</v>
      </c>
      <c r="B840">
        <v>6.8723000000000001</v>
      </c>
      <c r="C840" s="1">
        <v>42899</v>
      </c>
      <c r="D840">
        <v>6.7991000000000001</v>
      </c>
      <c r="E840" s="1">
        <v>42899</v>
      </c>
      <c r="F840">
        <v>6.7991000000000001</v>
      </c>
    </row>
    <row r="841" spans="1:6" x14ac:dyDescent="0.25">
      <c r="A841" s="1">
        <v>42816</v>
      </c>
      <c r="B841">
        <v>6.8636999999999997</v>
      </c>
      <c r="C841" s="1">
        <v>42900</v>
      </c>
      <c r="D841">
        <v>6.7916999999999996</v>
      </c>
      <c r="E841" s="1">
        <v>42900</v>
      </c>
      <c r="F841">
        <v>6.7916999999999996</v>
      </c>
    </row>
    <row r="842" spans="1:6" x14ac:dyDescent="0.25">
      <c r="A842" s="1">
        <v>42817</v>
      </c>
      <c r="B842">
        <v>6.87</v>
      </c>
      <c r="C842" s="1">
        <v>42901</v>
      </c>
      <c r="D842">
        <v>6.8078000000000003</v>
      </c>
      <c r="E842" s="1">
        <v>42901</v>
      </c>
      <c r="F842">
        <v>6.8078000000000003</v>
      </c>
    </row>
    <row r="843" spans="1:6" x14ac:dyDescent="0.25">
      <c r="A843" s="1">
        <v>42818</v>
      </c>
      <c r="B843">
        <v>6.8728999999999996</v>
      </c>
      <c r="C843" s="1">
        <v>42902</v>
      </c>
      <c r="D843">
        <v>6.8105000000000002</v>
      </c>
      <c r="E843" s="1">
        <v>42902</v>
      </c>
      <c r="F843">
        <v>6.8105000000000002</v>
      </c>
    </row>
    <row r="844" spans="1:6" x14ac:dyDescent="0.25">
      <c r="A844" s="1">
        <v>42821</v>
      </c>
      <c r="B844">
        <v>6.8554000000000004</v>
      </c>
      <c r="C844" s="1">
        <v>42905</v>
      </c>
      <c r="D844">
        <v>6.8194999999999997</v>
      </c>
      <c r="E844" s="1">
        <v>42905</v>
      </c>
      <c r="F844">
        <v>6.8194999999999997</v>
      </c>
    </row>
    <row r="845" spans="1:6" x14ac:dyDescent="0.25">
      <c r="A845" s="1">
        <v>42822</v>
      </c>
      <c r="B845">
        <v>6.8737000000000004</v>
      </c>
      <c r="C845" s="1">
        <v>42906</v>
      </c>
      <c r="D845">
        <v>6.8292000000000002</v>
      </c>
      <c r="E845" s="1">
        <v>42906</v>
      </c>
      <c r="F845">
        <v>6.8292000000000002</v>
      </c>
    </row>
    <row r="846" spans="1:6" x14ac:dyDescent="0.25">
      <c r="A846" s="1">
        <v>42823</v>
      </c>
      <c r="B846">
        <v>6.8667999999999996</v>
      </c>
      <c r="C846" s="1">
        <v>42907</v>
      </c>
      <c r="D846">
        <v>6.8295000000000003</v>
      </c>
      <c r="E846" s="1">
        <v>42907</v>
      </c>
      <c r="F846">
        <v>6.8295000000000003</v>
      </c>
    </row>
    <row r="847" spans="1:6" x14ac:dyDescent="0.25">
      <c r="A847" s="1">
        <v>42824</v>
      </c>
      <c r="B847">
        <v>6.8841000000000001</v>
      </c>
      <c r="C847" s="1">
        <v>42908</v>
      </c>
      <c r="D847">
        <v>6.8348000000000004</v>
      </c>
      <c r="E847" s="1">
        <v>42908</v>
      </c>
      <c r="F847">
        <v>6.8348000000000004</v>
      </c>
    </row>
    <row r="848" spans="1:6" x14ac:dyDescent="0.25">
      <c r="A848" s="1">
        <v>42825</v>
      </c>
      <c r="B848">
        <v>6.8715000000000002</v>
      </c>
      <c r="C848" s="1">
        <v>42909</v>
      </c>
      <c r="D848">
        <v>6.8365999999999998</v>
      </c>
      <c r="E848" s="1">
        <v>42909</v>
      </c>
      <c r="F848">
        <v>6.8365999999999998</v>
      </c>
    </row>
    <row r="849" spans="1:6" x14ac:dyDescent="0.25">
      <c r="A849" s="1">
        <v>42828</v>
      </c>
      <c r="B849">
        <v>6.8746999999999998</v>
      </c>
      <c r="C849" s="1">
        <v>42912</v>
      </c>
      <c r="D849">
        <v>6.8411</v>
      </c>
      <c r="E849" s="1">
        <v>42912</v>
      </c>
      <c r="F849">
        <v>6.8411</v>
      </c>
    </row>
    <row r="850" spans="1:6" x14ac:dyDescent="0.25">
      <c r="A850" s="1">
        <v>42829</v>
      </c>
      <c r="B850">
        <v>6.8788</v>
      </c>
      <c r="C850" s="1">
        <v>42913</v>
      </c>
      <c r="D850">
        <v>6.8125999999999998</v>
      </c>
      <c r="E850" s="1">
        <v>42913</v>
      </c>
      <c r="F850">
        <v>6.8125999999999998</v>
      </c>
    </row>
    <row r="851" spans="1:6" x14ac:dyDescent="0.25">
      <c r="A851" s="1">
        <v>42830</v>
      </c>
      <c r="B851">
        <v>6.8825000000000003</v>
      </c>
      <c r="C851" s="1">
        <v>42914</v>
      </c>
      <c r="D851">
        <v>6.7998000000000003</v>
      </c>
      <c r="E851" s="1">
        <v>42914</v>
      </c>
      <c r="F851">
        <v>6.7998000000000003</v>
      </c>
    </row>
    <row r="852" spans="1:6" x14ac:dyDescent="0.25">
      <c r="A852" s="1">
        <v>42831</v>
      </c>
      <c r="B852">
        <v>6.8894000000000002</v>
      </c>
      <c r="C852" s="1">
        <v>42915</v>
      </c>
      <c r="D852">
        <v>6.7869999999999999</v>
      </c>
      <c r="E852" s="1">
        <v>42915</v>
      </c>
      <c r="F852">
        <v>6.7869999999999999</v>
      </c>
    </row>
    <row r="853" spans="1:6" x14ac:dyDescent="0.25">
      <c r="A853" s="1">
        <v>42832</v>
      </c>
      <c r="B853">
        <v>6.8967000000000001</v>
      </c>
      <c r="C853" s="1">
        <v>42916</v>
      </c>
      <c r="D853">
        <v>6.7808999999999999</v>
      </c>
      <c r="E853" s="1">
        <v>42916</v>
      </c>
      <c r="F853">
        <v>6.7808999999999999</v>
      </c>
    </row>
    <row r="854" spans="1:6" x14ac:dyDescent="0.25">
      <c r="A854" s="1">
        <v>42835</v>
      </c>
      <c r="B854">
        <v>6.9055</v>
      </c>
      <c r="C854" s="1">
        <v>42919</v>
      </c>
      <c r="D854">
        <v>6.8003</v>
      </c>
      <c r="E854" s="1">
        <v>42919</v>
      </c>
      <c r="F854">
        <v>6.8003</v>
      </c>
    </row>
    <row r="855" spans="1:6" x14ac:dyDescent="0.25">
      <c r="A855" s="1">
        <v>42836</v>
      </c>
      <c r="B855">
        <v>6.9005999999999998</v>
      </c>
      <c r="C855" s="1">
        <v>42920</v>
      </c>
      <c r="D855">
        <v>6.8007</v>
      </c>
      <c r="E855" s="1">
        <v>42920</v>
      </c>
      <c r="F855">
        <v>6.8007</v>
      </c>
    </row>
    <row r="856" spans="1:6" x14ac:dyDescent="0.25">
      <c r="A856" s="1">
        <v>42837</v>
      </c>
      <c r="B856">
        <v>6.8838999999999997</v>
      </c>
      <c r="C856" s="1">
        <v>42921</v>
      </c>
      <c r="D856">
        <v>6.8018999999999998</v>
      </c>
      <c r="E856" s="1">
        <v>42921</v>
      </c>
      <c r="F856">
        <v>6.8018999999999998</v>
      </c>
    </row>
    <row r="857" spans="1:6" x14ac:dyDescent="0.25">
      <c r="A857" s="1">
        <v>42838</v>
      </c>
      <c r="B857">
        <v>6.8852000000000002</v>
      </c>
      <c r="C857" s="1">
        <v>42922</v>
      </c>
      <c r="D857">
        <v>6.8014999999999999</v>
      </c>
      <c r="E857" s="1">
        <v>42922</v>
      </c>
      <c r="F857">
        <v>6.8014999999999999</v>
      </c>
    </row>
    <row r="858" spans="1:6" x14ac:dyDescent="0.25">
      <c r="A858" s="1">
        <v>42839</v>
      </c>
      <c r="B858">
        <v>6.8868</v>
      </c>
      <c r="C858" s="1">
        <v>42923</v>
      </c>
      <c r="D858">
        <v>6.8056999999999999</v>
      </c>
      <c r="E858" s="1">
        <v>42923</v>
      </c>
      <c r="F858">
        <v>6.8056999999999999</v>
      </c>
    </row>
    <row r="859" spans="1:6" x14ac:dyDescent="0.25">
      <c r="A859" s="1">
        <v>42842</v>
      </c>
      <c r="B859">
        <v>6.8780999999999999</v>
      </c>
      <c r="C859" s="1">
        <v>42926</v>
      </c>
      <c r="D859">
        <v>6.8036000000000003</v>
      </c>
      <c r="E859" s="1">
        <v>42926</v>
      </c>
      <c r="F859">
        <v>6.8036000000000003</v>
      </c>
    </row>
    <row r="860" spans="1:6" x14ac:dyDescent="0.25">
      <c r="A860" s="1">
        <v>42843</v>
      </c>
      <c r="B860">
        <v>6.8757999999999999</v>
      </c>
      <c r="C860" s="1">
        <v>42927</v>
      </c>
      <c r="D860">
        <v>6.8025000000000002</v>
      </c>
      <c r="E860" s="1">
        <v>42927</v>
      </c>
      <c r="F860">
        <v>6.8025000000000002</v>
      </c>
    </row>
    <row r="861" spans="1:6" x14ac:dyDescent="0.25">
      <c r="A861" s="1">
        <v>42844</v>
      </c>
      <c r="B861">
        <v>6.8853999999999997</v>
      </c>
      <c r="C861" s="1">
        <v>42928</v>
      </c>
      <c r="D861">
        <v>6.7877999999999998</v>
      </c>
      <c r="E861" s="1">
        <v>42928</v>
      </c>
      <c r="F861">
        <v>6.7877999999999998</v>
      </c>
    </row>
    <row r="862" spans="1:6" x14ac:dyDescent="0.25">
      <c r="A862" s="1">
        <v>42845</v>
      </c>
      <c r="B862">
        <v>6.8845000000000001</v>
      </c>
      <c r="C862" s="1">
        <v>42929</v>
      </c>
      <c r="D862">
        <v>6.7835000000000001</v>
      </c>
      <c r="E862" s="1">
        <v>42929</v>
      </c>
      <c r="F862">
        <v>6.7835000000000001</v>
      </c>
    </row>
    <row r="863" spans="1:6" x14ac:dyDescent="0.25">
      <c r="A863" s="1">
        <v>42846</v>
      </c>
      <c r="B863">
        <v>6.8891999999999998</v>
      </c>
      <c r="C863" s="1">
        <v>42930</v>
      </c>
      <c r="D863">
        <v>6.7751999999999999</v>
      </c>
      <c r="E863" s="1">
        <v>42930</v>
      </c>
      <c r="F863">
        <v>6.7751999999999999</v>
      </c>
    </row>
    <row r="864" spans="1:6" x14ac:dyDescent="0.25">
      <c r="A864" s="1">
        <v>42849</v>
      </c>
      <c r="B864">
        <v>6.8837999999999999</v>
      </c>
      <c r="C864" s="1">
        <v>42933</v>
      </c>
      <c r="D864">
        <v>6.77</v>
      </c>
      <c r="E864" s="1">
        <v>42933</v>
      </c>
      <c r="F864">
        <v>6.77</v>
      </c>
    </row>
    <row r="865" spans="1:6" x14ac:dyDescent="0.25">
      <c r="A865" s="1">
        <v>42850</v>
      </c>
      <c r="B865">
        <v>6.8883999999999999</v>
      </c>
      <c r="C865" s="1">
        <v>42934</v>
      </c>
      <c r="D865">
        <v>6.7465999999999999</v>
      </c>
      <c r="E865" s="1">
        <v>42934</v>
      </c>
      <c r="F865">
        <v>6.7465999999999999</v>
      </c>
    </row>
    <row r="866" spans="1:6" x14ac:dyDescent="0.25">
      <c r="A866" s="1">
        <v>42851</v>
      </c>
      <c r="B866">
        <v>6.8971999999999998</v>
      </c>
      <c r="C866" s="1">
        <v>42935</v>
      </c>
      <c r="D866">
        <v>6.7519</v>
      </c>
      <c r="E866" s="1">
        <v>42935</v>
      </c>
      <c r="F866">
        <v>6.7519</v>
      </c>
    </row>
    <row r="867" spans="1:6" x14ac:dyDescent="0.25">
      <c r="A867" s="1">
        <v>42852</v>
      </c>
      <c r="B867">
        <v>6.9016000000000002</v>
      </c>
      <c r="C867" s="1">
        <v>42936</v>
      </c>
      <c r="D867">
        <v>6.7596999999999996</v>
      </c>
      <c r="E867" s="1">
        <v>42936</v>
      </c>
      <c r="F867">
        <v>6.7596999999999996</v>
      </c>
    </row>
    <row r="868" spans="1:6" x14ac:dyDescent="0.25">
      <c r="A868" s="1">
        <v>42853</v>
      </c>
      <c r="B868">
        <v>6.8987999999999996</v>
      </c>
      <c r="C868" s="1">
        <v>42937</v>
      </c>
      <c r="D868">
        <v>6.7667000000000002</v>
      </c>
      <c r="E868" s="1">
        <v>42937</v>
      </c>
      <c r="F868">
        <v>6.7667000000000002</v>
      </c>
    </row>
    <row r="869" spans="1:6" x14ac:dyDescent="0.25">
      <c r="A869" s="1">
        <v>42856</v>
      </c>
      <c r="B869">
        <v>6.8978000000000002</v>
      </c>
      <c r="C869" s="1">
        <v>42940</v>
      </c>
      <c r="D869">
        <v>6.7511999999999999</v>
      </c>
      <c r="E869" s="1">
        <v>42940</v>
      </c>
      <c r="F869">
        <v>6.7511999999999999</v>
      </c>
    </row>
    <row r="870" spans="1:6" x14ac:dyDescent="0.25">
      <c r="A870" s="1">
        <v>42857</v>
      </c>
      <c r="B870">
        <v>6.8898000000000001</v>
      </c>
      <c r="C870" s="1">
        <v>42941</v>
      </c>
      <c r="D870">
        <v>6.7510000000000003</v>
      </c>
      <c r="E870" s="1">
        <v>42941</v>
      </c>
      <c r="F870">
        <v>6.7510000000000003</v>
      </c>
    </row>
    <row r="871" spans="1:6" x14ac:dyDescent="0.25">
      <c r="A871" s="1">
        <v>42858</v>
      </c>
      <c r="B871">
        <v>6.8947000000000003</v>
      </c>
      <c r="C871" s="1">
        <v>42942</v>
      </c>
      <c r="D871">
        <v>6.7539999999999996</v>
      </c>
      <c r="E871" s="1">
        <v>42942</v>
      </c>
      <c r="F871">
        <v>6.7539999999999996</v>
      </c>
    </row>
    <row r="872" spans="1:6" x14ac:dyDescent="0.25">
      <c r="A872" s="1">
        <v>42859</v>
      </c>
      <c r="B872">
        <v>6.8925999999999998</v>
      </c>
      <c r="C872" s="1">
        <v>42943</v>
      </c>
      <c r="D872">
        <v>6.7430000000000003</v>
      </c>
      <c r="E872" s="1">
        <v>42943</v>
      </c>
      <c r="F872">
        <v>6.7430000000000003</v>
      </c>
    </row>
    <row r="873" spans="1:6" x14ac:dyDescent="0.25">
      <c r="A873" s="1">
        <v>42860</v>
      </c>
      <c r="B873">
        <v>6.9001999999999999</v>
      </c>
      <c r="C873" s="1">
        <v>42944</v>
      </c>
      <c r="D873">
        <v>6.7369000000000003</v>
      </c>
      <c r="E873" s="1">
        <v>42944</v>
      </c>
      <c r="F873">
        <v>6.7369000000000003</v>
      </c>
    </row>
    <row r="874" spans="1:6" x14ac:dyDescent="0.25">
      <c r="A874" s="1">
        <v>42863</v>
      </c>
      <c r="B874">
        <v>6.9088000000000003</v>
      </c>
      <c r="C874" s="1">
        <v>42947</v>
      </c>
      <c r="D874">
        <v>6.7266000000000004</v>
      </c>
      <c r="E874" s="1">
        <v>42947</v>
      </c>
      <c r="F874">
        <v>6.7266000000000004</v>
      </c>
    </row>
    <row r="875" spans="1:6" x14ac:dyDescent="0.25">
      <c r="A875" s="1">
        <v>42864</v>
      </c>
      <c r="B875">
        <v>6.9153000000000002</v>
      </c>
      <c r="C875" s="1">
        <v>42948</v>
      </c>
      <c r="D875">
        <v>6.7179000000000002</v>
      </c>
      <c r="E875" s="1">
        <v>42948</v>
      </c>
      <c r="F875">
        <v>6.7179000000000002</v>
      </c>
    </row>
    <row r="876" spans="1:6" x14ac:dyDescent="0.25">
      <c r="A876" s="1">
        <v>42865</v>
      </c>
      <c r="B876">
        <v>6.9134000000000002</v>
      </c>
      <c r="C876" s="1">
        <v>42949</v>
      </c>
      <c r="D876">
        <v>6.7217000000000002</v>
      </c>
      <c r="E876" s="1">
        <v>42949</v>
      </c>
      <c r="F876">
        <v>6.7217000000000002</v>
      </c>
    </row>
    <row r="877" spans="1:6" x14ac:dyDescent="0.25">
      <c r="A877" s="1">
        <v>42866</v>
      </c>
      <c r="B877">
        <v>6.9039999999999999</v>
      </c>
      <c r="C877" s="1">
        <v>42950</v>
      </c>
      <c r="D877">
        <v>6.7172000000000001</v>
      </c>
      <c r="E877" s="1">
        <v>42950</v>
      </c>
      <c r="F877">
        <v>6.7172000000000001</v>
      </c>
    </row>
    <row r="878" spans="1:6" x14ac:dyDescent="0.25">
      <c r="A878" s="1">
        <v>42867</v>
      </c>
      <c r="B878">
        <v>6.8986999999999998</v>
      </c>
      <c r="C878" s="1">
        <v>42951</v>
      </c>
      <c r="D878">
        <v>6.7289000000000003</v>
      </c>
      <c r="E878" s="1">
        <v>42951</v>
      </c>
      <c r="F878">
        <v>6.7289000000000003</v>
      </c>
    </row>
    <row r="879" spans="1:6" x14ac:dyDescent="0.25">
      <c r="A879" s="1">
        <v>42870</v>
      </c>
      <c r="B879">
        <v>6.8913000000000002</v>
      </c>
      <c r="C879" s="1">
        <v>42954</v>
      </c>
      <c r="D879">
        <v>6.7214999999999998</v>
      </c>
      <c r="E879" s="1">
        <v>42954</v>
      </c>
      <c r="F879">
        <v>6.7214999999999998</v>
      </c>
    </row>
    <row r="880" spans="1:6" x14ac:dyDescent="0.25">
      <c r="A880" s="1">
        <v>42871</v>
      </c>
      <c r="B880">
        <v>6.8757000000000001</v>
      </c>
      <c r="C880" s="1">
        <v>42955</v>
      </c>
      <c r="D880">
        <v>6.7064000000000004</v>
      </c>
      <c r="E880" s="1">
        <v>42955</v>
      </c>
      <c r="F880">
        <v>6.7064000000000004</v>
      </c>
    </row>
    <row r="881" spans="1:6" x14ac:dyDescent="0.25">
      <c r="A881" s="1">
        <v>42872</v>
      </c>
      <c r="B881">
        <v>6.8714000000000004</v>
      </c>
      <c r="C881" s="1">
        <v>42956</v>
      </c>
      <c r="D881">
        <v>6.6742999999999997</v>
      </c>
      <c r="E881" s="1">
        <v>42956</v>
      </c>
      <c r="F881">
        <v>6.6742999999999997</v>
      </c>
    </row>
    <row r="882" spans="1:6" x14ac:dyDescent="0.25">
      <c r="A882" s="1">
        <v>42873</v>
      </c>
      <c r="B882">
        <v>6.8830999999999998</v>
      </c>
      <c r="C882" s="1">
        <v>42957</v>
      </c>
      <c r="D882">
        <v>6.6470000000000002</v>
      </c>
      <c r="E882" s="1">
        <v>42957</v>
      </c>
      <c r="F882">
        <v>6.6470000000000002</v>
      </c>
    </row>
    <row r="883" spans="1:6" x14ac:dyDescent="0.25">
      <c r="A883" s="1">
        <v>42874</v>
      </c>
      <c r="B883">
        <v>6.8742999999999999</v>
      </c>
      <c r="C883" s="1">
        <v>42958</v>
      </c>
      <c r="D883">
        <v>6.6635999999999997</v>
      </c>
      <c r="E883" s="1">
        <v>42958</v>
      </c>
      <c r="F883">
        <v>6.6635999999999997</v>
      </c>
    </row>
    <row r="884" spans="1:6" x14ac:dyDescent="0.25">
      <c r="A884" s="1">
        <v>42877</v>
      </c>
      <c r="B884">
        <v>6.8781999999999996</v>
      </c>
      <c r="C884" s="1">
        <v>42961</v>
      </c>
      <c r="D884">
        <v>6.6711999999999998</v>
      </c>
      <c r="E884" s="1">
        <v>42961</v>
      </c>
      <c r="F884">
        <v>6.6711999999999998</v>
      </c>
    </row>
    <row r="885" spans="1:6" x14ac:dyDescent="0.25">
      <c r="A885" s="1">
        <v>42878</v>
      </c>
      <c r="B885">
        <v>6.8808999999999996</v>
      </c>
      <c r="C885" s="1">
        <v>42962</v>
      </c>
      <c r="D885">
        <v>6.6855000000000002</v>
      </c>
      <c r="E885" s="1">
        <v>42962</v>
      </c>
      <c r="F885">
        <v>6.6855000000000002</v>
      </c>
    </row>
    <row r="886" spans="1:6" x14ac:dyDescent="0.25">
      <c r="A886" s="1">
        <v>42879</v>
      </c>
      <c r="B886">
        <v>6.8743999999999996</v>
      </c>
      <c r="C886" s="1">
        <v>42963</v>
      </c>
      <c r="D886">
        <v>6.6916000000000002</v>
      </c>
      <c r="E886" s="1">
        <v>42963</v>
      </c>
      <c r="F886">
        <v>6.6916000000000002</v>
      </c>
    </row>
    <row r="887" spans="1:6" x14ac:dyDescent="0.25">
      <c r="A887" s="1">
        <v>42880</v>
      </c>
      <c r="B887">
        <v>6.8490000000000002</v>
      </c>
      <c r="C887" s="1">
        <v>42964</v>
      </c>
      <c r="D887">
        <v>6.6755000000000004</v>
      </c>
      <c r="E887" s="1">
        <v>42964</v>
      </c>
      <c r="F887">
        <v>6.6755000000000004</v>
      </c>
    </row>
    <row r="888" spans="1:6" x14ac:dyDescent="0.25">
      <c r="A888" s="1">
        <v>42881</v>
      </c>
      <c r="B888">
        <v>6.8232999999999997</v>
      </c>
      <c r="C888" s="1">
        <v>42965</v>
      </c>
      <c r="D888">
        <v>6.6702000000000004</v>
      </c>
      <c r="E888" s="1">
        <v>42965</v>
      </c>
      <c r="F888">
        <v>6.6702000000000004</v>
      </c>
    </row>
    <row r="889" spans="1:6" x14ac:dyDescent="0.25">
      <c r="A889" s="1">
        <v>42884</v>
      </c>
      <c r="B889">
        <v>6.8208000000000002</v>
      </c>
      <c r="C889" s="1">
        <v>42968</v>
      </c>
      <c r="D889">
        <v>6.6664000000000003</v>
      </c>
      <c r="E889" s="1">
        <v>42968</v>
      </c>
      <c r="F889">
        <v>6.6664000000000003</v>
      </c>
    </row>
    <row r="890" spans="1:6" x14ac:dyDescent="0.25">
      <c r="A890" s="1">
        <v>42885</v>
      </c>
      <c r="B890">
        <v>6.8246000000000002</v>
      </c>
      <c r="C890" s="1">
        <v>42969</v>
      </c>
      <c r="D890">
        <v>6.6623999999999999</v>
      </c>
      <c r="E890" s="1">
        <v>42969</v>
      </c>
      <c r="F890">
        <v>6.6623999999999999</v>
      </c>
    </row>
    <row r="891" spans="1:6" x14ac:dyDescent="0.25">
      <c r="A891" s="1">
        <v>42886</v>
      </c>
      <c r="B891">
        <v>6.7462</v>
      </c>
      <c r="C891" s="1">
        <v>42970</v>
      </c>
      <c r="D891">
        <v>6.6589999999999998</v>
      </c>
      <c r="E891" s="1">
        <v>42970</v>
      </c>
      <c r="F891">
        <v>6.6589999999999998</v>
      </c>
    </row>
    <row r="892" spans="1:6" x14ac:dyDescent="0.25">
      <c r="A892" s="1">
        <v>42887</v>
      </c>
      <c r="B892">
        <v>6.75</v>
      </c>
      <c r="C892" s="1">
        <v>42971</v>
      </c>
      <c r="D892">
        <v>6.6619999999999999</v>
      </c>
      <c r="E892" s="1">
        <v>42971</v>
      </c>
      <c r="F892">
        <v>6.6619999999999999</v>
      </c>
    </row>
    <row r="893" spans="1:6" x14ac:dyDescent="0.25">
      <c r="A893" s="1">
        <v>42888</v>
      </c>
      <c r="B893">
        <v>6.7766000000000002</v>
      </c>
      <c r="C893" s="1">
        <v>42972</v>
      </c>
      <c r="D893">
        <v>6.6464999999999996</v>
      </c>
      <c r="E893" s="1">
        <v>42972</v>
      </c>
      <c r="F893">
        <v>6.6464999999999996</v>
      </c>
    </row>
    <row r="894" spans="1:6" x14ac:dyDescent="0.25">
      <c r="A894" s="1">
        <v>42891</v>
      </c>
      <c r="B894">
        <v>6.7816999999999998</v>
      </c>
      <c r="C894" s="1">
        <v>42975</v>
      </c>
      <c r="D894">
        <v>6.6143999999999998</v>
      </c>
      <c r="E894" s="1">
        <v>42975</v>
      </c>
      <c r="F894">
        <v>6.6143999999999998</v>
      </c>
    </row>
    <row r="895" spans="1:6" x14ac:dyDescent="0.25">
      <c r="A895" s="1">
        <v>42892</v>
      </c>
      <c r="B895">
        <v>6.7560000000000002</v>
      </c>
      <c r="C895" s="1">
        <v>42976</v>
      </c>
      <c r="D895">
        <v>6.5963000000000003</v>
      </c>
      <c r="E895" s="1">
        <v>42976</v>
      </c>
      <c r="F895">
        <v>6.5963000000000003</v>
      </c>
    </row>
    <row r="896" spans="1:6" x14ac:dyDescent="0.25">
      <c r="A896" s="1">
        <v>42893</v>
      </c>
      <c r="B896">
        <v>6.7742000000000004</v>
      </c>
      <c r="C896" s="1">
        <v>42977</v>
      </c>
      <c r="D896">
        <v>6.5940000000000003</v>
      </c>
      <c r="E896" s="1">
        <v>42977</v>
      </c>
      <c r="F896">
        <v>6.5940000000000003</v>
      </c>
    </row>
    <row r="897" spans="1:6" x14ac:dyDescent="0.25">
      <c r="A897" s="1">
        <v>42894</v>
      </c>
      <c r="B897">
        <v>6.7826000000000004</v>
      </c>
      <c r="C897" s="1">
        <v>42978</v>
      </c>
      <c r="D897">
        <v>6.5900999999999996</v>
      </c>
      <c r="E897" s="1">
        <v>42978</v>
      </c>
      <c r="F897">
        <v>6.5900999999999996</v>
      </c>
    </row>
    <row r="898" spans="1:6" x14ac:dyDescent="0.25">
      <c r="A898" s="1">
        <v>42895</v>
      </c>
      <c r="B898">
        <v>6.7869000000000002</v>
      </c>
      <c r="C898" s="1">
        <v>42979</v>
      </c>
      <c r="D898">
        <v>6.5583999999999998</v>
      </c>
      <c r="E898" s="1">
        <v>42979</v>
      </c>
      <c r="F898">
        <v>6.5583999999999998</v>
      </c>
    </row>
    <row r="899" spans="1:6" x14ac:dyDescent="0.25">
      <c r="A899" s="1">
        <v>42898</v>
      </c>
      <c r="B899">
        <v>6.7956000000000003</v>
      </c>
      <c r="C899" s="1">
        <v>42982</v>
      </c>
      <c r="D899">
        <v>6.5308999999999999</v>
      </c>
      <c r="E899" s="1">
        <v>42982</v>
      </c>
      <c r="F899">
        <v>6.5308999999999999</v>
      </c>
    </row>
    <row r="900" spans="1:6" x14ac:dyDescent="0.25">
      <c r="A900" s="1">
        <v>42899</v>
      </c>
      <c r="B900">
        <v>6.7882999999999996</v>
      </c>
      <c r="C900" s="1">
        <v>42983</v>
      </c>
      <c r="D900">
        <v>6.5388000000000002</v>
      </c>
      <c r="E900" s="1">
        <v>42983</v>
      </c>
      <c r="F900">
        <v>6.5388000000000002</v>
      </c>
    </row>
    <row r="901" spans="1:6" x14ac:dyDescent="0.25">
      <c r="A901" s="1">
        <v>42900</v>
      </c>
      <c r="B901">
        <v>6.7859999999999996</v>
      </c>
      <c r="C901" s="1">
        <v>42984</v>
      </c>
      <c r="D901">
        <v>6.5242000000000004</v>
      </c>
      <c r="E901" s="1">
        <v>42984</v>
      </c>
      <c r="F901">
        <v>6.5242000000000004</v>
      </c>
    </row>
    <row r="902" spans="1:6" x14ac:dyDescent="0.25">
      <c r="A902" s="1">
        <v>42901</v>
      </c>
      <c r="B902">
        <v>6.8068999999999997</v>
      </c>
      <c r="C902" s="1">
        <v>42985</v>
      </c>
      <c r="D902">
        <v>6.4865000000000004</v>
      </c>
      <c r="E902" s="1">
        <v>42985</v>
      </c>
      <c r="F902">
        <v>6.4865000000000004</v>
      </c>
    </row>
    <row r="903" spans="1:6" x14ac:dyDescent="0.25">
      <c r="A903" s="1">
        <v>42902</v>
      </c>
      <c r="B903">
        <v>6.8125999999999998</v>
      </c>
      <c r="C903" s="1">
        <v>42986</v>
      </c>
      <c r="D903">
        <v>6.4943</v>
      </c>
      <c r="E903" s="1">
        <v>42986</v>
      </c>
      <c r="F903">
        <v>6.4943</v>
      </c>
    </row>
    <row r="904" spans="1:6" x14ac:dyDescent="0.25">
      <c r="A904" s="1">
        <v>42905</v>
      </c>
      <c r="B904">
        <v>6.8292000000000002</v>
      </c>
      <c r="C904" s="1">
        <v>42989</v>
      </c>
      <c r="D904">
        <v>6.5297000000000001</v>
      </c>
      <c r="E904" s="1">
        <v>42989</v>
      </c>
      <c r="F904">
        <v>6.5297000000000001</v>
      </c>
    </row>
    <row r="905" spans="1:6" x14ac:dyDescent="0.25">
      <c r="A905" s="1">
        <v>42906</v>
      </c>
      <c r="B905">
        <v>6.8236999999999997</v>
      </c>
      <c r="C905" s="1">
        <v>42990</v>
      </c>
      <c r="D905">
        <v>6.5354000000000001</v>
      </c>
      <c r="E905" s="1">
        <v>42990</v>
      </c>
      <c r="F905">
        <v>6.5354000000000001</v>
      </c>
    </row>
    <row r="906" spans="1:6" x14ac:dyDescent="0.25">
      <c r="A906" s="1">
        <v>42907</v>
      </c>
      <c r="B906">
        <v>6.8311999999999999</v>
      </c>
      <c r="C906" s="1">
        <v>42991</v>
      </c>
      <c r="D906">
        <v>6.5430000000000001</v>
      </c>
      <c r="E906" s="1">
        <v>42991</v>
      </c>
      <c r="F906">
        <v>6.5430000000000001</v>
      </c>
    </row>
    <row r="907" spans="1:6" x14ac:dyDescent="0.25">
      <c r="A907" s="1">
        <v>42908</v>
      </c>
      <c r="B907">
        <v>6.8371000000000004</v>
      </c>
      <c r="C907" s="1">
        <v>42992</v>
      </c>
      <c r="D907">
        <v>6.556</v>
      </c>
      <c r="E907" s="1">
        <v>42992</v>
      </c>
      <c r="F907">
        <v>6.556</v>
      </c>
    </row>
    <row r="908" spans="1:6" x14ac:dyDescent="0.25">
      <c r="A908" s="1">
        <v>42909</v>
      </c>
      <c r="B908">
        <v>6.8362999999999996</v>
      </c>
      <c r="C908" s="1">
        <v>42993</v>
      </c>
      <c r="D908">
        <v>6.5526</v>
      </c>
      <c r="E908" s="1">
        <v>42993</v>
      </c>
      <c r="F908">
        <v>6.5526</v>
      </c>
    </row>
    <row r="909" spans="1:6" x14ac:dyDescent="0.25">
      <c r="A909" s="1">
        <v>42912</v>
      </c>
      <c r="B909">
        <v>6.8541999999999996</v>
      </c>
      <c r="C909" s="1">
        <v>42996</v>
      </c>
      <c r="D909">
        <v>6.5753000000000004</v>
      </c>
      <c r="E909" s="1">
        <v>42996</v>
      </c>
      <c r="F909">
        <v>6.5753000000000004</v>
      </c>
    </row>
    <row r="910" spans="1:6" x14ac:dyDescent="0.25">
      <c r="A910" s="1">
        <v>42913</v>
      </c>
      <c r="B910">
        <v>6.8143000000000002</v>
      </c>
      <c r="C910" s="1">
        <v>42997</v>
      </c>
      <c r="D910">
        <v>6.5834999999999999</v>
      </c>
      <c r="E910" s="1">
        <v>42997</v>
      </c>
      <c r="F910">
        <v>6.5834999999999999</v>
      </c>
    </row>
    <row r="911" spans="1:6" x14ac:dyDescent="0.25">
      <c r="A911" s="1">
        <v>42914</v>
      </c>
      <c r="B911">
        <v>6.8036000000000003</v>
      </c>
      <c r="C911" s="1">
        <v>42998</v>
      </c>
      <c r="D911">
        <v>6.5749000000000004</v>
      </c>
      <c r="E911" s="1">
        <v>42998</v>
      </c>
      <c r="F911">
        <v>6.5749000000000004</v>
      </c>
    </row>
    <row r="912" spans="1:6" x14ac:dyDescent="0.25">
      <c r="A912" s="1">
        <v>42915</v>
      </c>
      <c r="B912">
        <v>6.7934999999999999</v>
      </c>
      <c r="C912" s="1">
        <v>42999</v>
      </c>
      <c r="D912">
        <v>6.5898000000000003</v>
      </c>
      <c r="E912" s="1">
        <v>42999</v>
      </c>
      <c r="F912">
        <v>6.5898000000000003</v>
      </c>
    </row>
    <row r="913" spans="1:6" x14ac:dyDescent="0.25">
      <c r="A913" s="1">
        <v>42916</v>
      </c>
      <c r="B913">
        <v>6.7807000000000004</v>
      </c>
      <c r="C913" s="1">
        <v>43000</v>
      </c>
      <c r="D913">
        <v>6.5900999999999996</v>
      </c>
      <c r="E913" s="1">
        <v>43000</v>
      </c>
      <c r="F913">
        <v>6.5900999999999996</v>
      </c>
    </row>
    <row r="914" spans="1:6" x14ac:dyDescent="0.25">
      <c r="A914" s="1">
        <v>42919</v>
      </c>
      <c r="B914">
        <v>6.7972999999999999</v>
      </c>
      <c r="C914" s="1">
        <v>43003</v>
      </c>
      <c r="D914">
        <v>6.6215000000000002</v>
      </c>
      <c r="E914" s="1">
        <v>43003</v>
      </c>
      <c r="F914">
        <v>6.6215000000000002</v>
      </c>
    </row>
    <row r="915" spans="1:6" x14ac:dyDescent="0.25">
      <c r="A915" s="1">
        <v>42920</v>
      </c>
      <c r="B915">
        <v>6.8060999999999998</v>
      </c>
      <c r="C915" s="1">
        <v>43004</v>
      </c>
      <c r="D915">
        <v>6.64</v>
      </c>
      <c r="E915" s="1">
        <v>43004</v>
      </c>
      <c r="F915">
        <v>6.64</v>
      </c>
    </row>
    <row r="916" spans="1:6" x14ac:dyDescent="0.25">
      <c r="A916" s="1">
        <v>42921</v>
      </c>
      <c r="B916">
        <v>6.8000999999999996</v>
      </c>
      <c r="C916" s="1">
        <v>43005</v>
      </c>
      <c r="D916">
        <v>6.6425000000000001</v>
      </c>
      <c r="E916" s="1">
        <v>43005</v>
      </c>
      <c r="F916">
        <v>6.6425000000000001</v>
      </c>
    </row>
    <row r="917" spans="1:6" x14ac:dyDescent="0.25">
      <c r="A917" s="1">
        <v>42922</v>
      </c>
      <c r="B917">
        <v>6.8003999999999998</v>
      </c>
      <c r="C917" s="1">
        <v>43006</v>
      </c>
      <c r="D917">
        <v>6.6608000000000001</v>
      </c>
      <c r="E917" s="1">
        <v>43006</v>
      </c>
      <c r="F917">
        <v>6.6608000000000001</v>
      </c>
    </row>
    <row r="918" spans="1:6" x14ac:dyDescent="0.25">
      <c r="A918" s="1">
        <v>42923</v>
      </c>
      <c r="B918">
        <v>6.8038999999999996</v>
      </c>
      <c r="C918" s="1">
        <v>43007</v>
      </c>
      <c r="D918">
        <v>6.6528</v>
      </c>
      <c r="E918" s="1">
        <v>43007</v>
      </c>
      <c r="F918">
        <v>6.6528</v>
      </c>
    </row>
    <row r="919" spans="1:6" x14ac:dyDescent="0.25">
      <c r="A919" s="1">
        <v>42926</v>
      </c>
      <c r="B919">
        <v>6.806</v>
      </c>
      <c r="C919" s="1">
        <v>43017</v>
      </c>
      <c r="D919">
        <v>6.6250999999999998</v>
      </c>
      <c r="E919" s="1">
        <v>43017</v>
      </c>
      <c r="F919">
        <v>6.6250999999999998</v>
      </c>
    </row>
    <row r="920" spans="1:6" x14ac:dyDescent="0.25">
      <c r="A920" s="1">
        <v>42927</v>
      </c>
      <c r="B920">
        <v>6.8007999999999997</v>
      </c>
      <c r="C920" s="1">
        <v>43018</v>
      </c>
      <c r="D920">
        <v>6.5743</v>
      </c>
      <c r="E920" s="1">
        <v>43018</v>
      </c>
      <c r="F920">
        <v>6.5743</v>
      </c>
    </row>
    <row r="921" spans="1:6" x14ac:dyDescent="0.25">
      <c r="A921" s="1">
        <v>42928</v>
      </c>
      <c r="B921">
        <v>6.7865000000000002</v>
      </c>
      <c r="C921" s="1">
        <v>43019</v>
      </c>
      <c r="D921">
        <v>6.5903</v>
      </c>
      <c r="E921" s="1">
        <v>43019</v>
      </c>
      <c r="F921">
        <v>6.5903</v>
      </c>
    </row>
    <row r="922" spans="1:6" x14ac:dyDescent="0.25">
      <c r="A922" s="1">
        <v>42929</v>
      </c>
      <c r="B922">
        <v>6.7819000000000003</v>
      </c>
      <c r="C922" s="1">
        <v>43020</v>
      </c>
      <c r="D922">
        <v>6.5875000000000004</v>
      </c>
      <c r="E922" s="1">
        <v>43020</v>
      </c>
      <c r="F922">
        <v>6.5875000000000004</v>
      </c>
    </row>
    <row r="923" spans="1:6" x14ac:dyDescent="0.25">
      <c r="A923" s="1">
        <v>42930</v>
      </c>
      <c r="B923">
        <v>6.766</v>
      </c>
      <c r="C923" s="1">
        <v>43021</v>
      </c>
      <c r="D923">
        <v>6.5796000000000001</v>
      </c>
      <c r="E923" s="1">
        <v>43021</v>
      </c>
      <c r="F923">
        <v>6.5796000000000001</v>
      </c>
    </row>
    <row r="924" spans="1:6" x14ac:dyDescent="0.25">
      <c r="A924" s="1">
        <v>42933</v>
      </c>
      <c r="B924">
        <v>6.7637999999999998</v>
      </c>
      <c r="C924" s="1">
        <v>43024</v>
      </c>
      <c r="D924">
        <v>6.5898000000000003</v>
      </c>
      <c r="E924" s="1">
        <v>43024</v>
      </c>
      <c r="F924">
        <v>6.5898000000000003</v>
      </c>
    </row>
    <row r="925" spans="1:6" x14ac:dyDescent="0.25">
      <c r="A925" s="1">
        <v>42934</v>
      </c>
      <c r="B925">
        <v>6.7497999999999996</v>
      </c>
      <c r="C925" s="1">
        <v>43025</v>
      </c>
      <c r="D925">
        <v>6.6235999999999997</v>
      </c>
      <c r="E925" s="1">
        <v>43025</v>
      </c>
      <c r="F925">
        <v>6.6235999999999997</v>
      </c>
    </row>
    <row r="926" spans="1:6" x14ac:dyDescent="0.25">
      <c r="A926" s="1">
        <v>42935</v>
      </c>
      <c r="B926">
        <v>6.7594000000000003</v>
      </c>
      <c r="C926" s="1">
        <v>43026</v>
      </c>
      <c r="D926">
        <v>6.6273999999999997</v>
      </c>
      <c r="E926" s="1">
        <v>43026</v>
      </c>
      <c r="F926">
        <v>6.6273999999999997</v>
      </c>
    </row>
    <row r="927" spans="1:6" x14ac:dyDescent="0.25">
      <c r="A927" s="1">
        <v>42936</v>
      </c>
      <c r="B927">
        <v>6.7561</v>
      </c>
      <c r="C927" s="1">
        <v>43027</v>
      </c>
      <c r="D927">
        <v>6.6138000000000003</v>
      </c>
      <c r="E927" s="1">
        <v>43027</v>
      </c>
      <c r="F927">
        <v>6.6138000000000003</v>
      </c>
    </row>
    <row r="928" spans="1:6" x14ac:dyDescent="0.25">
      <c r="A928" s="1">
        <v>42937</v>
      </c>
      <c r="B928">
        <v>6.7571000000000003</v>
      </c>
      <c r="C928" s="1">
        <v>43028</v>
      </c>
      <c r="D928">
        <v>6.6204999999999998</v>
      </c>
      <c r="E928" s="1">
        <v>43028</v>
      </c>
      <c r="F928">
        <v>6.6204999999999998</v>
      </c>
    </row>
    <row r="929" spans="1:6" x14ac:dyDescent="0.25">
      <c r="A929" s="1">
        <v>42940</v>
      </c>
      <c r="B929">
        <v>6.7495000000000003</v>
      </c>
      <c r="C929" s="1">
        <v>43031</v>
      </c>
      <c r="D929">
        <v>6.64</v>
      </c>
      <c r="E929" s="1">
        <v>43031</v>
      </c>
      <c r="F929">
        <v>6.64</v>
      </c>
    </row>
    <row r="930" spans="1:6" x14ac:dyDescent="0.25">
      <c r="A930" s="1">
        <v>42941</v>
      </c>
      <c r="B930">
        <v>6.7587999999999999</v>
      </c>
      <c r="C930" s="1">
        <v>43032</v>
      </c>
      <c r="D930">
        <v>6.6357999999999997</v>
      </c>
      <c r="E930" s="1">
        <v>43032</v>
      </c>
      <c r="F930">
        <v>6.6357999999999997</v>
      </c>
    </row>
    <row r="931" spans="1:6" x14ac:dyDescent="0.25">
      <c r="A931" s="1">
        <v>42942</v>
      </c>
      <c r="B931">
        <v>6.7431000000000001</v>
      </c>
      <c r="C931" s="1">
        <v>43033</v>
      </c>
      <c r="D931">
        <v>6.6391</v>
      </c>
      <c r="E931" s="1">
        <v>43033</v>
      </c>
      <c r="F931">
        <v>6.6391</v>
      </c>
    </row>
    <row r="932" spans="1:6" x14ac:dyDescent="0.25">
      <c r="A932" s="1">
        <v>42943</v>
      </c>
      <c r="B932">
        <v>6.7439999999999998</v>
      </c>
      <c r="C932" s="1">
        <v>43034</v>
      </c>
      <c r="D932">
        <v>6.6425999999999998</v>
      </c>
      <c r="E932" s="1">
        <v>43034</v>
      </c>
      <c r="F932">
        <v>6.6425999999999998</v>
      </c>
    </row>
    <row r="933" spans="1:6" x14ac:dyDescent="0.25">
      <c r="A933" s="1">
        <v>42944</v>
      </c>
      <c r="B933">
        <v>6.7370000000000001</v>
      </c>
      <c r="C933" s="1">
        <v>43035</v>
      </c>
      <c r="D933">
        <v>6.6505000000000001</v>
      </c>
      <c r="E933" s="1">
        <v>43035</v>
      </c>
      <c r="F933">
        <v>6.6505000000000001</v>
      </c>
    </row>
    <row r="934" spans="1:6" x14ac:dyDescent="0.25">
      <c r="A934" s="1">
        <v>42947</v>
      </c>
      <c r="B934">
        <v>6.7271000000000001</v>
      </c>
      <c r="C934" s="1">
        <v>43038</v>
      </c>
      <c r="D934">
        <v>6.6464999999999996</v>
      </c>
      <c r="E934" s="1">
        <v>43038</v>
      </c>
      <c r="F934">
        <v>6.6464999999999996</v>
      </c>
    </row>
    <row r="935" spans="1:6" x14ac:dyDescent="0.25">
      <c r="A935" s="1">
        <v>42948</v>
      </c>
      <c r="B935">
        <v>6.7298999999999998</v>
      </c>
      <c r="C935" s="1">
        <v>43039</v>
      </c>
      <c r="D935">
        <v>6.6349999999999998</v>
      </c>
      <c r="E935" s="1">
        <v>43039</v>
      </c>
      <c r="F935">
        <v>6.6349999999999998</v>
      </c>
    </row>
    <row r="936" spans="1:6" x14ac:dyDescent="0.25">
      <c r="A936" s="1">
        <v>42949</v>
      </c>
      <c r="B936">
        <v>6.7298</v>
      </c>
      <c r="C936" s="1">
        <v>43040</v>
      </c>
      <c r="D936">
        <v>6.6020000000000003</v>
      </c>
      <c r="E936" s="1">
        <v>43040</v>
      </c>
      <c r="F936">
        <v>6.6020000000000003</v>
      </c>
    </row>
    <row r="937" spans="1:6" x14ac:dyDescent="0.25">
      <c r="A937" s="1">
        <v>42950</v>
      </c>
      <c r="B937">
        <v>6.7294999999999998</v>
      </c>
      <c r="C937" s="1">
        <v>43041</v>
      </c>
      <c r="D937">
        <v>6.6093000000000002</v>
      </c>
      <c r="E937" s="1">
        <v>43041</v>
      </c>
      <c r="F937">
        <v>6.6093000000000002</v>
      </c>
    </row>
    <row r="938" spans="1:6" x14ac:dyDescent="0.25">
      <c r="A938" s="1">
        <v>42951</v>
      </c>
      <c r="B938">
        <v>6.7351000000000001</v>
      </c>
      <c r="C938" s="1">
        <v>43042</v>
      </c>
      <c r="D938">
        <v>6.6390000000000002</v>
      </c>
      <c r="E938" s="1">
        <v>43042</v>
      </c>
      <c r="F938">
        <v>6.6390000000000002</v>
      </c>
    </row>
    <row r="939" spans="1:6" x14ac:dyDescent="0.25">
      <c r="A939" s="1">
        <v>42954</v>
      </c>
      <c r="B939">
        <v>6.7313000000000001</v>
      </c>
      <c r="C939" s="1">
        <v>43045</v>
      </c>
      <c r="D939">
        <v>6.6337999999999999</v>
      </c>
      <c r="E939" s="1">
        <v>43045</v>
      </c>
      <c r="F939">
        <v>6.6337999999999999</v>
      </c>
    </row>
    <row r="940" spans="1:6" x14ac:dyDescent="0.25">
      <c r="A940" s="1">
        <v>42955</v>
      </c>
      <c r="B940">
        <v>6.7119999999999997</v>
      </c>
      <c r="C940" s="1">
        <v>43046</v>
      </c>
      <c r="D940">
        <v>6.6405000000000003</v>
      </c>
      <c r="E940" s="1">
        <v>43046</v>
      </c>
      <c r="F940">
        <v>6.6405000000000003</v>
      </c>
    </row>
    <row r="941" spans="1:6" x14ac:dyDescent="0.25">
      <c r="A941" s="1">
        <v>42956</v>
      </c>
      <c r="B941">
        <v>6.6920999999999999</v>
      </c>
      <c r="C941" s="1">
        <v>43047</v>
      </c>
      <c r="D941">
        <v>6.6280000000000001</v>
      </c>
      <c r="E941" s="1">
        <v>43047</v>
      </c>
      <c r="F941">
        <v>6.6280000000000001</v>
      </c>
    </row>
    <row r="942" spans="1:6" x14ac:dyDescent="0.25">
      <c r="A942" s="1">
        <v>42957</v>
      </c>
      <c r="B942">
        <v>6.6666999999999996</v>
      </c>
      <c r="C942" s="1">
        <v>43048</v>
      </c>
      <c r="D942">
        <v>6.6402000000000001</v>
      </c>
      <c r="E942" s="1">
        <v>43048</v>
      </c>
      <c r="F942">
        <v>6.6402000000000001</v>
      </c>
    </row>
    <row r="943" spans="1:6" x14ac:dyDescent="0.25">
      <c r="A943" s="1">
        <v>42958</v>
      </c>
      <c r="B943">
        <v>6.6765999999999996</v>
      </c>
      <c r="C943" s="1">
        <v>43049</v>
      </c>
      <c r="D943">
        <v>6.6409000000000002</v>
      </c>
      <c r="E943" s="1">
        <v>43049</v>
      </c>
      <c r="F943">
        <v>6.6409000000000002</v>
      </c>
    </row>
    <row r="944" spans="1:6" x14ac:dyDescent="0.25">
      <c r="A944" s="1">
        <v>42961</v>
      </c>
      <c r="B944">
        <v>6.69</v>
      </c>
      <c r="C944" s="1">
        <v>43052</v>
      </c>
      <c r="D944">
        <v>6.6405000000000003</v>
      </c>
      <c r="E944" s="1">
        <v>43052</v>
      </c>
      <c r="F944">
        <v>6.6405000000000003</v>
      </c>
    </row>
    <row r="945" spans="1:6" x14ac:dyDescent="0.25">
      <c r="A945" s="1">
        <v>42962</v>
      </c>
      <c r="B945">
        <v>6.6962999999999999</v>
      </c>
      <c r="C945" s="1">
        <v>43053</v>
      </c>
      <c r="D945">
        <v>6.6360999999999999</v>
      </c>
      <c r="E945" s="1">
        <v>43053</v>
      </c>
      <c r="F945">
        <v>6.6360999999999999</v>
      </c>
    </row>
    <row r="946" spans="1:6" x14ac:dyDescent="0.25">
      <c r="A946" s="1">
        <v>42963</v>
      </c>
      <c r="B946">
        <v>6.6882999999999999</v>
      </c>
      <c r="C946" s="1">
        <v>43054</v>
      </c>
      <c r="D946">
        <v>6.6239999999999997</v>
      </c>
      <c r="E946" s="1">
        <v>43054</v>
      </c>
      <c r="F946">
        <v>6.6239999999999997</v>
      </c>
    </row>
    <row r="947" spans="1:6" x14ac:dyDescent="0.25">
      <c r="A947" s="1">
        <v>42964</v>
      </c>
      <c r="B947">
        <v>6.6841999999999997</v>
      </c>
      <c r="C947" s="1">
        <v>43055</v>
      </c>
      <c r="D947">
        <v>6.6303000000000001</v>
      </c>
      <c r="E947" s="1">
        <v>43055</v>
      </c>
      <c r="F947">
        <v>6.6303000000000001</v>
      </c>
    </row>
    <row r="948" spans="1:6" x14ac:dyDescent="0.25">
      <c r="A948" s="1">
        <v>42965</v>
      </c>
      <c r="B948">
        <v>6.6826999999999996</v>
      </c>
      <c r="C948" s="1">
        <v>43056</v>
      </c>
      <c r="D948">
        <v>6.6260000000000003</v>
      </c>
      <c r="E948" s="1">
        <v>43056</v>
      </c>
      <c r="F948">
        <v>6.6260000000000003</v>
      </c>
    </row>
    <row r="949" spans="1:6" x14ac:dyDescent="0.25">
      <c r="A949" s="1">
        <v>42968</v>
      </c>
      <c r="B949">
        <v>6.6712999999999996</v>
      </c>
      <c r="C949" s="1">
        <v>43059</v>
      </c>
      <c r="D949">
        <v>6.6372</v>
      </c>
      <c r="E949" s="1">
        <v>43059</v>
      </c>
      <c r="F949">
        <v>6.6372</v>
      </c>
    </row>
    <row r="950" spans="1:6" x14ac:dyDescent="0.25">
      <c r="A950" s="1">
        <v>42969</v>
      </c>
      <c r="B950">
        <v>6.6684000000000001</v>
      </c>
      <c r="C950" s="1">
        <v>43060</v>
      </c>
      <c r="D950">
        <v>6.6289999999999996</v>
      </c>
      <c r="E950" s="1">
        <v>43060</v>
      </c>
      <c r="F950">
        <v>6.6289999999999996</v>
      </c>
    </row>
    <row r="951" spans="1:6" x14ac:dyDescent="0.25">
      <c r="A951" s="1">
        <v>42970</v>
      </c>
      <c r="B951">
        <v>6.6627000000000001</v>
      </c>
      <c r="C951" s="1">
        <v>43061</v>
      </c>
      <c r="D951">
        <v>6.6102999999999996</v>
      </c>
      <c r="E951" s="1">
        <v>43061</v>
      </c>
      <c r="F951">
        <v>6.6102999999999996</v>
      </c>
    </row>
    <row r="952" spans="1:6" x14ac:dyDescent="0.25">
      <c r="A952" s="1">
        <v>42971</v>
      </c>
      <c r="B952">
        <v>6.6609999999999996</v>
      </c>
      <c r="C952" s="1">
        <v>43062</v>
      </c>
      <c r="D952">
        <v>6.5834999999999999</v>
      </c>
      <c r="E952" s="1">
        <v>43062</v>
      </c>
      <c r="F952">
        <v>6.5834999999999999</v>
      </c>
    </row>
    <row r="953" spans="1:6" x14ac:dyDescent="0.25">
      <c r="A953" s="1">
        <v>42972</v>
      </c>
      <c r="B953">
        <v>6.6436999999999999</v>
      </c>
      <c r="C953" s="1">
        <v>43063</v>
      </c>
      <c r="D953">
        <v>6.6017999999999999</v>
      </c>
      <c r="E953" s="1">
        <v>43063</v>
      </c>
      <c r="F953">
        <v>6.6017999999999999</v>
      </c>
    </row>
    <row r="954" spans="1:6" x14ac:dyDescent="0.25">
      <c r="A954" s="1">
        <v>42975</v>
      </c>
      <c r="B954">
        <v>6.6185</v>
      </c>
      <c r="C954" s="1">
        <v>43066</v>
      </c>
      <c r="D954">
        <v>6.5991999999999997</v>
      </c>
      <c r="E954" s="1">
        <v>43066</v>
      </c>
      <c r="F954">
        <v>6.5991999999999997</v>
      </c>
    </row>
    <row r="955" spans="1:6" x14ac:dyDescent="0.25">
      <c r="A955" s="1">
        <v>42976</v>
      </c>
      <c r="B955">
        <v>6.6082000000000001</v>
      </c>
      <c r="C955" s="1">
        <v>43067</v>
      </c>
      <c r="D955">
        <v>6.6082999999999998</v>
      </c>
      <c r="E955" s="1">
        <v>43067</v>
      </c>
      <c r="F955">
        <v>6.6082999999999998</v>
      </c>
    </row>
    <row r="956" spans="1:6" x14ac:dyDescent="0.25">
      <c r="A956" s="1">
        <v>42977</v>
      </c>
      <c r="B956">
        <v>6.5991</v>
      </c>
      <c r="C956" s="1">
        <v>43068</v>
      </c>
      <c r="D956">
        <v>6.6166999999999998</v>
      </c>
      <c r="E956" s="1">
        <v>43068</v>
      </c>
      <c r="F956">
        <v>6.6166999999999998</v>
      </c>
    </row>
    <row r="957" spans="1:6" x14ac:dyDescent="0.25">
      <c r="A957" s="1">
        <v>42978</v>
      </c>
      <c r="B957">
        <v>6.5965999999999996</v>
      </c>
      <c r="C957" s="1">
        <v>43069</v>
      </c>
      <c r="D957">
        <v>6.6090999999999998</v>
      </c>
      <c r="E957" s="1">
        <v>43069</v>
      </c>
      <c r="F957">
        <v>6.6090999999999998</v>
      </c>
    </row>
    <row r="958" spans="1:6" x14ac:dyDescent="0.25">
      <c r="A958" s="1">
        <v>42979</v>
      </c>
      <c r="B958">
        <v>6.5612000000000004</v>
      </c>
      <c r="C958" s="1">
        <v>43070</v>
      </c>
      <c r="D958">
        <v>6.6162999999999998</v>
      </c>
      <c r="E958" s="1">
        <v>43070</v>
      </c>
      <c r="F958">
        <v>6.6162999999999998</v>
      </c>
    </row>
    <row r="959" spans="1:6" x14ac:dyDescent="0.25">
      <c r="A959" s="1">
        <v>42982</v>
      </c>
      <c r="B959">
        <v>6.5293000000000001</v>
      </c>
      <c r="C959" s="1">
        <v>43073</v>
      </c>
      <c r="D959">
        <v>6.6197999999999997</v>
      </c>
      <c r="E959" s="1">
        <v>43073</v>
      </c>
      <c r="F959">
        <v>6.6197999999999997</v>
      </c>
    </row>
    <row r="960" spans="1:6" x14ac:dyDescent="0.25">
      <c r="A960" s="1">
        <v>42983</v>
      </c>
      <c r="B960">
        <v>6.5407999999999999</v>
      </c>
      <c r="C960" s="1">
        <v>43074</v>
      </c>
      <c r="D960">
        <v>6.6193</v>
      </c>
      <c r="E960" s="1">
        <v>43074</v>
      </c>
      <c r="F960">
        <v>6.6193</v>
      </c>
    </row>
    <row r="961" spans="1:6" x14ac:dyDescent="0.25">
      <c r="A961" s="1">
        <v>42984</v>
      </c>
      <c r="B961">
        <v>6.5407999999999999</v>
      </c>
      <c r="C961" s="1">
        <v>43075</v>
      </c>
      <c r="D961">
        <v>6.6148999999999996</v>
      </c>
      <c r="E961" s="1">
        <v>43075</v>
      </c>
      <c r="F961">
        <v>6.6148999999999996</v>
      </c>
    </row>
    <row r="962" spans="1:6" x14ac:dyDescent="0.25">
      <c r="A962" s="1">
        <v>42985</v>
      </c>
      <c r="B962">
        <v>6.4865000000000004</v>
      </c>
      <c r="C962" s="1">
        <v>43076</v>
      </c>
      <c r="D962">
        <v>6.6193</v>
      </c>
      <c r="E962" s="1">
        <v>43076</v>
      </c>
      <c r="F962">
        <v>6.6193</v>
      </c>
    </row>
    <row r="963" spans="1:6" x14ac:dyDescent="0.25">
      <c r="A963" s="1">
        <v>42986</v>
      </c>
      <c r="B963">
        <v>6.4943</v>
      </c>
      <c r="C963" s="1">
        <v>43077</v>
      </c>
      <c r="D963">
        <v>6.6208999999999998</v>
      </c>
      <c r="E963" s="1">
        <v>43077</v>
      </c>
      <c r="F963">
        <v>6.6208999999999998</v>
      </c>
    </row>
    <row r="964" spans="1:6" x14ac:dyDescent="0.25">
      <c r="A964" s="1">
        <v>42989</v>
      </c>
      <c r="B964">
        <v>6.5388000000000002</v>
      </c>
      <c r="C964" s="1">
        <v>43080</v>
      </c>
      <c r="D964">
        <v>6.6185999999999998</v>
      </c>
      <c r="E964" s="1">
        <v>43080</v>
      </c>
      <c r="F964">
        <v>6.6185999999999998</v>
      </c>
    </row>
    <row r="965" spans="1:6" x14ac:dyDescent="0.25">
      <c r="A965" s="1">
        <v>42990</v>
      </c>
      <c r="B965">
        <v>6.5359999999999996</v>
      </c>
      <c r="C965" s="1">
        <v>43081</v>
      </c>
      <c r="D965">
        <v>6.6215000000000002</v>
      </c>
      <c r="E965" s="1">
        <v>43081</v>
      </c>
      <c r="F965">
        <v>6.6215000000000002</v>
      </c>
    </row>
    <row r="966" spans="1:6" x14ac:dyDescent="0.25">
      <c r="A966" s="1">
        <v>42991</v>
      </c>
      <c r="B966">
        <v>6.5476999999999999</v>
      </c>
      <c r="C966" s="1">
        <v>43082</v>
      </c>
      <c r="D966">
        <v>6.6195000000000004</v>
      </c>
      <c r="E966" s="1">
        <v>43082</v>
      </c>
      <c r="F966">
        <v>6.6195000000000004</v>
      </c>
    </row>
    <row r="967" spans="1:6" x14ac:dyDescent="0.25">
      <c r="A967" s="1">
        <v>42992</v>
      </c>
      <c r="B967">
        <v>6.5427999999999997</v>
      </c>
      <c r="C967" s="1">
        <v>43083</v>
      </c>
      <c r="D967">
        <v>6.6093000000000002</v>
      </c>
      <c r="E967" s="1">
        <v>43083</v>
      </c>
      <c r="F967">
        <v>6.6093000000000002</v>
      </c>
    </row>
    <row r="968" spans="1:6" x14ac:dyDescent="0.25">
      <c r="A968" s="1">
        <v>42993</v>
      </c>
      <c r="B968">
        <v>6.5479000000000003</v>
      </c>
      <c r="C968" s="1">
        <v>43084</v>
      </c>
      <c r="D968">
        <v>6.6093000000000002</v>
      </c>
      <c r="E968" s="1">
        <v>43084</v>
      </c>
      <c r="F968">
        <v>6.6093000000000002</v>
      </c>
    </row>
    <row r="969" spans="1:6" x14ac:dyDescent="0.25">
      <c r="A969" s="1">
        <v>42996</v>
      </c>
      <c r="B969">
        <v>6.5751999999999997</v>
      </c>
      <c r="C969" s="1">
        <v>43087</v>
      </c>
      <c r="D969">
        <v>6.6163999999999996</v>
      </c>
      <c r="E969" s="1">
        <v>43087</v>
      </c>
      <c r="F969">
        <v>6.6163999999999996</v>
      </c>
    </row>
    <row r="970" spans="1:6" x14ac:dyDescent="0.25">
      <c r="A970" s="1">
        <v>42997</v>
      </c>
      <c r="B970">
        <v>6.5838999999999999</v>
      </c>
      <c r="C970" s="1">
        <v>43088</v>
      </c>
      <c r="D970">
        <v>6.6047000000000002</v>
      </c>
      <c r="E970" s="1">
        <v>43088</v>
      </c>
      <c r="F970">
        <v>6.6047000000000002</v>
      </c>
    </row>
    <row r="971" spans="1:6" x14ac:dyDescent="0.25">
      <c r="A971" s="1">
        <v>42998</v>
      </c>
      <c r="B971">
        <v>6.5862999999999996</v>
      </c>
      <c r="C971" s="1">
        <v>43089</v>
      </c>
      <c r="D971">
        <v>6.5785</v>
      </c>
      <c r="E971" s="1">
        <v>43089</v>
      </c>
      <c r="F971">
        <v>6.5785</v>
      </c>
    </row>
    <row r="972" spans="1:6" x14ac:dyDescent="0.25">
      <c r="A972" s="1">
        <v>42999</v>
      </c>
      <c r="B972">
        <v>6.5686</v>
      </c>
      <c r="C972" s="1">
        <v>43090</v>
      </c>
      <c r="D972">
        <v>6.5848000000000004</v>
      </c>
      <c r="E972" s="1">
        <v>43090</v>
      </c>
      <c r="F972">
        <v>6.5848000000000004</v>
      </c>
    </row>
    <row r="973" spans="1:6" x14ac:dyDescent="0.25">
      <c r="A973" s="1">
        <v>43000</v>
      </c>
      <c r="B973">
        <v>6.5793999999999997</v>
      </c>
      <c r="C973" s="1">
        <v>43091</v>
      </c>
      <c r="D973">
        <v>6.5773000000000001</v>
      </c>
      <c r="E973" s="1">
        <v>43091</v>
      </c>
      <c r="F973">
        <v>6.5773000000000001</v>
      </c>
    </row>
    <row r="974" spans="1:6" x14ac:dyDescent="0.25">
      <c r="A974" s="1">
        <v>43003</v>
      </c>
      <c r="B974">
        <v>6.6124000000000001</v>
      </c>
      <c r="C974" s="1">
        <v>43094</v>
      </c>
      <c r="D974">
        <v>6.5397999999999996</v>
      </c>
      <c r="E974" s="1">
        <v>43094</v>
      </c>
      <c r="F974">
        <v>6.5397999999999996</v>
      </c>
    </row>
    <row r="975" spans="1:6" x14ac:dyDescent="0.25">
      <c r="A975" s="1">
        <v>43004</v>
      </c>
      <c r="B975">
        <v>6.6284000000000001</v>
      </c>
      <c r="C975" s="1">
        <v>43095</v>
      </c>
      <c r="D975">
        <v>6.5449999999999999</v>
      </c>
      <c r="E975" s="1">
        <v>43095</v>
      </c>
      <c r="F975">
        <v>6.5449999999999999</v>
      </c>
    </row>
    <row r="976" spans="1:6" x14ac:dyDescent="0.25">
      <c r="A976" s="1">
        <v>43005</v>
      </c>
      <c r="B976">
        <v>6.6398000000000001</v>
      </c>
      <c r="C976" s="1">
        <v>43096</v>
      </c>
      <c r="D976">
        <v>6.5564</v>
      </c>
      <c r="E976" s="1">
        <v>43096</v>
      </c>
      <c r="F976">
        <v>6.5564</v>
      </c>
    </row>
    <row r="977" spans="1:6" x14ac:dyDescent="0.25">
      <c r="A977" s="1">
        <v>43006</v>
      </c>
      <c r="B977">
        <v>6.6543000000000001</v>
      </c>
      <c r="C977" s="1">
        <v>43097</v>
      </c>
      <c r="D977">
        <v>6.5335000000000001</v>
      </c>
      <c r="E977" s="1">
        <v>43097</v>
      </c>
      <c r="F977">
        <v>6.5335000000000001</v>
      </c>
    </row>
    <row r="978" spans="1:6" x14ac:dyDescent="0.25">
      <c r="A978" s="1">
        <v>43007</v>
      </c>
      <c r="B978">
        <v>6.6467999999999998</v>
      </c>
      <c r="C978" s="1">
        <v>43098</v>
      </c>
      <c r="D978">
        <v>6.5067000000000004</v>
      </c>
      <c r="E978" s="1">
        <v>43098</v>
      </c>
      <c r="F978">
        <v>6.5067000000000004</v>
      </c>
    </row>
    <row r="979" spans="1:6" x14ac:dyDescent="0.25">
      <c r="A979" s="1">
        <v>43010</v>
      </c>
      <c r="B979">
        <v>6.6729000000000003</v>
      </c>
      <c r="C979" s="1">
        <v>43102</v>
      </c>
      <c r="D979">
        <v>6.4930000000000003</v>
      </c>
      <c r="E979" s="1">
        <v>43102</v>
      </c>
      <c r="F979">
        <v>6.4930000000000003</v>
      </c>
    </row>
    <row r="980" spans="1:6" x14ac:dyDescent="0.25">
      <c r="A980" s="1">
        <v>43011</v>
      </c>
      <c r="B980">
        <v>6.6664000000000003</v>
      </c>
      <c r="C980" s="1">
        <v>43103</v>
      </c>
      <c r="D980">
        <v>6.5030000000000001</v>
      </c>
      <c r="E980" s="1">
        <v>43103</v>
      </c>
      <c r="F980">
        <v>6.5030000000000001</v>
      </c>
    </row>
    <row r="981" spans="1:6" x14ac:dyDescent="0.25">
      <c r="A981" s="1">
        <v>43012</v>
      </c>
      <c r="B981">
        <v>6.6486999999999998</v>
      </c>
      <c r="C981" s="1">
        <v>43104</v>
      </c>
      <c r="D981">
        <v>6.4935</v>
      </c>
      <c r="E981" s="1">
        <v>43104</v>
      </c>
      <c r="F981">
        <v>6.4935</v>
      </c>
    </row>
    <row r="982" spans="1:6" x14ac:dyDescent="0.25">
      <c r="A982" s="1">
        <v>43013</v>
      </c>
      <c r="B982">
        <v>6.6543000000000001</v>
      </c>
      <c r="C982" s="1">
        <v>43105</v>
      </c>
      <c r="D982">
        <v>6.4884000000000004</v>
      </c>
      <c r="E982" s="1">
        <v>43105</v>
      </c>
      <c r="F982">
        <v>6.4884000000000004</v>
      </c>
    </row>
    <row r="983" spans="1:6" x14ac:dyDescent="0.25">
      <c r="A983" s="1">
        <v>43014</v>
      </c>
      <c r="B983">
        <v>6.6505000000000001</v>
      </c>
      <c r="C983" s="1">
        <v>43108</v>
      </c>
      <c r="D983">
        <v>6.4997999999999996</v>
      </c>
      <c r="E983" s="1">
        <v>43108</v>
      </c>
      <c r="F983">
        <v>6.4997999999999996</v>
      </c>
    </row>
    <row r="984" spans="1:6" x14ac:dyDescent="0.25">
      <c r="A984" s="1">
        <v>43017</v>
      </c>
      <c r="B984">
        <v>6.6154000000000002</v>
      </c>
      <c r="C984" s="1">
        <v>43109</v>
      </c>
      <c r="D984">
        <v>6.5297000000000001</v>
      </c>
      <c r="E984" s="1">
        <v>43109</v>
      </c>
      <c r="F984">
        <v>6.5297000000000001</v>
      </c>
    </row>
    <row r="985" spans="1:6" x14ac:dyDescent="0.25">
      <c r="A985" s="1">
        <v>43018</v>
      </c>
      <c r="B985">
        <v>6.5667</v>
      </c>
      <c r="C985" s="1">
        <v>43110</v>
      </c>
      <c r="D985">
        <v>6.5082000000000004</v>
      </c>
      <c r="E985" s="1">
        <v>43110</v>
      </c>
      <c r="F985">
        <v>6.5082000000000004</v>
      </c>
    </row>
    <row r="986" spans="1:6" x14ac:dyDescent="0.25">
      <c r="A986" s="1">
        <v>43019</v>
      </c>
      <c r="B986">
        <v>6.5736999999999997</v>
      </c>
      <c r="C986" s="1">
        <v>43111</v>
      </c>
      <c r="D986">
        <v>6.5063000000000004</v>
      </c>
      <c r="E986" s="1">
        <v>43111</v>
      </c>
      <c r="F986">
        <v>6.5063000000000004</v>
      </c>
    </row>
    <row r="987" spans="1:6" x14ac:dyDescent="0.25">
      <c r="A987" s="1">
        <v>43020</v>
      </c>
      <c r="B987">
        <v>6.5782999999999996</v>
      </c>
      <c r="C987" s="1">
        <v>43112</v>
      </c>
      <c r="D987">
        <v>6.4690000000000003</v>
      </c>
      <c r="E987" s="1">
        <v>43112</v>
      </c>
      <c r="F987">
        <v>6.4690000000000003</v>
      </c>
    </row>
    <row r="988" spans="1:6" x14ac:dyDescent="0.25">
      <c r="A988" s="1">
        <v>43021</v>
      </c>
      <c r="B988">
        <v>6.5682999999999998</v>
      </c>
      <c r="C988" s="1">
        <v>43115</v>
      </c>
      <c r="D988">
        <v>6.4371</v>
      </c>
      <c r="E988" s="1">
        <v>43115</v>
      </c>
      <c r="F988">
        <v>6.4371</v>
      </c>
    </row>
    <row r="989" spans="1:6" x14ac:dyDescent="0.25">
      <c r="A989" s="1">
        <v>43024</v>
      </c>
      <c r="B989">
        <v>6.5829000000000004</v>
      </c>
      <c r="C989" s="1">
        <v>43116</v>
      </c>
      <c r="D989">
        <v>6.444</v>
      </c>
      <c r="E989" s="1">
        <v>43116</v>
      </c>
      <c r="F989">
        <v>6.444</v>
      </c>
    </row>
    <row r="990" spans="1:6" x14ac:dyDescent="0.25">
      <c r="A990" s="1">
        <v>43025</v>
      </c>
      <c r="B990">
        <v>6.6063000000000001</v>
      </c>
      <c r="C990" s="1">
        <v>43117</v>
      </c>
      <c r="D990">
        <v>6.4343000000000004</v>
      </c>
      <c r="E990" s="1">
        <v>43117</v>
      </c>
      <c r="F990">
        <v>6.4343000000000004</v>
      </c>
    </row>
    <row r="991" spans="1:6" x14ac:dyDescent="0.25">
      <c r="A991" s="1">
        <v>43026</v>
      </c>
      <c r="B991">
        <v>6.6208</v>
      </c>
      <c r="C991" s="1">
        <v>43118</v>
      </c>
      <c r="D991">
        <v>6.42</v>
      </c>
      <c r="E991" s="1">
        <v>43118</v>
      </c>
      <c r="F991">
        <v>6.42</v>
      </c>
    </row>
    <row r="992" spans="1:6" x14ac:dyDescent="0.25">
      <c r="A992" s="1">
        <v>43027</v>
      </c>
      <c r="B992">
        <v>6.6055999999999999</v>
      </c>
      <c r="C992" s="1">
        <v>43119</v>
      </c>
      <c r="D992">
        <v>6.4039999999999999</v>
      </c>
      <c r="E992" s="1">
        <v>43119</v>
      </c>
      <c r="F992">
        <v>6.4039999999999999</v>
      </c>
    </row>
    <row r="993" spans="1:6" x14ac:dyDescent="0.25">
      <c r="A993" s="1">
        <v>43028</v>
      </c>
      <c r="B993">
        <v>6.6230000000000002</v>
      </c>
      <c r="C993" s="1">
        <v>43122</v>
      </c>
      <c r="D993">
        <v>6.4050000000000002</v>
      </c>
      <c r="E993" s="1">
        <v>43122</v>
      </c>
      <c r="F993">
        <v>6.4050000000000002</v>
      </c>
    </row>
    <row r="994" spans="1:6" x14ac:dyDescent="0.25">
      <c r="A994" s="1">
        <v>43031</v>
      </c>
      <c r="B994">
        <v>6.6368999999999998</v>
      </c>
      <c r="C994" s="1">
        <v>43123</v>
      </c>
      <c r="D994">
        <v>6.4047000000000001</v>
      </c>
      <c r="E994" s="1">
        <v>43123</v>
      </c>
      <c r="F994">
        <v>6.4047000000000001</v>
      </c>
    </row>
    <row r="995" spans="1:6" x14ac:dyDescent="0.25">
      <c r="A995" s="1">
        <v>43032</v>
      </c>
      <c r="B995">
        <v>6.6428000000000003</v>
      </c>
      <c r="C995" s="1">
        <v>43124</v>
      </c>
      <c r="D995">
        <v>6.3574999999999999</v>
      </c>
      <c r="E995" s="1">
        <v>43124</v>
      </c>
      <c r="F995">
        <v>6.3574999999999999</v>
      </c>
    </row>
    <row r="996" spans="1:6" x14ac:dyDescent="0.25">
      <c r="A996" s="1">
        <v>43033</v>
      </c>
      <c r="B996">
        <v>6.6376999999999997</v>
      </c>
      <c r="C996" s="1">
        <v>43125</v>
      </c>
      <c r="D996">
        <v>6.3263999999999996</v>
      </c>
      <c r="E996" s="1">
        <v>43125</v>
      </c>
      <c r="F996">
        <v>6.3263999999999996</v>
      </c>
    </row>
    <row r="997" spans="1:6" x14ac:dyDescent="0.25">
      <c r="A997" s="1">
        <v>43034</v>
      </c>
      <c r="B997">
        <v>6.6535000000000002</v>
      </c>
      <c r="C997" s="1">
        <v>43126</v>
      </c>
      <c r="D997">
        <v>6.3282999999999996</v>
      </c>
      <c r="E997" s="1">
        <v>43126</v>
      </c>
      <c r="F997">
        <v>6.3282999999999996</v>
      </c>
    </row>
    <row r="998" spans="1:6" x14ac:dyDescent="0.25">
      <c r="A998" s="1">
        <v>43035</v>
      </c>
      <c r="B998">
        <v>6.6478999999999999</v>
      </c>
      <c r="C998" s="1">
        <v>43129</v>
      </c>
      <c r="D998">
        <v>6.3404999999999996</v>
      </c>
      <c r="E998" s="1">
        <v>43129</v>
      </c>
      <c r="F998">
        <v>6.3404999999999996</v>
      </c>
    </row>
    <row r="999" spans="1:6" x14ac:dyDescent="0.25">
      <c r="A999" s="1">
        <v>43038</v>
      </c>
      <c r="B999">
        <v>6.6368999999999998</v>
      </c>
      <c r="C999" s="1">
        <v>43130</v>
      </c>
      <c r="D999">
        <v>6.3239000000000001</v>
      </c>
      <c r="E999" s="1">
        <v>43130</v>
      </c>
      <c r="F999">
        <v>6.3239000000000001</v>
      </c>
    </row>
    <row r="1000" spans="1:6" x14ac:dyDescent="0.25">
      <c r="A1000" s="1">
        <v>43039</v>
      </c>
      <c r="B1000">
        <v>6.6323999999999996</v>
      </c>
      <c r="C1000" s="1">
        <v>43131</v>
      </c>
      <c r="D1000">
        <v>6.2888000000000002</v>
      </c>
      <c r="E1000" s="1">
        <v>43131</v>
      </c>
      <c r="F1000">
        <v>6.2888000000000002</v>
      </c>
    </row>
    <row r="1001" spans="1:6" x14ac:dyDescent="0.25">
      <c r="A1001" s="1">
        <v>43040</v>
      </c>
      <c r="B1001">
        <v>6.609</v>
      </c>
      <c r="C1001" s="1">
        <v>43132</v>
      </c>
      <c r="D1001">
        <v>6.2994000000000003</v>
      </c>
      <c r="E1001" s="1">
        <v>43132</v>
      </c>
      <c r="F1001">
        <v>6.2994000000000003</v>
      </c>
    </row>
    <row r="1002" spans="1:6" x14ac:dyDescent="0.25">
      <c r="A1002" s="1">
        <v>43041</v>
      </c>
      <c r="B1002">
        <v>6.6067999999999998</v>
      </c>
      <c r="C1002" s="1">
        <v>43133</v>
      </c>
      <c r="D1002">
        <v>6.3014000000000001</v>
      </c>
      <c r="E1002" s="1">
        <v>43133</v>
      </c>
      <c r="F1002">
        <v>6.3014000000000001</v>
      </c>
    </row>
    <row r="1003" spans="1:6" x14ac:dyDescent="0.25">
      <c r="A1003" s="1">
        <v>43042</v>
      </c>
      <c r="B1003">
        <v>6.6364999999999998</v>
      </c>
      <c r="C1003" s="1">
        <v>43136</v>
      </c>
      <c r="D1003">
        <v>6.2926000000000002</v>
      </c>
      <c r="E1003" s="1">
        <v>43136</v>
      </c>
      <c r="F1003">
        <v>6.2926000000000002</v>
      </c>
    </row>
    <row r="1004" spans="1:6" x14ac:dyDescent="0.25">
      <c r="A1004" s="1">
        <v>43045</v>
      </c>
      <c r="B1004">
        <v>6.6250999999999998</v>
      </c>
      <c r="C1004" s="1">
        <v>43137</v>
      </c>
      <c r="D1004">
        <v>6.2907000000000002</v>
      </c>
      <c r="E1004" s="1">
        <v>43137</v>
      </c>
      <c r="F1004">
        <v>6.2907000000000002</v>
      </c>
    </row>
    <row r="1005" spans="1:6" x14ac:dyDescent="0.25">
      <c r="A1005" s="1">
        <v>43046</v>
      </c>
      <c r="B1005">
        <v>6.641</v>
      </c>
      <c r="C1005" s="1">
        <v>43138</v>
      </c>
      <c r="D1005">
        <v>6.2778</v>
      </c>
      <c r="E1005" s="1">
        <v>43138</v>
      </c>
      <c r="F1005">
        <v>6.2778</v>
      </c>
    </row>
    <row r="1006" spans="1:6" x14ac:dyDescent="0.25">
      <c r="A1006" s="1">
        <v>43047</v>
      </c>
      <c r="B1006">
        <v>6.6322000000000001</v>
      </c>
      <c r="C1006" s="1">
        <v>43139</v>
      </c>
      <c r="D1006">
        <v>6.3297999999999996</v>
      </c>
      <c r="E1006" s="1">
        <v>43139</v>
      </c>
      <c r="F1006">
        <v>6.3297999999999996</v>
      </c>
    </row>
    <row r="1007" spans="1:6" x14ac:dyDescent="0.25">
      <c r="A1007" s="1">
        <v>43048</v>
      </c>
      <c r="B1007">
        <v>6.6479999999999997</v>
      </c>
      <c r="C1007" s="1">
        <v>43140</v>
      </c>
      <c r="D1007">
        <v>6.3032000000000004</v>
      </c>
      <c r="E1007" s="1">
        <v>43140</v>
      </c>
      <c r="F1007">
        <v>6.3032000000000004</v>
      </c>
    </row>
    <row r="1008" spans="1:6" x14ac:dyDescent="0.25">
      <c r="A1008" s="1">
        <v>43049</v>
      </c>
      <c r="B1008">
        <v>6.6618000000000004</v>
      </c>
      <c r="C1008" s="1">
        <v>43143</v>
      </c>
      <c r="D1008">
        <v>6.3274999999999997</v>
      </c>
      <c r="E1008" s="1">
        <v>43143</v>
      </c>
      <c r="F1008">
        <v>6.3274999999999997</v>
      </c>
    </row>
    <row r="1009" spans="1:6" x14ac:dyDescent="0.25">
      <c r="A1009" s="1">
        <v>43052</v>
      </c>
      <c r="B1009">
        <v>6.6570999999999998</v>
      </c>
      <c r="C1009" s="1">
        <v>43144</v>
      </c>
      <c r="D1009">
        <v>6.3410000000000002</v>
      </c>
      <c r="E1009" s="1">
        <v>43144</v>
      </c>
      <c r="F1009">
        <v>6.3410000000000002</v>
      </c>
    </row>
    <row r="1010" spans="1:6" x14ac:dyDescent="0.25">
      <c r="A1010" s="1">
        <v>43053</v>
      </c>
      <c r="B1010">
        <v>6.6367000000000003</v>
      </c>
      <c r="C1010" s="1">
        <v>43145</v>
      </c>
      <c r="D1010">
        <v>6.3414999999999999</v>
      </c>
      <c r="E1010" s="1">
        <v>43145</v>
      </c>
      <c r="F1010">
        <v>6.3414999999999999</v>
      </c>
    </row>
    <row r="1011" spans="1:6" x14ac:dyDescent="0.25">
      <c r="A1011" s="1">
        <v>43054</v>
      </c>
      <c r="B1011">
        <v>6.6326999999999998</v>
      </c>
      <c r="C1011" s="1">
        <v>43153</v>
      </c>
      <c r="D1011">
        <v>6.3526999999999996</v>
      </c>
      <c r="E1011" s="1">
        <v>43153</v>
      </c>
      <c r="F1011">
        <v>6.3526999999999996</v>
      </c>
    </row>
    <row r="1012" spans="1:6" x14ac:dyDescent="0.25">
      <c r="A1012" s="1">
        <v>43055</v>
      </c>
      <c r="B1012">
        <v>6.633</v>
      </c>
      <c r="C1012" s="1">
        <v>43154</v>
      </c>
      <c r="D1012">
        <v>6.3372000000000002</v>
      </c>
      <c r="E1012" s="1">
        <v>43154</v>
      </c>
      <c r="F1012">
        <v>6.3372000000000002</v>
      </c>
    </row>
    <row r="1013" spans="1:6" x14ac:dyDescent="0.25">
      <c r="A1013" s="1">
        <v>43056</v>
      </c>
      <c r="B1013">
        <v>6.6364999999999998</v>
      </c>
      <c r="C1013" s="1">
        <v>43157</v>
      </c>
      <c r="D1013">
        <v>6.3160999999999996</v>
      </c>
      <c r="E1013" s="1">
        <v>43157</v>
      </c>
      <c r="F1013">
        <v>6.3160999999999996</v>
      </c>
    </row>
    <row r="1014" spans="1:6" x14ac:dyDescent="0.25">
      <c r="A1014" s="1">
        <v>43059</v>
      </c>
      <c r="B1014">
        <v>6.6471</v>
      </c>
      <c r="C1014" s="1">
        <v>43158</v>
      </c>
      <c r="D1014">
        <v>6.3169000000000004</v>
      </c>
      <c r="E1014" s="1">
        <v>43158</v>
      </c>
      <c r="F1014">
        <v>6.3169000000000004</v>
      </c>
    </row>
    <row r="1015" spans="1:6" x14ac:dyDescent="0.25">
      <c r="A1015" s="1">
        <v>43060</v>
      </c>
      <c r="B1015">
        <v>6.6271000000000004</v>
      </c>
      <c r="C1015" s="1">
        <v>43159</v>
      </c>
      <c r="D1015">
        <v>6.3310000000000004</v>
      </c>
      <c r="E1015" s="1">
        <v>43159</v>
      </c>
      <c r="F1015">
        <v>6.3310000000000004</v>
      </c>
    </row>
    <row r="1016" spans="1:6" x14ac:dyDescent="0.25">
      <c r="A1016" s="1">
        <v>43061</v>
      </c>
      <c r="B1016">
        <v>6.5967000000000002</v>
      </c>
      <c r="C1016" s="1">
        <v>43160</v>
      </c>
      <c r="D1016">
        <v>6.3582000000000001</v>
      </c>
      <c r="E1016" s="1">
        <v>43160</v>
      </c>
      <c r="F1016">
        <v>6.3582000000000001</v>
      </c>
    </row>
    <row r="1017" spans="1:6" x14ac:dyDescent="0.25">
      <c r="A1017" s="1">
        <v>43062</v>
      </c>
      <c r="B1017">
        <v>6.5789999999999997</v>
      </c>
      <c r="C1017" s="1">
        <v>43161</v>
      </c>
      <c r="D1017">
        <v>6.3453999999999997</v>
      </c>
      <c r="E1017" s="1">
        <v>43161</v>
      </c>
      <c r="F1017">
        <v>6.3453999999999997</v>
      </c>
    </row>
    <row r="1018" spans="1:6" x14ac:dyDescent="0.25">
      <c r="A1018" s="1">
        <v>43063</v>
      </c>
      <c r="B1018">
        <v>6.5880999999999998</v>
      </c>
      <c r="C1018" s="1">
        <v>43164</v>
      </c>
      <c r="D1018">
        <v>6.3495999999999997</v>
      </c>
      <c r="E1018" s="1">
        <v>43164</v>
      </c>
      <c r="F1018">
        <v>6.3495999999999997</v>
      </c>
    </row>
    <row r="1019" spans="1:6" x14ac:dyDescent="0.25">
      <c r="A1019" s="1">
        <v>43066</v>
      </c>
      <c r="B1019">
        <v>6.5975000000000001</v>
      </c>
      <c r="C1019" s="1">
        <v>43165</v>
      </c>
      <c r="D1019">
        <v>6.3144999999999998</v>
      </c>
      <c r="E1019" s="1">
        <v>43165</v>
      </c>
      <c r="F1019">
        <v>6.3144999999999998</v>
      </c>
    </row>
    <row r="1020" spans="1:6" x14ac:dyDescent="0.25">
      <c r="A1020" s="1">
        <v>43067</v>
      </c>
      <c r="B1020">
        <v>6.6082000000000001</v>
      </c>
      <c r="C1020" s="1">
        <v>43166</v>
      </c>
      <c r="D1020">
        <v>6.3254000000000001</v>
      </c>
      <c r="E1020" s="1">
        <v>43166</v>
      </c>
      <c r="F1020">
        <v>6.3254000000000001</v>
      </c>
    </row>
    <row r="1021" spans="1:6" x14ac:dyDescent="0.25">
      <c r="A1021" s="1">
        <v>43068</v>
      </c>
      <c r="B1021">
        <v>6.6120000000000001</v>
      </c>
      <c r="C1021" s="1">
        <v>43167</v>
      </c>
      <c r="D1021">
        <v>6.3422000000000001</v>
      </c>
      <c r="E1021" s="1">
        <v>43167</v>
      </c>
      <c r="F1021">
        <v>6.3422000000000001</v>
      </c>
    </row>
    <row r="1022" spans="1:6" x14ac:dyDescent="0.25">
      <c r="A1022" s="1">
        <v>43069</v>
      </c>
      <c r="B1022">
        <v>6.6112000000000002</v>
      </c>
      <c r="C1022" s="1">
        <v>43168</v>
      </c>
      <c r="D1022">
        <v>6.3343999999999996</v>
      </c>
      <c r="E1022" s="1">
        <v>43168</v>
      </c>
      <c r="F1022">
        <v>6.3343999999999996</v>
      </c>
    </row>
    <row r="1023" spans="1:6" x14ac:dyDescent="0.25">
      <c r="A1023" s="1">
        <v>43070</v>
      </c>
      <c r="B1023">
        <v>6.5983999999999998</v>
      </c>
      <c r="C1023" s="1">
        <v>43171</v>
      </c>
      <c r="D1023">
        <v>6.3295000000000003</v>
      </c>
      <c r="E1023" s="1">
        <v>43171</v>
      </c>
      <c r="F1023">
        <v>6.3295000000000003</v>
      </c>
    </row>
    <row r="1024" spans="1:6" x14ac:dyDescent="0.25">
      <c r="A1024" s="1">
        <v>43073</v>
      </c>
      <c r="B1024">
        <v>6.6185999999999998</v>
      </c>
      <c r="C1024" s="1">
        <v>43172</v>
      </c>
      <c r="D1024">
        <v>6.3216999999999999</v>
      </c>
      <c r="E1024" s="1">
        <v>43172</v>
      </c>
      <c r="F1024">
        <v>6.3216999999999999</v>
      </c>
    </row>
    <row r="1025" spans="1:6" x14ac:dyDescent="0.25">
      <c r="A1025" s="1">
        <v>43074</v>
      </c>
      <c r="B1025">
        <v>6.6181000000000001</v>
      </c>
      <c r="C1025" s="1">
        <v>43173</v>
      </c>
      <c r="D1025">
        <v>6.3179999999999996</v>
      </c>
      <c r="E1025" s="1">
        <v>43173</v>
      </c>
      <c r="F1025">
        <v>6.3179999999999996</v>
      </c>
    </row>
    <row r="1026" spans="1:6" x14ac:dyDescent="0.25">
      <c r="A1026" s="1">
        <v>43075</v>
      </c>
      <c r="B1026">
        <v>6.6178999999999997</v>
      </c>
      <c r="C1026" s="1">
        <v>43174</v>
      </c>
      <c r="D1026">
        <v>6.3220999999999998</v>
      </c>
      <c r="E1026" s="1">
        <v>43174</v>
      </c>
      <c r="F1026">
        <v>6.3220999999999998</v>
      </c>
    </row>
    <row r="1027" spans="1:6" x14ac:dyDescent="0.25">
      <c r="A1027" s="1">
        <v>43076</v>
      </c>
      <c r="B1027">
        <v>6.6249000000000002</v>
      </c>
      <c r="C1027" s="1">
        <v>43175</v>
      </c>
      <c r="D1027">
        <v>6.3348000000000004</v>
      </c>
      <c r="E1027" s="1">
        <v>43175</v>
      </c>
      <c r="F1027">
        <v>6.3348000000000004</v>
      </c>
    </row>
    <row r="1028" spans="1:6" x14ac:dyDescent="0.25">
      <c r="A1028" s="1">
        <v>43077</v>
      </c>
      <c r="B1028">
        <v>6.6238000000000001</v>
      </c>
      <c r="C1028" s="1">
        <v>43178</v>
      </c>
      <c r="D1028">
        <v>6.3322000000000003</v>
      </c>
      <c r="E1028" s="1">
        <v>43178</v>
      </c>
      <c r="F1028">
        <v>6.3322000000000003</v>
      </c>
    </row>
    <row r="1029" spans="1:6" x14ac:dyDescent="0.25">
      <c r="A1029" s="1">
        <v>43080</v>
      </c>
      <c r="B1029">
        <v>6.6218000000000004</v>
      </c>
      <c r="C1029" s="1">
        <v>43179</v>
      </c>
      <c r="D1029">
        <v>6.3341000000000003</v>
      </c>
      <c r="E1029" s="1">
        <v>43179</v>
      </c>
      <c r="F1029">
        <v>6.3341000000000003</v>
      </c>
    </row>
    <row r="1030" spans="1:6" x14ac:dyDescent="0.25">
      <c r="A1030" s="1">
        <v>43081</v>
      </c>
      <c r="B1030">
        <v>6.6279000000000003</v>
      </c>
      <c r="C1030" s="1">
        <v>43180</v>
      </c>
      <c r="D1030">
        <v>6.3231999999999999</v>
      </c>
      <c r="E1030" s="1">
        <v>43180</v>
      </c>
      <c r="F1030">
        <v>6.3231999999999999</v>
      </c>
    </row>
    <row r="1031" spans="1:6" x14ac:dyDescent="0.25">
      <c r="A1031" s="1">
        <v>43082</v>
      </c>
      <c r="B1031">
        <v>6.6139999999999999</v>
      </c>
      <c r="C1031" s="1">
        <v>43181</v>
      </c>
      <c r="D1031">
        <v>6.335</v>
      </c>
      <c r="E1031" s="1">
        <v>43181</v>
      </c>
      <c r="F1031">
        <v>6.335</v>
      </c>
    </row>
    <row r="1032" spans="1:6" x14ac:dyDescent="0.25">
      <c r="A1032" s="1">
        <v>43083</v>
      </c>
      <c r="B1032">
        <v>6.6069000000000004</v>
      </c>
      <c r="C1032" s="1">
        <v>43182</v>
      </c>
      <c r="D1032">
        <v>6.3159999999999998</v>
      </c>
      <c r="E1032" s="1">
        <v>43182</v>
      </c>
      <c r="F1032">
        <v>6.3159999999999998</v>
      </c>
    </row>
    <row r="1033" spans="1:6" x14ac:dyDescent="0.25">
      <c r="A1033" s="1">
        <v>43084</v>
      </c>
      <c r="B1033">
        <v>6.6059999999999999</v>
      </c>
      <c r="C1033" s="1">
        <v>43185</v>
      </c>
      <c r="D1033">
        <v>6.2729999999999997</v>
      </c>
      <c r="E1033" s="1">
        <v>43185</v>
      </c>
      <c r="F1033">
        <v>6.2729999999999997</v>
      </c>
    </row>
    <row r="1034" spans="1:6" x14ac:dyDescent="0.25">
      <c r="A1034" s="1">
        <v>43087</v>
      </c>
      <c r="B1034">
        <v>6.6087999999999996</v>
      </c>
      <c r="C1034" s="1">
        <v>43186</v>
      </c>
      <c r="D1034">
        <v>6.2830000000000004</v>
      </c>
      <c r="E1034" s="1">
        <v>43186</v>
      </c>
      <c r="F1034">
        <v>6.2830000000000004</v>
      </c>
    </row>
    <row r="1035" spans="1:6" x14ac:dyDescent="0.25">
      <c r="A1035" s="1">
        <v>43088</v>
      </c>
      <c r="B1035">
        <v>6.6062000000000003</v>
      </c>
      <c r="C1035" s="1">
        <v>43187</v>
      </c>
      <c r="D1035">
        <v>6.298</v>
      </c>
      <c r="E1035" s="1">
        <v>43187</v>
      </c>
      <c r="F1035">
        <v>6.298</v>
      </c>
    </row>
    <row r="1036" spans="1:6" x14ac:dyDescent="0.25">
      <c r="A1036" s="1">
        <v>43089</v>
      </c>
      <c r="B1036">
        <v>6.5646000000000004</v>
      </c>
      <c r="C1036" s="1">
        <v>43188</v>
      </c>
      <c r="D1036">
        <v>6.2897999999999996</v>
      </c>
      <c r="E1036" s="1">
        <v>43188</v>
      </c>
      <c r="F1036">
        <v>6.2897999999999996</v>
      </c>
    </row>
    <row r="1037" spans="1:6" x14ac:dyDescent="0.25">
      <c r="A1037" s="1">
        <v>43090</v>
      </c>
      <c r="B1037">
        <v>6.5663999999999998</v>
      </c>
      <c r="C1037" s="1">
        <v>43189</v>
      </c>
      <c r="D1037">
        <v>6.2752999999999997</v>
      </c>
      <c r="E1037" s="1">
        <v>43189</v>
      </c>
      <c r="F1037">
        <v>6.2752999999999997</v>
      </c>
    </row>
    <row r="1038" spans="1:6" x14ac:dyDescent="0.25">
      <c r="A1038" s="1">
        <v>43091</v>
      </c>
      <c r="B1038">
        <v>6.5670000000000002</v>
      </c>
      <c r="C1038" s="1">
        <v>43192</v>
      </c>
      <c r="D1038">
        <v>6.2804000000000002</v>
      </c>
      <c r="E1038" s="1">
        <v>43192</v>
      </c>
      <c r="F1038">
        <v>6.2804000000000002</v>
      </c>
    </row>
    <row r="1039" spans="1:6" x14ac:dyDescent="0.25">
      <c r="A1039" s="1">
        <v>43094</v>
      </c>
      <c r="B1039">
        <v>6.5545</v>
      </c>
      <c r="C1039" s="1">
        <v>43193</v>
      </c>
      <c r="D1039">
        <v>6.2899000000000003</v>
      </c>
      <c r="E1039" s="1">
        <v>43193</v>
      </c>
      <c r="F1039">
        <v>6.2899000000000003</v>
      </c>
    </row>
    <row r="1040" spans="1:6" x14ac:dyDescent="0.25">
      <c r="A1040" s="1">
        <v>43095</v>
      </c>
      <c r="B1040">
        <v>6.5415000000000001</v>
      </c>
      <c r="C1040" s="1">
        <v>43194</v>
      </c>
      <c r="D1040">
        <v>6.3033000000000001</v>
      </c>
      <c r="E1040" s="1">
        <v>43194</v>
      </c>
      <c r="F1040">
        <v>6.3033000000000001</v>
      </c>
    </row>
    <row r="1041" spans="1:6" x14ac:dyDescent="0.25">
      <c r="A1041" s="1">
        <v>43096</v>
      </c>
      <c r="B1041">
        <v>6.5553999999999997</v>
      </c>
      <c r="C1041" s="1">
        <v>43199</v>
      </c>
      <c r="D1041">
        <v>6.3070000000000004</v>
      </c>
      <c r="E1041" s="1">
        <v>43199</v>
      </c>
      <c r="F1041">
        <v>6.3070000000000004</v>
      </c>
    </row>
    <row r="1042" spans="1:6" x14ac:dyDescent="0.25">
      <c r="A1042" s="1">
        <v>43097</v>
      </c>
      <c r="B1042">
        <v>6.5308999999999999</v>
      </c>
      <c r="C1042" s="1">
        <v>43200</v>
      </c>
      <c r="D1042">
        <v>6.2831999999999999</v>
      </c>
      <c r="E1042" s="1">
        <v>43200</v>
      </c>
      <c r="F1042">
        <v>6.2831999999999999</v>
      </c>
    </row>
    <row r="1043" spans="1:6" x14ac:dyDescent="0.25">
      <c r="A1043" s="1">
        <v>43098</v>
      </c>
      <c r="B1043">
        <v>6.5143000000000004</v>
      </c>
      <c r="C1043" s="1">
        <v>43201</v>
      </c>
      <c r="D1043">
        <v>6.2690000000000001</v>
      </c>
      <c r="E1043" s="1">
        <v>43201</v>
      </c>
      <c r="F1043">
        <v>6.2690000000000001</v>
      </c>
    </row>
    <row r="1044" spans="1:6" x14ac:dyDescent="0.25">
      <c r="A1044" s="1">
        <v>43101</v>
      </c>
      <c r="B1044">
        <v>6.5163000000000002</v>
      </c>
      <c r="C1044" s="1">
        <v>43202</v>
      </c>
      <c r="D1044">
        <v>6.2915000000000001</v>
      </c>
      <c r="E1044" s="1">
        <v>43202</v>
      </c>
      <c r="F1044">
        <v>6.2915000000000001</v>
      </c>
    </row>
    <row r="1045" spans="1:6" x14ac:dyDescent="0.25">
      <c r="A1045" s="1">
        <v>43102</v>
      </c>
      <c r="B1045">
        <v>6.5015000000000001</v>
      </c>
      <c r="C1045" s="1">
        <v>43203</v>
      </c>
      <c r="D1045">
        <v>6.2750000000000004</v>
      </c>
      <c r="E1045" s="1">
        <v>43203</v>
      </c>
      <c r="F1045">
        <v>6.2750000000000004</v>
      </c>
    </row>
    <row r="1046" spans="1:6" x14ac:dyDescent="0.25">
      <c r="A1046" s="1">
        <v>43103</v>
      </c>
      <c r="B1046">
        <v>6.4957000000000003</v>
      </c>
      <c r="C1046" s="1">
        <v>43206</v>
      </c>
      <c r="D1046">
        <v>6.2765000000000004</v>
      </c>
      <c r="E1046" s="1">
        <v>43206</v>
      </c>
      <c r="F1046">
        <v>6.2765000000000004</v>
      </c>
    </row>
    <row r="1047" spans="1:6" x14ac:dyDescent="0.25">
      <c r="A1047" s="1">
        <v>43104</v>
      </c>
      <c r="B1047">
        <v>6.492</v>
      </c>
      <c r="C1047" s="1">
        <v>43207</v>
      </c>
      <c r="D1047">
        <v>6.2824999999999998</v>
      </c>
      <c r="E1047" s="1">
        <v>43207</v>
      </c>
      <c r="F1047">
        <v>6.2824999999999998</v>
      </c>
    </row>
    <row r="1048" spans="1:6" x14ac:dyDescent="0.25">
      <c r="A1048" s="1">
        <v>43105</v>
      </c>
      <c r="B1048">
        <v>6.4785000000000004</v>
      </c>
      <c r="C1048" s="1">
        <v>43208</v>
      </c>
      <c r="D1048">
        <v>6.2744</v>
      </c>
      <c r="E1048" s="1">
        <v>43208</v>
      </c>
      <c r="F1048">
        <v>6.2744</v>
      </c>
    </row>
    <row r="1049" spans="1:6" x14ac:dyDescent="0.25">
      <c r="A1049" s="1">
        <v>43108</v>
      </c>
      <c r="B1049">
        <v>6.4972000000000003</v>
      </c>
      <c r="C1049" s="1">
        <v>43209</v>
      </c>
      <c r="D1049">
        <v>6.2790999999999997</v>
      </c>
      <c r="E1049" s="1">
        <v>43209</v>
      </c>
      <c r="F1049">
        <v>6.2790999999999997</v>
      </c>
    </row>
    <row r="1050" spans="1:6" x14ac:dyDescent="0.25">
      <c r="A1050" s="1">
        <v>43109</v>
      </c>
      <c r="B1050">
        <v>6.5350000000000001</v>
      </c>
      <c r="C1050" s="1">
        <v>43210</v>
      </c>
      <c r="D1050">
        <v>6.2964000000000002</v>
      </c>
      <c r="E1050" s="1">
        <v>43210</v>
      </c>
      <c r="F1050">
        <v>6.2964000000000002</v>
      </c>
    </row>
    <row r="1051" spans="1:6" x14ac:dyDescent="0.25">
      <c r="A1051" s="1">
        <v>43110</v>
      </c>
      <c r="B1051">
        <v>6.5229999999999997</v>
      </c>
      <c r="C1051" s="1">
        <v>43213</v>
      </c>
      <c r="D1051">
        <v>6.3170000000000002</v>
      </c>
      <c r="E1051" s="1">
        <v>43213</v>
      </c>
      <c r="F1051">
        <v>6.3170000000000002</v>
      </c>
    </row>
    <row r="1052" spans="1:6" x14ac:dyDescent="0.25">
      <c r="A1052" s="1">
        <v>43111</v>
      </c>
      <c r="B1052">
        <v>6.4907000000000004</v>
      </c>
      <c r="C1052" s="1">
        <v>43214</v>
      </c>
      <c r="D1052">
        <v>6.3064999999999998</v>
      </c>
      <c r="E1052" s="1">
        <v>43214</v>
      </c>
      <c r="F1052">
        <v>6.3064999999999998</v>
      </c>
    </row>
    <row r="1053" spans="1:6" x14ac:dyDescent="0.25">
      <c r="A1053" s="1">
        <v>43112</v>
      </c>
      <c r="B1053">
        <v>6.4611000000000001</v>
      </c>
      <c r="C1053" s="1">
        <v>43215</v>
      </c>
      <c r="D1053">
        <v>6.3266</v>
      </c>
      <c r="E1053" s="1">
        <v>43215</v>
      </c>
      <c r="F1053">
        <v>6.3266</v>
      </c>
    </row>
    <row r="1054" spans="1:6" x14ac:dyDescent="0.25">
      <c r="A1054" s="1">
        <v>43115</v>
      </c>
      <c r="B1054">
        <v>6.4305000000000003</v>
      </c>
      <c r="C1054" s="1">
        <v>43216</v>
      </c>
      <c r="D1054">
        <v>6.3365</v>
      </c>
      <c r="E1054" s="1">
        <v>43216</v>
      </c>
      <c r="F1054">
        <v>6.3365</v>
      </c>
    </row>
    <row r="1055" spans="1:6" x14ac:dyDescent="0.25">
      <c r="A1055" s="1">
        <v>43116</v>
      </c>
      <c r="B1055">
        <v>6.4368999999999996</v>
      </c>
      <c r="C1055" s="1">
        <v>43217</v>
      </c>
      <c r="D1055">
        <v>6.3323</v>
      </c>
      <c r="E1055" s="1">
        <v>43217</v>
      </c>
      <c r="F1055">
        <v>6.3323</v>
      </c>
    </row>
    <row r="1056" spans="1:6" x14ac:dyDescent="0.25">
      <c r="A1056" s="1">
        <v>43117</v>
      </c>
      <c r="B1056">
        <v>6.4325999999999999</v>
      </c>
      <c r="C1056" s="1">
        <v>43222</v>
      </c>
      <c r="D1056">
        <v>6.3624999999999998</v>
      </c>
      <c r="E1056" s="1">
        <v>43222</v>
      </c>
      <c r="F1056">
        <v>6.3624999999999998</v>
      </c>
    </row>
    <row r="1057" spans="1:6" x14ac:dyDescent="0.25">
      <c r="A1057" s="1">
        <v>43118</v>
      </c>
      <c r="B1057">
        <v>6.4215</v>
      </c>
      <c r="C1057" s="1">
        <v>43223</v>
      </c>
      <c r="D1057">
        <v>6.3536999999999999</v>
      </c>
      <c r="E1057" s="1">
        <v>43223</v>
      </c>
      <c r="F1057">
        <v>6.3536999999999999</v>
      </c>
    </row>
    <row r="1058" spans="1:6" x14ac:dyDescent="0.25">
      <c r="A1058" s="1">
        <v>43119</v>
      </c>
      <c r="B1058">
        <v>6.4004000000000003</v>
      </c>
      <c r="C1058" s="1">
        <v>43224</v>
      </c>
      <c r="D1058">
        <v>6.3627000000000002</v>
      </c>
      <c r="E1058" s="1">
        <v>43224</v>
      </c>
      <c r="F1058">
        <v>6.3627000000000002</v>
      </c>
    </row>
    <row r="1059" spans="1:6" x14ac:dyDescent="0.25">
      <c r="A1059" s="1">
        <v>43122</v>
      </c>
      <c r="B1059">
        <v>6.4028999999999998</v>
      </c>
      <c r="C1059" s="1">
        <v>43227</v>
      </c>
      <c r="D1059">
        <v>6.3666999999999998</v>
      </c>
      <c r="E1059" s="1">
        <v>43227</v>
      </c>
      <c r="F1059">
        <v>6.3666999999999998</v>
      </c>
    </row>
    <row r="1060" spans="1:6" x14ac:dyDescent="0.25">
      <c r="A1060" s="1">
        <v>43123</v>
      </c>
      <c r="B1060">
        <v>6.3986999999999998</v>
      </c>
      <c r="C1060" s="1">
        <v>43228</v>
      </c>
      <c r="D1060">
        <v>6.3707000000000003</v>
      </c>
      <c r="E1060" s="1">
        <v>43228</v>
      </c>
      <c r="F1060">
        <v>6.3707000000000003</v>
      </c>
    </row>
    <row r="1061" spans="1:6" x14ac:dyDescent="0.25">
      <c r="A1061" s="1">
        <v>43124</v>
      </c>
      <c r="B1061">
        <v>6.3494999999999999</v>
      </c>
      <c r="C1061" s="1">
        <v>43229</v>
      </c>
      <c r="D1061">
        <v>6.3623000000000003</v>
      </c>
      <c r="E1061" s="1">
        <v>43229</v>
      </c>
      <c r="F1061">
        <v>6.3623000000000003</v>
      </c>
    </row>
    <row r="1062" spans="1:6" x14ac:dyDescent="0.25">
      <c r="A1062" s="1">
        <v>43125</v>
      </c>
      <c r="B1062">
        <v>6.3295000000000003</v>
      </c>
      <c r="C1062" s="1">
        <v>43230</v>
      </c>
      <c r="D1062">
        <v>6.3491999999999997</v>
      </c>
      <c r="E1062" s="1">
        <v>43230</v>
      </c>
      <c r="F1062">
        <v>6.3491999999999997</v>
      </c>
    </row>
    <row r="1063" spans="1:6" x14ac:dyDescent="0.25">
      <c r="A1063" s="1">
        <v>43126</v>
      </c>
      <c r="B1063">
        <v>6.3262999999999998</v>
      </c>
      <c r="C1063" s="1">
        <v>43231</v>
      </c>
      <c r="D1063">
        <v>6.3339999999999996</v>
      </c>
      <c r="E1063" s="1">
        <v>43231</v>
      </c>
      <c r="F1063">
        <v>6.3339999999999996</v>
      </c>
    </row>
    <row r="1064" spans="1:6" x14ac:dyDescent="0.25">
      <c r="A1064" s="1">
        <v>43129</v>
      </c>
      <c r="B1064">
        <v>6.3380999999999998</v>
      </c>
      <c r="C1064" s="1">
        <v>43234</v>
      </c>
      <c r="D1064">
        <v>6.3392999999999997</v>
      </c>
      <c r="E1064" s="1">
        <v>43234</v>
      </c>
      <c r="F1064">
        <v>6.3392999999999997</v>
      </c>
    </row>
    <row r="1065" spans="1:6" x14ac:dyDescent="0.25">
      <c r="A1065" s="1">
        <v>43130</v>
      </c>
      <c r="B1065">
        <v>6.3281000000000001</v>
      </c>
      <c r="C1065" s="1">
        <v>43235</v>
      </c>
      <c r="D1065">
        <v>6.3775000000000004</v>
      </c>
      <c r="E1065" s="1">
        <v>43235</v>
      </c>
      <c r="F1065">
        <v>6.3775000000000004</v>
      </c>
    </row>
    <row r="1066" spans="1:6" x14ac:dyDescent="0.25">
      <c r="A1066" s="1">
        <v>43131</v>
      </c>
      <c r="B1066">
        <v>6.2984999999999998</v>
      </c>
      <c r="C1066" s="1">
        <v>43236</v>
      </c>
      <c r="D1066">
        <v>6.3715000000000002</v>
      </c>
      <c r="E1066" s="1">
        <v>43236</v>
      </c>
      <c r="F1066">
        <v>6.3715000000000002</v>
      </c>
    </row>
    <row r="1067" spans="1:6" x14ac:dyDescent="0.25">
      <c r="A1067" s="1">
        <v>43132</v>
      </c>
      <c r="B1067">
        <v>6.2912999999999997</v>
      </c>
      <c r="C1067" s="1">
        <v>43237</v>
      </c>
      <c r="D1067">
        <v>6.3672000000000004</v>
      </c>
      <c r="E1067" s="1">
        <v>43237</v>
      </c>
      <c r="F1067">
        <v>6.3672000000000004</v>
      </c>
    </row>
    <row r="1068" spans="1:6" x14ac:dyDescent="0.25">
      <c r="A1068" s="1">
        <v>43133</v>
      </c>
      <c r="B1068">
        <v>6.3131000000000004</v>
      </c>
      <c r="C1068" s="1">
        <v>43238</v>
      </c>
      <c r="D1068">
        <v>6.38</v>
      </c>
      <c r="E1068" s="1">
        <v>43238</v>
      </c>
      <c r="F1068">
        <v>6.38</v>
      </c>
    </row>
    <row r="1069" spans="1:6" x14ac:dyDescent="0.25">
      <c r="A1069" s="1">
        <v>43136</v>
      </c>
      <c r="B1069">
        <v>6.3117999999999999</v>
      </c>
      <c r="C1069" s="1">
        <v>43241</v>
      </c>
      <c r="D1069">
        <v>6.3834999999999997</v>
      </c>
      <c r="E1069" s="1">
        <v>43241</v>
      </c>
      <c r="F1069">
        <v>6.3834999999999997</v>
      </c>
    </row>
    <row r="1070" spans="1:6" x14ac:dyDescent="0.25">
      <c r="A1070" s="1">
        <v>43137</v>
      </c>
      <c r="B1070">
        <v>6.2819000000000003</v>
      </c>
      <c r="C1070" s="1">
        <v>43242</v>
      </c>
      <c r="D1070">
        <v>6.3674999999999997</v>
      </c>
      <c r="E1070" s="1">
        <v>43242</v>
      </c>
      <c r="F1070">
        <v>6.3674999999999997</v>
      </c>
    </row>
    <row r="1071" spans="1:6" x14ac:dyDescent="0.25">
      <c r="A1071" s="1">
        <v>43138</v>
      </c>
      <c r="B1071">
        <v>6.3197999999999999</v>
      </c>
      <c r="C1071" s="1">
        <v>43243</v>
      </c>
      <c r="D1071">
        <v>6.3886000000000003</v>
      </c>
      <c r="E1071" s="1">
        <v>43243</v>
      </c>
      <c r="F1071">
        <v>6.3886000000000003</v>
      </c>
    </row>
    <row r="1072" spans="1:6" x14ac:dyDescent="0.25">
      <c r="A1072" s="1">
        <v>43139</v>
      </c>
      <c r="B1072">
        <v>6.3646000000000003</v>
      </c>
      <c r="C1072" s="1">
        <v>43244</v>
      </c>
      <c r="D1072">
        <v>6.3784000000000001</v>
      </c>
      <c r="E1072" s="1">
        <v>43244</v>
      </c>
      <c r="F1072">
        <v>6.3784000000000001</v>
      </c>
    </row>
    <row r="1073" spans="1:6" x14ac:dyDescent="0.25">
      <c r="A1073" s="1">
        <v>43140</v>
      </c>
      <c r="B1073">
        <v>6.3114999999999997</v>
      </c>
      <c r="C1073" s="1">
        <v>43245</v>
      </c>
      <c r="D1073">
        <v>6.3917000000000002</v>
      </c>
      <c r="E1073" s="1">
        <v>43245</v>
      </c>
      <c r="F1073">
        <v>6.3917000000000002</v>
      </c>
    </row>
    <row r="1074" spans="1:6" x14ac:dyDescent="0.25">
      <c r="A1074" s="1">
        <v>43143</v>
      </c>
      <c r="B1074">
        <v>6.3236999999999997</v>
      </c>
      <c r="C1074" s="1">
        <v>43248</v>
      </c>
      <c r="D1074">
        <v>6.3993000000000002</v>
      </c>
      <c r="E1074" s="1">
        <v>43248</v>
      </c>
      <c r="F1074">
        <v>6.3993000000000002</v>
      </c>
    </row>
    <row r="1075" spans="1:6" x14ac:dyDescent="0.25">
      <c r="A1075" s="1">
        <v>43144</v>
      </c>
      <c r="B1075">
        <v>6.3338000000000001</v>
      </c>
      <c r="C1075" s="1">
        <v>43249</v>
      </c>
      <c r="D1075">
        <v>6.4176000000000002</v>
      </c>
      <c r="E1075" s="1">
        <v>43249</v>
      </c>
      <c r="F1075">
        <v>6.4176000000000002</v>
      </c>
    </row>
    <row r="1076" spans="1:6" x14ac:dyDescent="0.25">
      <c r="A1076" s="1">
        <v>43145</v>
      </c>
      <c r="B1076">
        <v>6.3125999999999998</v>
      </c>
      <c r="C1076" s="1">
        <v>43250</v>
      </c>
      <c r="D1076">
        <v>6.4189999999999996</v>
      </c>
      <c r="E1076" s="1">
        <v>43250</v>
      </c>
      <c r="F1076">
        <v>6.4189999999999996</v>
      </c>
    </row>
    <row r="1077" spans="1:6" x14ac:dyDescent="0.25">
      <c r="A1077" s="1">
        <v>43146</v>
      </c>
      <c r="B1077">
        <v>6.2823000000000002</v>
      </c>
      <c r="C1077" s="1">
        <v>43251</v>
      </c>
      <c r="D1077">
        <v>6.4105999999999996</v>
      </c>
      <c r="E1077" s="1">
        <v>43251</v>
      </c>
      <c r="F1077">
        <v>6.4105999999999996</v>
      </c>
    </row>
    <row r="1078" spans="1:6" x14ac:dyDescent="0.25">
      <c r="A1078" s="1">
        <v>43147</v>
      </c>
      <c r="B1078">
        <v>6.2987000000000002</v>
      </c>
      <c r="C1078" s="1">
        <v>43252</v>
      </c>
      <c r="D1078">
        <v>6.4203999999999999</v>
      </c>
      <c r="E1078" s="1">
        <v>43252</v>
      </c>
      <c r="F1078">
        <v>6.4203999999999999</v>
      </c>
    </row>
    <row r="1079" spans="1:6" x14ac:dyDescent="0.25">
      <c r="A1079" s="1">
        <v>43150</v>
      </c>
      <c r="B1079">
        <v>6.3053999999999997</v>
      </c>
      <c r="C1079" s="1">
        <v>43255</v>
      </c>
      <c r="D1079">
        <v>6.4080000000000004</v>
      </c>
      <c r="E1079" s="1">
        <v>43255</v>
      </c>
      <c r="F1079">
        <v>6.4080000000000004</v>
      </c>
    </row>
    <row r="1080" spans="1:6" x14ac:dyDescent="0.25">
      <c r="A1080" s="1">
        <v>43151</v>
      </c>
      <c r="B1080">
        <v>6.3404999999999996</v>
      </c>
      <c r="C1080" s="1">
        <v>43256</v>
      </c>
      <c r="D1080">
        <v>6.4061000000000003</v>
      </c>
      <c r="E1080" s="1">
        <v>43256</v>
      </c>
      <c r="F1080">
        <v>6.4061000000000003</v>
      </c>
    </row>
    <row r="1081" spans="1:6" x14ac:dyDescent="0.25">
      <c r="A1081" s="1">
        <v>43152</v>
      </c>
      <c r="B1081">
        <v>6.3376000000000001</v>
      </c>
      <c r="C1081" s="1">
        <v>43257</v>
      </c>
      <c r="D1081">
        <v>6.3883999999999999</v>
      </c>
      <c r="E1081" s="1">
        <v>43257</v>
      </c>
      <c r="F1081">
        <v>6.3883999999999999</v>
      </c>
    </row>
    <row r="1082" spans="1:6" x14ac:dyDescent="0.25">
      <c r="A1082" s="1">
        <v>43153</v>
      </c>
      <c r="B1082">
        <v>6.3342999999999998</v>
      </c>
      <c r="C1082" s="1">
        <v>43258</v>
      </c>
      <c r="D1082">
        <v>6.3921000000000001</v>
      </c>
      <c r="E1082" s="1">
        <v>43258</v>
      </c>
      <c r="F1082">
        <v>6.3921000000000001</v>
      </c>
    </row>
    <row r="1083" spans="1:6" x14ac:dyDescent="0.25">
      <c r="A1083" s="1">
        <v>43154</v>
      </c>
      <c r="B1083">
        <v>6.3262</v>
      </c>
      <c r="C1083" s="1">
        <v>43259</v>
      </c>
      <c r="D1083">
        <v>6.4066999999999998</v>
      </c>
      <c r="E1083" s="1">
        <v>43259</v>
      </c>
      <c r="F1083">
        <v>6.4066999999999998</v>
      </c>
    </row>
    <row r="1084" spans="1:6" x14ac:dyDescent="0.25">
      <c r="A1084" s="1">
        <v>43157</v>
      </c>
      <c r="B1084">
        <v>6.2946</v>
      </c>
      <c r="C1084" s="1">
        <v>43262</v>
      </c>
      <c r="D1084">
        <v>6.4017999999999997</v>
      </c>
      <c r="E1084" s="1">
        <v>43262</v>
      </c>
      <c r="F1084">
        <v>6.4017999999999997</v>
      </c>
    </row>
    <row r="1085" spans="1:6" x14ac:dyDescent="0.25">
      <c r="A1085" s="1">
        <v>43158</v>
      </c>
      <c r="B1085">
        <v>6.3263999999999996</v>
      </c>
      <c r="C1085" s="1">
        <v>43263</v>
      </c>
      <c r="D1085">
        <v>6.4028</v>
      </c>
      <c r="E1085" s="1">
        <v>43263</v>
      </c>
      <c r="F1085">
        <v>6.4028</v>
      </c>
    </row>
    <row r="1086" spans="1:6" x14ac:dyDescent="0.25">
      <c r="A1086" s="1">
        <v>43159</v>
      </c>
      <c r="B1086">
        <v>6.3311000000000002</v>
      </c>
      <c r="C1086" s="1">
        <v>43264</v>
      </c>
      <c r="D1086">
        <v>6.3978999999999999</v>
      </c>
      <c r="E1086" s="1">
        <v>43264</v>
      </c>
      <c r="F1086">
        <v>6.3978999999999999</v>
      </c>
    </row>
    <row r="1087" spans="1:6" x14ac:dyDescent="0.25">
      <c r="A1087" s="1">
        <v>43160</v>
      </c>
      <c r="B1087">
        <v>6.3475000000000001</v>
      </c>
      <c r="C1087" s="1">
        <v>43265</v>
      </c>
      <c r="D1087">
        <v>6.4016999999999999</v>
      </c>
      <c r="E1087" s="1">
        <v>43265</v>
      </c>
      <c r="F1087">
        <v>6.4016999999999999</v>
      </c>
    </row>
    <row r="1088" spans="1:6" x14ac:dyDescent="0.25">
      <c r="A1088" s="1">
        <v>43161</v>
      </c>
      <c r="B1088">
        <v>6.3407</v>
      </c>
      <c r="C1088" s="1">
        <v>43266</v>
      </c>
      <c r="D1088">
        <v>6.4386999999999999</v>
      </c>
      <c r="E1088" s="1">
        <v>43266</v>
      </c>
      <c r="F1088">
        <v>6.4386999999999999</v>
      </c>
    </row>
    <row r="1089" spans="1:6" x14ac:dyDescent="0.25">
      <c r="A1089" s="1">
        <v>43164</v>
      </c>
      <c r="B1089">
        <v>6.3349000000000002</v>
      </c>
      <c r="C1089" s="1">
        <v>43270</v>
      </c>
      <c r="D1089">
        <v>6.4852999999999996</v>
      </c>
      <c r="E1089" s="1">
        <v>43270</v>
      </c>
      <c r="F1089">
        <v>6.4852999999999996</v>
      </c>
    </row>
    <row r="1090" spans="1:6" x14ac:dyDescent="0.25">
      <c r="A1090" s="1">
        <v>43165</v>
      </c>
      <c r="B1090">
        <v>6.3105000000000002</v>
      </c>
      <c r="C1090" s="1">
        <v>43271</v>
      </c>
      <c r="D1090">
        <v>6.4737999999999998</v>
      </c>
      <c r="E1090" s="1">
        <v>43271</v>
      </c>
      <c r="F1090">
        <v>6.4737999999999998</v>
      </c>
    </row>
    <row r="1091" spans="1:6" x14ac:dyDescent="0.25">
      <c r="A1091" s="1">
        <v>43166</v>
      </c>
      <c r="B1091">
        <v>6.3198999999999996</v>
      </c>
      <c r="C1091" s="1">
        <v>43272</v>
      </c>
      <c r="D1091">
        <v>6.4931999999999999</v>
      </c>
      <c r="E1091" s="1">
        <v>43272</v>
      </c>
      <c r="F1091">
        <v>6.4931999999999999</v>
      </c>
    </row>
    <row r="1092" spans="1:6" x14ac:dyDescent="0.25">
      <c r="A1092" s="1">
        <v>43167</v>
      </c>
      <c r="B1092">
        <v>6.3433999999999999</v>
      </c>
      <c r="C1092" s="1">
        <v>43273</v>
      </c>
      <c r="D1092">
        <v>6.5052000000000003</v>
      </c>
      <c r="E1092" s="1">
        <v>43273</v>
      </c>
      <c r="F1092">
        <v>6.5052000000000003</v>
      </c>
    </row>
    <row r="1093" spans="1:6" x14ac:dyDescent="0.25">
      <c r="A1093" s="1">
        <v>43168</v>
      </c>
      <c r="B1093">
        <v>6.3305999999999996</v>
      </c>
      <c r="C1093" s="1">
        <v>43276</v>
      </c>
      <c r="D1093">
        <v>6.5410000000000004</v>
      </c>
      <c r="E1093" s="1">
        <v>43276</v>
      </c>
      <c r="F1093">
        <v>6.5410000000000004</v>
      </c>
    </row>
    <row r="1094" spans="1:6" x14ac:dyDescent="0.25">
      <c r="A1094" s="1">
        <v>43171</v>
      </c>
      <c r="B1094">
        <v>6.3247</v>
      </c>
      <c r="C1094" s="1">
        <v>43277</v>
      </c>
      <c r="D1094">
        <v>6.5792999999999999</v>
      </c>
      <c r="E1094" s="1">
        <v>43277</v>
      </c>
      <c r="F1094">
        <v>6.5792999999999999</v>
      </c>
    </row>
    <row r="1095" spans="1:6" x14ac:dyDescent="0.25">
      <c r="A1095" s="1">
        <v>43172</v>
      </c>
      <c r="B1095">
        <v>6.3266999999999998</v>
      </c>
      <c r="C1095" s="1">
        <v>43278</v>
      </c>
      <c r="D1095">
        <v>6.6082999999999998</v>
      </c>
      <c r="E1095" s="1">
        <v>43278</v>
      </c>
      <c r="F1095">
        <v>6.6082999999999998</v>
      </c>
    </row>
    <row r="1096" spans="1:6" x14ac:dyDescent="0.25">
      <c r="A1096" s="1">
        <v>43173</v>
      </c>
      <c r="B1096">
        <v>6.3071000000000002</v>
      </c>
      <c r="C1096" s="1">
        <v>43279</v>
      </c>
      <c r="D1096">
        <v>6.6269999999999998</v>
      </c>
      <c r="E1096" s="1">
        <v>43279</v>
      </c>
      <c r="F1096">
        <v>6.6269999999999998</v>
      </c>
    </row>
    <row r="1097" spans="1:6" x14ac:dyDescent="0.25">
      <c r="A1097" s="1">
        <v>43174</v>
      </c>
      <c r="B1097">
        <v>6.3295000000000003</v>
      </c>
      <c r="C1097" s="1">
        <v>43280</v>
      </c>
      <c r="D1097">
        <v>6.6210000000000004</v>
      </c>
      <c r="E1097" s="1">
        <v>43280</v>
      </c>
      <c r="F1097">
        <v>6.6210000000000004</v>
      </c>
    </row>
    <row r="1098" spans="1:6" x14ac:dyDescent="0.25">
      <c r="A1098" s="1">
        <v>43175</v>
      </c>
      <c r="B1098">
        <v>6.3263999999999996</v>
      </c>
      <c r="C1098" s="1">
        <v>43283</v>
      </c>
      <c r="D1098">
        <v>6.6680000000000001</v>
      </c>
      <c r="E1098" s="1">
        <v>43283</v>
      </c>
      <c r="F1098">
        <v>6.6680000000000001</v>
      </c>
    </row>
    <row r="1099" spans="1:6" x14ac:dyDescent="0.25">
      <c r="A1099" s="1">
        <v>43178</v>
      </c>
      <c r="B1099">
        <v>6.3192000000000004</v>
      </c>
      <c r="C1099" s="1">
        <v>43284</v>
      </c>
      <c r="D1099">
        <v>6.6425000000000001</v>
      </c>
      <c r="E1099" s="1">
        <v>43284</v>
      </c>
      <c r="F1099">
        <v>6.6425000000000001</v>
      </c>
    </row>
    <row r="1100" spans="1:6" x14ac:dyDescent="0.25">
      <c r="A1100" s="1">
        <v>43179</v>
      </c>
      <c r="B1100">
        <v>6.3334999999999999</v>
      </c>
      <c r="C1100" s="1">
        <v>43285</v>
      </c>
      <c r="D1100">
        <v>6.6325000000000003</v>
      </c>
      <c r="E1100" s="1">
        <v>43285</v>
      </c>
      <c r="F1100">
        <v>6.6325000000000003</v>
      </c>
    </row>
    <row r="1101" spans="1:6" x14ac:dyDescent="0.25">
      <c r="A1101" s="1">
        <v>43180</v>
      </c>
      <c r="B1101">
        <v>6.3044000000000002</v>
      </c>
      <c r="C1101" s="1">
        <v>43286</v>
      </c>
      <c r="D1101">
        <v>6.6369999999999996</v>
      </c>
      <c r="E1101" s="1">
        <v>43286</v>
      </c>
      <c r="F1101">
        <v>6.6369999999999996</v>
      </c>
    </row>
    <row r="1102" spans="1:6" x14ac:dyDescent="0.25">
      <c r="A1102" s="1">
        <v>43181</v>
      </c>
      <c r="B1102">
        <v>6.3395000000000001</v>
      </c>
      <c r="C1102" s="1">
        <v>43287</v>
      </c>
      <c r="D1102">
        <v>6.6426999999999996</v>
      </c>
      <c r="E1102" s="1">
        <v>43287</v>
      </c>
      <c r="F1102">
        <v>6.6426999999999996</v>
      </c>
    </row>
    <row r="1103" spans="1:6" x14ac:dyDescent="0.25">
      <c r="A1103" s="1">
        <v>43182</v>
      </c>
      <c r="B1103">
        <v>6.3132000000000001</v>
      </c>
      <c r="C1103" s="1">
        <v>43290</v>
      </c>
      <c r="D1103">
        <v>6.6159999999999997</v>
      </c>
      <c r="E1103" s="1">
        <v>43290</v>
      </c>
      <c r="F1103">
        <v>6.6159999999999997</v>
      </c>
    </row>
    <row r="1104" spans="1:6" x14ac:dyDescent="0.25">
      <c r="A1104" s="1">
        <v>43185</v>
      </c>
      <c r="B1104">
        <v>6.2539999999999996</v>
      </c>
      <c r="C1104" s="1">
        <v>43291</v>
      </c>
      <c r="D1104">
        <v>6.6340000000000003</v>
      </c>
      <c r="E1104" s="1">
        <v>43291</v>
      </c>
      <c r="F1104">
        <v>6.6340000000000003</v>
      </c>
    </row>
    <row r="1105" spans="1:6" x14ac:dyDescent="0.25">
      <c r="A1105" s="1">
        <v>43186</v>
      </c>
      <c r="B1105">
        <v>6.2682000000000002</v>
      </c>
      <c r="C1105" s="1">
        <v>43292</v>
      </c>
      <c r="D1105">
        <v>6.6825999999999999</v>
      </c>
      <c r="E1105" s="1">
        <v>43292</v>
      </c>
      <c r="F1105">
        <v>6.6825999999999999</v>
      </c>
    </row>
    <row r="1106" spans="1:6" x14ac:dyDescent="0.25">
      <c r="A1106" s="1">
        <v>43187</v>
      </c>
      <c r="B1106">
        <v>6.2857000000000003</v>
      </c>
      <c r="C1106" s="1">
        <v>43293</v>
      </c>
      <c r="D1106">
        <v>6.6677999999999997</v>
      </c>
      <c r="E1106" s="1">
        <v>43293</v>
      </c>
      <c r="F1106">
        <v>6.6677999999999997</v>
      </c>
    </row>
    <row r="1107" spans="1:6" x14ac:dyDescent="0.25">
      <c r="A1107" s="1">
        <v>43188</v>
      </c>
      <c r="B1107">
        <v>6.2716000000000003</v>
      </c>
      <c r="C1107" s="1">
        <v>43294</v>
      </c>
      <c r="D1107">
        <v>6.6916000000000002</v>
      </c>
      <c r="E1107" s="1">
        <v>43294</v>
      </c>
      <c r="F1107">
        <v>6.6916000000000002</v>
      </c>
    </row>
    <row r="1108" spans="1:6" x14ac:dyDescent="0.25">
      <c r="A1108" s="1">
        <v>43189</v>
      </c>
      <c r="B1108">
        <v>6.2634999999999996</v>
      </c>
      <c r="C1108" s="1">
        <v>43297</v>
      </c>
      <c r="D1108">
        <v>6.6910999999999996</v>
      </c>
      <c r="E1108" s="1">
        <v>43297</v>
      </c>
      <c r="F1108">
        <v>6.6910999999999996</v>
      </c>
    </row>
    <row r="1109" spans="1:6" x14ac:dyDescent="0.25">
      <c r="A1109" s="1">
        <v>43192</v>
      </c>
      <c r="B1109">
        <v>6.2691999999999997</v>
      </c>
      <c r="C1109" s="1">
        <v>43298</v>
      </c>
      <c r="D1109">
        <v>6.7065000000000001</v>
      </c>
      <c r="E1109" s="1">
        <v>43298</v>
      </c>
      <c r="F1109">
        <v>6.7065000000000001</v>
      </c>
    </row>
    <row r="1110" spans="1:6" x14ac:dyDescent="0.25">
      <c r="A1110" s="1">
        <v>43193</v>
      </c>
      <c r="B1110">
        <v>6.2733999999999996</v>
      </c>
      <c r="C1110" s="1">
        <v>43299</v>
      </c>
      <c r="D1110">
        <v>6.7188999999999997</v>
      </c>
      <c r="E1110" s="1">
        <v>43299</v>
      </c>
      <c r="F1110">
        <v>6.7188999999999997</v>
      </c>
    </row>
    <row r="1111" spans="1:6" x14ac:dyDescent="0.25">
      <c r="A1111" s="1">
        <v>43194</v>
      </c>
      <c r="B1111">
        <v>6.2866999999999997</v>
      </c>
      <c r="C1111" s="1">
        <v>43300</v>
      </c>
      <c r="D1111">
        <v>6.7751000000000001</v>
      </c>
      <c r="E1111" s="1">
        <v>43300</v>
      </c>
      <c r="F1111">
        <v>6.7751000000000001</v>
      </c>
    </row>
    <row r="1112" spans="1:6" x14ac:dyDescent="0.25">
      <c r="A1112" s="1">
        <v>43195</v>
      </c>
      <c r="B1112">
        <v>6.2920999999999996</v>
      </c>
      <c r="C1112" s="1">
        <v>43301</v>
      </c>
      <c r="D1112">
        <v>6.7697000000000003</v>
      </c>
      <c r="E1112" s="1">
        <v>43301</v>
      </c>
      <c r="F1112">
        <v>6.7697000000000003</v>
      </c>
    </row>
    <row r="1113" spans="1:6" x14ac:dyDescent="0.25">
      <c r="A1113" s="1">
        <v>43196</v>
      </c>
      <c r="B1113">
        <v>6.3121999999999998</v>
      </c>
      <c r="C1113" s="1">
        <v>43304</v>
      </c>
      <c r="D1113">
        <v>6.7986000000000004</v>
      </c>
      <c r="E1113" s="1">
        <v>43304</v>
      </c>
      <c r="F1113">
        <v>6.7986000000000004</v>
      </c>
    </row>
    <row r="1114" spans="1:6" x14ac:dyDescent="0.25">
      <c r="A1114" s="1">
        <v>43199</v>
      </c>
      <c r="B1114">
        <v>6.3037999999999998</v>
      </c>
      <c r="C1114" s="1">
        <v>43305</v>
      </c>
      <c r="D1114">
        <v>6.7927</v>
      </c>
      <c r="E1114" s="1">
        <v>43305</v>
      </c>
      <c r="F1114">
        <v>6.7927</v>
      </c>
    </row>
    <row r="1115" spans="1:6" x14ac:dyDescent="0.25">
      <c r="A1115" s="1">
        <v>43200</v>
      </c>
      <c r="B1115">
        <v>6.2770000000000001</v>
      </c>
      <c r="C1115" s="1">
        <v>43306</v>
      </c>
      <c r="D1115">
        <v>6.7697000000000003</v>
      </c>
      <c r="E1115" s="1">
        <v>43306</v>
      </c>
      <c r="F1115">
        <v>6.7697000000000003</v>
      </c>
    </row>
    <row r="1116" spans="1:6" x14ac:dyDescent="0.25">
      <c r="A1116" s="1">
        <v>43201</v>
      </c>
      <c r="B1116">
        <v>6.2736999999999998</v>
      </c>
      <c r="C1116" s="1">
        <v>43307</v>
      </c>
      <c r="D1116">
        <v>6.7927</v>
      </c>
      <c r="E1116" s="1">
        <v>43307</v>
      </c>
      <c r="F1116">
        <v>6.7927</v>
      </c>
    </row>
    <row r="1117" spans="1:6" x14ac:dyDescent="0.25">
      <c r="A1117" s="1">
        <v>43202</v>
      </c>
      <c r="B1117">
        <v>6.2778</v>
      </c>
      <c r="C1117" s="1">
        <v>43308</v>
      </c>
      <c r="D1117">
        <v>6.8132999999999999</v>
      </c>
      <c r="E1117" s="1">
        <v>43308</v>
      </c>
      <c r="F1117">
        <v>6.8132999999999999</v>
      </c>
    </row>
    <row r="1118" spans="1:6" x14ac:dyDescent="0.25">
      <c r="A1118" s="1">
        <v>43203</v>
      </c>
      <c r="B1118">
        <v>6.2723000000000004</v>
      </c>
      <c r="C1118" s="1">
        <v>43311</v>
      </c>
      <c r="D1118">
        <v>6.8155000000000001</v>
      </c>
      <c r="E1118" s="1">
        <v>43311</v>
      </c>
      <c r="F1118">
        <v>6.8155000000000001</v>
      </c>
    </row>
    <row r="1119" spans="1:6" x14ac:dyDescent="0.25">
      <c r="A1119" s="1">
        <v>43206</v>
      </c>
      <c r="B1119">
        <v>6.2664999999999997</v>
      </c>
      <c r="C1119" s="1">
        <v>43312</v>
      </c>
      <c r="D1119">
        <v>6.8167999999999997</v>
      </c>
      <c r="E1119" s="1">
        <v>43312</v>
      </c>
      <c r="F1119">
        <v>6.8167999999999997</v>
      </c>
    </row>
    <row r="1120" spans="1:6" x14ac:dyDescent="0.25">
      <c r="A1120" s="1">
        <v>43207</v>
      </c>
      <c r="B1120">
        <v>6.282</v>
      </c>
      <c r="C1120" s="1">
        <v>43313</v>
      </c>
      <c r="D1120">
        <v>6.8230000000000004</v>
      </c>
      <c r="E1120" s="1">
        <v>43313</v>
      </c>
      <c r="F1120">
        <v>6.8230000000000004</v>
      </c>
    </row>
    <row r="1121" spans="1:6" x14ac:dyDescent="0.25">
      <c r="A1121" s="1">
        <v>43208</v>
      </c>
      <c r="B1121">
        <v>6.2709999999999999</v>
      </c>
      <c r="C1121" s="1">
        <v>43314</v>
      </c>
      <c r="D1121">
        <v>6.8428000000000004</v>
      </c>
      <c r="E1121" s="1">
        <v>43314</v>
      </c>
      <c r="F1121">
        <v>6.8428000000000004</v>
      </c>
    </row>
    <row r="1122" spans="1:6" x14ac:dyDescent="0.25">
      <c r="A1122" s="1">
        <v>43209</v>
      </c>
      <c r="B1122">
        <v>6.2773000000000003</v>
      </c>
      <c r="C1122" s="1">
        <v>43315</v>
      </c>
      <c r="D1122">
        <v>6.827</v>
      </c>
      <c r="E1122" s="1">
        <v>43315</v>
      </c>
      <c r="F1122">
        <v>6.827</v>
      </c>
    </row>
    <row r="1123" spans="1:6" x14ac:dyDescent="0.25">
      <c r="A1123" s="1">
        <v>43210</v>
      </c>
      <c r="B1123">
        <v>6.2794999999999996</v>
      </c>
      <c r="C1123" s="1">
        <v>43318</v>
      </c>
      <c r="D1123">
        <v>6.8535000000000004</v>
      </c>
      <c r="E1123" s="1">
        <v>43318</v>
      </c>
      <c r="F1123">
        <v>6.8535000000000004</v>
      </c>
    </row>
    <row r="1124" spans="1:6" x14ac:dyDescent="0.25">
      <c r="A1124" s="1">
        <v>43213</v>
      </c>
      <c r="B1124">
        <v>6.3075000000000001</v>
      </c>
      <c r="C1124" s="1">
        <v>43319</v>
      </c>
      <c r="D1124">
        <v>6.8312999999999997</v>
      </c>
      <c r="E1124" s="1">
        <v>43319</v>
      </c>
      <c r="F1124">
        <v>6.8312999999999997</v>
      </c>
    </row>
    <row r="1125" spans="1:6" x14ac:dyDescent="0.25">
      <c r="A1125" s="1">
        <v>43214</v>
      </c>
      <c r="B1125">
        <v>6.2967000000000004</v>
      </c>
      <c r="C1125" s="1">
        <v>43320</v>
      </c>
      <c r="D1125">
        <v>6.8354999999999997</v>
      </c>
      <c r="E1125" s="1">
        <v>43320</v>
      </c>
      <c r="F1125">
        <v>6.8354999999999997</v>
      </c>
    </row>
    <row r="1126" spans="1:6" x14ac:dyDescent="0.25">
      <c r="A1126" s="1">
        <v>43215</v>
      </c>
      <c r="B1126">
        <v>6.3223000000000003</v>
      </c>
      <c r="C1126" s="1">
        <v>43321</v>
      </c>
      <c r="D1126">
        <v>6.8209999999999997</v>
      </c>
      <c r="E1126" s="1">
        <v>43321</v>
      </c>
      <c r="F1126">
        <v>6.8209999999999997</v>
      </c>
    </row>
    <row r="1127" spans="1:6" x14ac:dyDescent="0.25">
      <c r="A1127" s="1">
        <v>43216</v>
      </c>
      <c r="B1127">
        <v>6.3268000000000004</v>
      </c>
      <c r="C1127" s="1">
        <v>43322</v>
      </c>
      <c r="D1127">
        <v>6.8463000000000003</v>
      </c>
      <c r="E1127" s="1">
        <v>43322</v>
      </c>
      <c r="F1127">
        <v>6.8463000000000003</v>
      </c>
    </row>
    <row r="1128" spans="1:6" x14ac:dyDescent="0.25">
      <c r="A1128" s="1">
        <v>43217</v>
      </c>
      <c r="B1128">
        <v>6.3185000000000002</v>
      </c>
      <c r="C1128" s="1">
        <v>43325</v>
      </c>
      <c r="D1128">
        <v>6.8912000000000004</v>
      </c>
      <c r="E1128" s="1">
        <v>43325</v>
      </c>
      <c r="F1128">
        <v>6.8912000000000004</v>
      </c>
    </row>
    <row r="1129" spans="1:6" x14ac:dyDescent="0.25">
      <c r="A1129" s="1">
        <v>43220</v>
      </c>
      <c r="B1129">
        <v>6.3156999999999996</v>
      </c>
      <c r="C1129" s="1">
        <v>43326</v>
      </c>
      <c r="D1129">
        <v>6.8841999999999999</v>
      </c>
      <c r="E1129" s="1">
        <v>43326</v>
      </c>
      <c r="F1129">
        <v>6.8841999999999999</v>
      </c>
    </row>
    <row r="1130" spans="1:6" x14ac:dyDescent="0.25">
      <c r="A1130" s="1">
        <v>43221</v>
      </c>
      <c r="B1130">
        <v>6.3381999999999996</v>
      </c>
      <c r="C1130" s="1">
        <v>43327</v>
      </c>
      <c r="D1130">
        <v>6.9348000000000001</v>
      </c>
      <c r="E1130" s="1">
        <v>43327</v>
      </c>
      <c r="F1130">
        <v>6.9348000000000001</v>
      </c>
    </row>
    <row r="1131" spans="1:6" x14ac:dyDescent="0.25">
      <c r="A1131" s="1">
        <v>43222</v>
      </c>
      <c r="B1131">
        <v>6.3746999999999998</v>
      </c>
      <c r="C1131" s="1">
        <v>43328</v>
      </c>
      <c r="D1131">
        <v>6.8853</v>
      </c>
      <c r="E1131" s="1">
        <v>43328</v>
      </c>
      <c r="F1131">
        <v>6.8853</v>
      </c>
    </row>
    <row r="1132" spans="1:6" x14ac:dyDescent="0.25">
      <c r="A1132" s="1">
        <v>43223</v>
      </c>
      <c r="B1132">
        <v>6.3441999999999998</v>
      </c>
      <c r="C1132" s="1">
        <v>43329</v>
      </c>
      <c r="D1132">
        <v>6.8775000000000004</v>
      </c>
      <c r="E1132" s="1">
        <v>43329</v>
      </c>
      <c r="F1132">
        <v>6.8775000000000004</v>
      </c>
    </row>
    <row r="1133" spans="1:6" x14ac:dyDescent="0.25">
      <c r="A1133" s="1">
        <v>43224</v>
      </c>
      <c r="B1133">
        <v>6.3563999999999998</v>
      </c>
      <c r="C1133" s="1">
        <v>43332</v>
      </c>
      <c r="D1133">
        <v>6.8577000000000004</v>
      </c>
      <c r="E1133" s="1">
        <v>43332</v>
      </c>
      <c r="F1133">
        <v>6.8577000000000004</v>
      </c>
    </row>
    <row r="1134" spans="1:6" x14ac:dyDescent="0.25">
      <c r="A1134" s="1">
        <v>43227</v>
      </c>
      <c r="B1134">
        <v>6.3597999999999999</v>
      </c>
      <c r="C1134" s="1">
        <v>43333</v>
      </c>
      <c r="D1134">
        <v>6.8472</v>
      </c>
      <c r="E1134" s="1">
        <v>43333</v>
      </c>
      <c r="F1134">
        <v>6.8472</v>
      </c>
    </row>
    <row r="1135" spans="1:6" x14ac:dyDescent="0.25">
      <c r="A1135" s="1">
        <v>43228</v>
      </c>
      <c r="B1135">
        <v>6.3662000000000001</v>
      </c>
      <c r="C1135" s="1">
        <v>43334</v>
      </c>
      <c r="D1135">
        <v>6.8418000000000001</v>
      </c>
      <c r="E1135" s="1">
        <v>43334</v>
      </c>
      <c r="F1135">
        <v>6.8418000000000001</v>
      </c>
    </row>
    <row r="1136" spans="1:6" x14ac:dyDescent="0.25">
      <c r="A1136" s="1">
        <v>43229</v>
      </c>
      <c r="B1136">
        <v>6.3646000000000003</v>
      </c>
      <c r="C1136" s="1">
        <v>43335</v>
      </c>
      <c r="D1136">
        <v>6.8777999999999997</v>
      </c>
      <c r="E1136" s="1">
        <v>43335</v>
      </c>
      <c r="F1136">
        <v>6.8777999999999997</v>
      </c>
    </row>
    <row r="1137" spans="1:6" x14ac:dyDescent="0.25">
      <c r="A1137" s="1">
        <v>43230</v>
      </c>
      <c r="B1137">
        <v>6.3297999999999996</v>
      </c>
      <c r="C1137" s="1">
        <v>43336</v>
      </c>
      <c r="D1137">
        <v>6.8105000000000002</v>
      </c>
      <c r="E1137" s="1">
        <v>43336</v>
      </c>
      <c r="F1137">
        <v>6.8105000000000002</v>
      </c>
    </row>
    <row r="1138" spans="1:6" x14ac:dyDescent="0.25">
      <c r="A1138" s="1">
        <v>43231</v>
      </c>
      <c r="B1138">
        <v>6.3334000000000001</v>
      </c>
      <c r="C1138" s="1">
        <v>43339</v>
      </c>
      <c r="D1138">
        <v>6.8155999999999999</v>
      </c>
      <c r="E1138" s="1">
        <v>43339</v>
      </c>
      <c r="F1138">
        <v>6.8155999999999999</v>
      </c>
    </row>
    <row r="1139" spans="1:6" x14ac:dyDescent="0.25">
      <c r="A1139" s="1">
        <v>43234</v>
      </c>
      <c r="B1139">
        <v>6.3369</v>
      </c>
      <c r="C1139" s="1">
        <v>43340</v>
      </c>
      <c r="D1139">
        <v>6.8030999999999997</v>
      </c>
      <c r="E1139" s="1">
        <v>43340</v>
      </c>
      <c r="F1139">
        <v>6.8030999999999997</v>
      </c>
    </row>
    <row r="1140" spans="1:6" x14ac:dyDescent="0.25">
      <c r="A1140" s="1">
        <v>43235</v>
      </c>
      <c r="B1140">
        <v>6.3669000000000002</v>
      </c>
      <c r="C1140" s="1">
        <v>43341</v>
      </c>
      <c r="D1140">
        <v>6.8212000000000002</v>
      </c>
      <c r="E1140" s="1">
        <v>43341</v>
      </c>
      <c r="F1140">
        <v>6.8212000000000002</v>
      </c>
    </row>
    <row r="1141" spans="1:6" x14ac:dyDescent="0.25">
      <c r="A1141" s="1">
        <v>43236</v>
      </c>
      <c r="B1141">
        <v>6.3506</v>
      </c>
      <c r="C1141" s="1">
        <v>43342</v>
      </c>
      <c r="D1141">
        <v>6.8445</v>
      </c>
      <c r="E1141" s="1">
        <v>43342</v>
      </c>
      <c r="F1141">
        <v>6.8445</v>
      </c>
    </row>
    <row r="1142" spans="1:6" x14ac:dyDescent="0.25">
      <c r="A1142" s="1">
        <v>43237</v>
      </c>
      <c r="B1142">
        <v>6.3577000000000004</v>
      </c>
      <c r="C1142" s="1">
        <v>43343</v>
      </c>
      <c r="D1142">
        <v>6.8315000000000001</v>
      </c>
      <c r="E1142" s="1">
        <v>43343</v>
      </c>
      <c r="F1142">
        <v>6.8315000000000001</v>
      </c>
    </row>
    <row r="1143" spans="1:6" x14ac:dyDescent="0.25">
      <c r="A1143" s="1">
        <v>43238</v>
      </c>
      <c r="B1143">
        <v>6.3647999999999998</v>
      </c>
      <c r="C1143" s="1">
        <v>43346</v>
      </c>
      <c r="D1143">
        <v>6.8228</v>
      </c>
      <c r="E1143" s="1">
        <v>43346</v>
      </c>
      <c r="F1143">
        <v>6.8228</v>
      </c>
    </row>
    <row r="1144" spans="1:6" x14ac:dyDescent="0.25">
      <c r="A1144" s="1">
        <v>43241</v>
      </c>
      <c r="B1144">
        <v>6.3579999999999997</v>
      </c>
      <c r="C1144" s="1">
        <v>43347</v>
      </c>
      <c r="D1144">
        <v>6.8441999999999998</v>
      </c>
      <c r="E1144" s="1">
        <v>43347</v>
      </c>
      <c r="F1144">
        <v>6.8441999999999998</v>
      </c>
    </row>
    <row r="1145" spans="1:6" x14ac:dyDescent="0.25">
      <c r="A1145" s="1">
        <v>43242</v>
      </c>
      <c r="B1145">
        <v>6.3516000000000004</v>
      </c>
      <c r="C1145" s="1">
        <v>43348</v>
      </c>
      <c r="D1145">
        <v>6.83</v>
      </c>
      <c r="E1145" s="1">
        <v>43348</v>
      </c>
      <c r="F1145">
        <v>6.83</v>
      </c>
    </row>
    <row r="1146" spans="1:6" x14ac:dyDescent="0.25">
      <c r="A1146" s="1">
        <v>43243</v>
      </c>
      <c r="B1146">
        <v>6.3780000000000001</v>
      </c>
      <c r="C1146" s="1">
        <v>43349</v>
      </c>
      <c r="D1146">
        <v>6.8354999999999997</v>
      </c>
      <c r="E1146" s="1">
        <v>43349</v>
      </c>
      <c r="F1146">
        <v>6.8354999999999997</v>
      </c>
    </row>
    <row r="1147" spans="1:6" x14ac:dyDescent="0.25">
      <c r="A1147" s="1">
        <v>43244</v>
      </c>
      <c r="B1147">
        <v>6.3764000000000003</v>
      </c>
      <c r="C1147" s="1">
        <v>43350</v>
      </c>
      <c r="D1147">
        <v>6.8437999999999999</v>
      </c>
      <c r="E1147" s="1">
        <v>43350</v>
      </c>
      <c r="F1147">
        <v>6.8437999999999999</v>
      </c>
    </row>
    <row r="1148" spans="1:6" x14ac:dyDescent="0.25">
      <c r="A1148" s="1">
        <v>43245</v>
      </c>
      <c r="B1148">
        <v>6.3886000000000003</v>
      </c>
      <c r="C1148" s="1">
        <v>43353</v>
      </c>
      <c r="D1148">
        <v>6.8555000000000001</v>
      </c>
      <c r="E1148" s="1">
        <v>43353</v>
      </c>
      <c r="F1148">
        <v>6.8555000000000001</v>
      </c>
    </row>
    <row r="1149" spans="1:6" x14ac:dyDescent="0.25">
      <c r="A1149" s="1">
        <v>43248</v>
      </c>
      <c r="B1149">
        <v>6.3970000000000002</v>
      </c>
      <c r="C1149" s="1">
        <v>43354</v>
      </c>
      <c r="D1149">
        <v>6.8730000000000002</v>
      </c>
      <c r="E1149" s="1">
        <v>43354</v>
      </c>
      <c r="F1149">
        <v>6.8730000000000002</v>
      </c>
    </row>
    <row r="1150" spans="1:6" x14ac:dyDescent="0.25">
      <c r="A1150" s="1">
        <v>43249</v>
      </c>
      <c r="B1150">
        <v>6.4238999999999997</v>
      </c>
      <c r="C1150" s="1">
        <v>43355</v>
      </c>
      <c r="D1150">
        <v>6.8517000000000001</v>
      </c>
      <c r="E1150" s="1">
        <v>43355</v>
      </c>
      <c r="F1150">
        <v>6.8517000000000001</v>
      </c>
    </row>
    <row r="1151" spans="1:6" x14ac:dyDescent="0.25">
      <c r="A1151" s="1">
        <v>43250</v>
      </c>
      <c r="B1151">
        <v>6.4005999999999998</v>
      </c>
      <c r="C1151" s="1">
        <v>43356</v>
      </c>
      <c r="D1151">
        <v>6.8448000000000002</v>
      </c>
      <c r="E1151" s="1">
        <v>43356</v>
      </c>
      <c r="F1151">
        <v>6.8448000000000002</v>
      </c>
    </row>
    <row r="1152" spans="1:6" x14ac:dyDescent="0.25">
      <c r="A1152" s="1">
        <v>43251</v>
      </c>
      <c r="B1152">
        <v>6.4093999999999998</v>
      </c>
      <c r="C1152" s="1">
        <v>43357</v>
      </c>
      <c r="D1152">
        <v>6.8674999999999997</v>
      </c>
      <c r="E1152" s="1">
        <v>43357</v>
      </c>
      <c r="F1152">
        <v>6.8674999999999997</v>
      </c>
    </row>
    <row r="1153" spans="1:6" x14ac:dyDescent="0.25">
      <c r="A1153" s="1">
        <v>43252</v>
      </c>
      <c r="B1153">
        <v>6.4131</v>
      </c>
      <c r="C1153" s="1">
        <v>43360</v>
      </c>
      <c r="D1153">
        <v>6.8570000000000002</v>
      </c>
      <c r="E1153" s="1">
        <v>43360</v>
      </c>
      <c r="F1153">
        <v>6.8570000000000002</v>
      </c>
    </row>
    <row r="1154" spans="1:6" x14ac:dyDescent="0.25">
      <c r="A1154" s="1">
        <v>43255</v>
      </c>
      <c r="B1154">
        <v>6.4055</v>
      </c>
      <c r="C1154" s="1">
        <v>43361</v>
      </c>
      <c r="D1154">
        <v>6.8615000000000004</v>
      </c>
      <c r="E1154" s="1">
        <v>43361</v>
      </c>
      <c r="F1154">
        <v>6.8615000000000004</v>
      </c>
    </row>
    <row r="1155" spans="1:6" x14ac:dyDescent="0.25">
      <c r="A1155" s="1">
        <v>43256</v>
      </c>
      <c r="B1155">
        <v>6.3967000000000001</v>
      </c>
      <c r="C1155" s="1">
        <v>43362</v>
      </c>
      <c r="D1155">
        <v>6.8483000000000001</v>
      </c>
      <c r="E1155" s="1">
        <v>43362</v>
      </c>
      <c r="F1155">
        <v>6.8483000000000001</v>
      </c>
    </row>
    <row r="1156" spans="1:6" x14ac:dyDescent="0.25">
      <c r="A1156" s="1">
        <v>43257</v>
      </c>
      <c r="B1156">
        <v>6.3776000000000002</v>
      </c>
      <c r="C1156" s="1">
        <v>43363</v>
      </c>
      <c r="D1156">
        <v>6.8467000000000002</v>
      </c>
      <c r="E1156" s="1">
        <v>43363</v>
      </c>
      <c r="F1156">
        <v>6.8467000000000002</v>
      </c>
    </row>
    <row r="1157" spans="1:6" x14ac:dyDescent="0.25">
      <c r="A1157" s="1">
        <v>43258</v>
      </c>
      <c r="B1157">
        <v>6.3895999999999997</v>
      </c>
      <c r="C1157" s="1">
        <v>43364</v>
      </c>
      <c r="D1157">
        <v>6.8571</v>
      </c>
      <c r="E1157" s="1">
        <v>43364</v>
      </c>
      <c r="F1157">
        <v>6.8571</v>
      </c>
    </row>
    <row r="1158" spans="1:6" x14ac:dyDescent="0.25">
      <c r="A1158" s="1">
        <v>43259</v>
      </c>
      <c r="B1158">
        <v>6.3993000000000002</v>
      </c>
      <c r="C1158" s="1">
        <v>43368</v>
      </c>
      <c r="D1158">
        <v>6.8674999999999997</v>
      </c>
      <c r="E1158" s="1">
        <v>43368</v>
      </c>
      <c r="F1158">
        <v>6.8674999999999997</v>
      </c>
    </row>
    <row r="1159" spans="1:6" x14ac:dyDescent="0.25">
      <c r="A1159" s="1">
        <v>43262</v>
      </c>
      <c r="B1159">
        <v>6.3982000000000001</v>
      </c>
      <c r="C1159" s="1">
        <v>43369</v>
      </c>
      <c r="D1159">
        <v>6.8785999999999996</v>
      </c>
      <c r="E1159" s="1">
        <v>43369</v>
      </c>
      <c r="F1159">
        <v>6.8785999999999996</v>
      </c>
    </row>
    <row r="1160" spans="1:6" x14ac:dyDescent="0.25">
      <c r="A1160" s="1">
        <v>43263</v>
      </c>
      <c r="B1160">
        <v>6.4054000000000002</v>
      </c>
      <c r="C1160" s="1">
        <v>43370</v>
      </c>
      <c r="D1160">
        <v>6.8902999999999999</v>
      </c>
      <c r="E1160" s="1">
        <v>43370</v>
      </c>
      <c r="F1160">
        <v>6.8902999999999999</v>
      </c>
    </row>
    <row r="1161" spans="1:6" x14ac:dyDescent="0.25">
      <c r="A1161" s="1">
        <v>43264</v>
      </c>
      <c r="B1161">
        <v>6.3888999999999996</v>
      </c>
      <c r="C1161" s="1">
        <v>43371</v>
      </c>
      <c r="D1161">
        <v>6.8688000000000002</v>
      </c>
      <c r="E1161" s="1">
        <v>43371</v>
      </c>
      <c r="F1161">
        <v>6.8688000000000002</v>
      </c>
    </row>
    <row r="1162" spans="1:6" x14ac:dyDescent="0.25">
      <c r="A1162" s="1">
        <v>43265</v>
      </c>
      <c r="B1162">
        <v>6.4173999999999998</v>
      </c>
      <c r="C1162" s="1">
        <v>43381</v>
      </c>
      <c r="D1162">
        <v>6.9306999999999999</v>
      </c>
      <c r="E1162" s="1">
        <v>43381</v>
      </c>
      <c r="F1162">
        <v>6.9306999999999999</v>
      </c>
    </row>
    <row r="1163" spans="1:6" x14ac:dyDescent="0.25">
      <c r="A1163" s="1">
        <v>43266</v>
      </c>
      <c r="B1163">
        <v>6.4367000000000001</v>
      </c>
      <c r="C1163" s="1">
        <v>43382</v>
      </c>
      <c r="D1163">
        <v>6.9226999999999999</v>
      </c>
      <c r="E1163" s="1">
        <v>43382</v>
      </c>
      <c r="F1163">
        <v>6.9226999999999999</v>
      </c>
    </row>
    <row r="1164" spans="1:6" x14ac:dyDescent="0.25">
      <c r="A1164" s="1">
        <v>43269</v>
      </c>
      <c r="B1164">
        <v>6.4546999999999999</v>
      </c>
      <c r="C1164" s="1">
        <v>43383</v>
      </c>
      <c r="D1164">
        <v>6.9241999999999999</v>
      </c>
      <c r="E1164" s="1">
        <v>43383</v>
      </c>
      <c r="F1164">
        <v>6.9241999999999999</v>
      </c>
    </row>
    <row r="1165" spans="1:6" x14ac:dyDescent="0.25">
      <c r="A1165" s="1">
        <v>43270</v>
      </c>
      <c r="B1165">
        <v>6.4771999999999998</v>
      </c>
      <c r="C1165" s="1">
        <v>43384</v>
      </c>
      <c r="D1165">
        <v>6.8898999999999999</v>
      </c>
      <c r="E1165" s="1">
        <v>43384</v>
      </c>
      <c r="F1165">
        <v>6.8898999999999999</v>
      </c>
    </row>
    <row r="1166" spans="1:6" x14ac:dyDescent="0.25">
      <c r="A1166" s="1">
        <v>43271</v>
      </c>
      <c r="B1166">
        <v>6.4810999999999996</v>
      </c>
      <c r="C1166" s="1">
        <v>43385</v>
      </c>
      <c r="D1166">
        <v>6.9219999999999997</v>
      </c>
      <c r="E1166" s="1">
        <v>43385</v>
      </c>
      <c r="F1166">
        <v>6.9219999999999997</v>
      </c>
    </row>
    <row r="1167" spans="1:6" x14ac:dyDescent="0.25">
      <c r="A1167" s="1">
        <v>43272</v>
      </c>
      <c r="B1167">
        <v>6.5000999999999998</v>
      </c>
      <c r="C1167" s="1">
        <v>43388</v>
      </c>
      <c r="D1167">
        <v>6.9168000000000003</v>
      </c>
      <c r="E1167" s="1">
        <v>43388</v>
      </c>
      <c r="F1167">
        <v>6.9168000000000003</v>
      </c>
    </row>
    <row r="1168" spans="1:6" x14ac:dyDescent="0.25">
      <c r="A1168" s="1">
        <v>43273</v>
      </c>
      <c r="B1168">
        <v>6.5087000000000002</v>
      </c>
      <c r="C1168" s="1">
        <v>43389</v>
      </c>
      <c r="D1168">
        <v>6.9119999999999999</v>
      </c>
      <c r="E1168" s="1">
        <v>43389</v>
      </c>
      <c r="F1168">
        <v>6.9119999999999999</v>
      </c>
    </row>
    <row r="1169" spans="1:6" x14ac:dyDescent="0.25">
      <c r="A1169" s="1">
        <v>43276</v>
      </c>
      <c r="B1169">
        <v>6.5415000000000001</v>
      </c>
      <c r="C1169" s="1">
        <v>43390</v>
      </c>
      <c r="D1169">
        <v>6.9275000000000002</v>
      </c>
      <c r="E1169" s="1">
        <v>43390</v>
      </c>
      <c r="F1169">
        <v>6.9275000000000002</v>
      </c>
    </row>
    <row r="1170" spans="1:6" x14ac:dyDescent="0.25">
      <c r="A1170" s="1">
        <v>43277</v>
      </c>
      <c r="B1170">
        <v>6.5819999999999999</v>
      </c>
      <c r="C1170" s="1">
        <v>43391</v>
      </c>
      <c r="D1170">
        <v>6.9375999999999998</v>
      </c>
      <c r="E1170" s="1">
        <v>43391</v>
      </c>
      <c r="F1170">
        <v>6.9375999999999998</v>
      </c>
    </row>
    <row r="1171" spans="1:6" x14ac:dyDescent="0.25">
      <c r="A1171" s="1">
        <v>43278</v>
      </c>
      <c r="B1171">
        <v>6.6180000000000003</v>
      </c>
      <c r="C1171" s="1">
        <v>43392</v>
      </c>
      <c r="D1171">
        <v>6.9290000000000003</v>
      </c>
      <c r="E1171" s="1">
        <v>43392</v>
      </c>
      <c r="F1171">
        <v>6.9290000000000003</v>
      </c>
    </row>
    <row r="1172" spans="1:6" x14ac:dyDescent="0.25">
      <c r="A1172" s="1">
        <v>43279</v>
      </c>
      <c r="B1172">
        <v>6.6360999999999999</v>
      </c>
      <c r="C1172" s="1">
        <v>43395</v>
      </c>
      <c r="D1172">
        <v>6.9474999999999998</v>
      </c>
      <c r="E1172" s="1">
        <v>43395</v>
      </c>
      <c r="F1172">
        <v>6.9474999999999998</v>
      </c>
    </row>
    <row r="1173" spans="1:6" x14ac:dyDescent="0.25">
      <c r="A1173" s="1">
        <v>43280</v>
      </c>
      <c r="B1173">
        <v>6.6356999999999999</v>
      </c>
      <c r="C1173" s="1">
        <v>43396</v>
      </c>
      <c r="D1173">
        <v>6.9379999999999997</v>
      </c>
      <c r="E1173" s="1">
        <v>43396</v>
      </c>
      <c r="F1173">
        <v>6.9379999999999997</v>
      </c>
    </row>
    <row r="1174" spans="1:6" x14ac:dyDescent="0.25">
      <c r="A1174" s="1">
        <v>43283</v>
      </c>
      <c r="B1174">
        <v>6.6877000000000004</v>
      </c>
      <c r="C1174" s="1">
        <v>43397</v>
      </c>
      <c r="D1174">
        <v>6.944</v>
      </c>
      <c r="E1174" s="1">
        <v>43397</v>
      </c>
      <c r="F1174">
        <v>6.944</v>
      </c>
    </row>
    <row r="1175" spans="1:6" x14ac:dyDescent="0.25">
      <c r="A1175" s="1">
        <v>43284</v>
      </c>
      <c r="B1175">
        <v>6.6658999999999997</v>
      </c>
      <c r="C1175" s="1">
        <v>43398</v>
      </c>
      <c r="D1175">
        <v>6.9489000000000001</v>
      </c>
      <c r="E1175" s="1">
        <v>43398</v>
      </c>
      <c r="F1175">
        <v>6.9489000000000001</v>
      </c>
    </row>
    <row r="1176" spans="1:6" x14ac:dyDescent="0.25">
      <c r="A1176" s="1">
        <v>43285</v>
      </c>
      <c r="B1176">
        <v>6.6433</v>
      </c>
      <c r="C1176" s="1">
        <v>43399</v>
      </c>
      <c r="D1176">
        <v>6.9435000000000002</v>
      </c>
      <c r="E1176" s="1">
        <v>43399</v>
      </c>
      <c r="F1176">
        <v>6.9435000000000002</v>
      </c>
    </row>
    <row r="1177" spans="1:6" x14ac:dyDescent="0.25">
      <c r="A1177" s="1">
        <v>43286</v>
      </c>
      <c r="B1177">
        <v>6.6582999999999997</v>
      </c>
      <c r="C1177" s="1">
        <v>43402</v>
      </c>
      <c r="D1177">
        <v>6.9622000000000002</v>
      </c>
      <c r="E1177" s="1">
        <v>43402</v>
      </c>
      <c r="F1177">
        <v>6.9622000000000002</v>
      </c>
    </row>
    <row r="1178" spans="1:6" x14ac:dyDescent="0.25">
      <c r="A1178" s="1">
        <v>43287</v>
      </c>
      <c r="B1178">
        <v>6.6638000000000002</v>
      </c>
      <c r="C1178" s="1">
        <v>43403</v>
      </c>
      <c r="D1178">
        <v>6.9672000000000001</v>
      </c>
      <c r="E1178" s="1">
        <v>43403</v>
      </c>
      <c r="F1178">
        <v>6.9672000000000001</v>
      </c>
    </row>
    <row r="1179" spans="1:6" x14ac:dyDescent="0.25">
      <c r="A1179" s="1">
        <v>43290</v>
      </c>
      <c r="B1179">
        <v>6.6233000000000004</v>
      </c>
      <c r="C1179" s="1">
        <v>43404</v>
      </c>
      <c r="D1179">
        <v>6.9756999999999998</v>
      </c>
      <c r="E1179" s="1">
        <v>43404</v>
      </c>
      <c r="F1179">
        <v>6.9756999999999998</v>
      </c>
    </row>
    <row r="1180" spans="1:6" x14ac:dyDescent="0.25">
      <c r="A1180" s="1">
        <v>43291</v>
      </c>
      <c r="B1180">
        <v>6.6505999999999998</v>
      </c>
      <c r="C1180" s="1">
        <v>43405</v>
      </c>
      <c r="D1180">
        <v>6.9233000000000002</v>
      </c>
      <c r="E1180" s="1">
        <v>43405</v>
      </c>
      <c r="F1180">
        <v>6.9233000000000002</v>
      </c>
    </row>
    <row r="1181" spans="1:6" x14ac:dyDescent="0.25">
      <c r="A1181" s="1">
        <v>43292</v>
      </c>
      <c r="B1181">
        <v>6.7233999999999998</v>
      </c>
      <c r="C1181" s="1">
        <v>43406</v>
      </c>
      <c r="D1181">
        <v>6.8906999999999998</v>
      </c>
      <c r="E1181" s="1">
        <v>43406</v>
      </c>
      <c r="F1181">
        <v>6.8906999999999998</v>
      </c>
    </row>
    <row r="1182" spans="1:6" x14ac:dyDescent="0.25">
      <c r="A1182" s="1">
        <v>43293</v>
      </c>
      <c r="B1182">
        <v>6.6933999999999996</v>
      </c>
      <c r="C1182" s="1">
        <v>43409</v>
      </c>
      <c r="D1182">
        <v>6.9257</v>
      </c>
      <c r="E1182" s="1">
        <v>43409</v>
      </c>
      <c r="F1182">
        <v>6.9257</v>
      </c>
    </row>
    <row r="1183" spans="1:6" x14ac:dyDescent="0.25">
      <c r="A1183" s="1">
        <v>43294</v>
      </c>
      <c r="B1183">
        <v>6.7112999999999996</v>
      </c>
      <c r="C1183" s="1">
        <v>43410</v>
      </c>
      <c r="D1183">
        <v>6.9194000000000004</v>
      </c>
      <c r="E1183" s="1">
        <v>43410</v>
      </c>
      <c r="F1183">
        <v>6.9194000000000004</v>
      </c>
    </row>
    <row r="1184" spans="1:6" x14ac:dyDescent="0.25">
      <c r="A1184" s="1">
        <v>43297</v>
      </c>
      <c r="B1184">
        <v>6.7032999999999996</v>
      </c>
      <c r="C1184" s="1">
        <v>43411</v>
      </c>
      <c r="D1184">
        <v>6.92</v>
      </c>
      <c r="E1184" s="1">
        <v>43411</v>
      </c>
      <c r="F1184">
        <v>6.92</v>
      </c>
    </row>
    <row r="1185" spans="1:6" x14ac:dyDescent="0.25">
      <c r="A1185" s="1">
        <v>43298</v>
      </c>
      <c r="B1185">
        <v>6.7220000000000004</v>
      </c>
      <c r="C1185" s="1">
        <v>43412</v>
      </c>
      <c r="D1185">
        <v>6.9344999999999999</v>
      </c>
      <c r="E1185" s="1">
        <v>43412</v>
      </c>
      <c r="F1185">
        <v>6.9344999999999999</v>
      </c>
    </row>
    <row r="1186" spans="1:6" x14ac:dyDescent="0.25">
      <c r="A1186" s="1">
        <v>43299</v>
      </c>
      <c r="B1186">
        <v>6.7455999999999996</v>
      </c>
      <c r="C1186" s="1">
        <v>43413</v>
      </c>
      <c r="D1186">
        <v>6.9566999999999997</v>
      </c>
      <c r="E1186" s="1">
        <v>43413</v>
      </c>
      <c r="F1186">
        <v>6.9566999999999997</v>
      </c>
    </row>
    <row r="1187" spans="1:6" x14ac:dyDescent="0.25">
      <c r="A1187" s="1">
        <v>43300</v>
      </c>
      <c r="B1187">
        <v>6.7915000000000001</v>
      </c>
      <c r="C1187" s="1">
        <v>43416</v>
      </c>
      <c r="D1187">
        <v>6.9635999999999996</v>
      </c>
      <c r="E1187" s="1">
        <v>43416</v>
      </c>
      <c r="F1187">
        <v>6.9635999999999996</v>
      </c>
    </row>
    <row r="1188" spans="1:6" x14ac:dyDescent="0.25">
      <c r="A1188" s="1">
        <v>43301</v>
      </c>
      <c r="B1188">
        <v>6.7808999999999999</v>
      </c>
      <c r="C1188" s="1">
        <v>43417</v>
      </c>
      <c r="D1188">
        <v>6.9560000000000004</v>
      </c>
      <c r="E1188" s="1">
        <v>43417</v>
      </c>
      <c r="F1188">
        <v>6.9560000000000004</v>
      </c>
    </row>
    <row r="1189" spans="1:6" x14ac:dyDescent="0.25">
      <c r="A1189" s="1">
        <v>43304</v>
      </c>
      <c r="B1189">
        <v>6.8055000000000003</v>
      </c>
      <c r="C1189" s="1">
        <v>43418</v>
      </c>
      <c r="D1189">
        <v>6.9504999999999999</v>
      </c>
      <c r="E1189" s="1">
        <v>43418</v>
      </c>
      <c r="F1189">
        <v>6.9504999999999999</v>
      </c>
    </row>
    <row r="1190" spans="1:6" x14ac:dyDescent="0.25">
      <c r="A1190" s="1">
        <v>43305</v>
      </c>
      <c r="B1190">
        <v>6.8109000000000002</v>
      </c>
      <c r="C1190" s="1">
        <v>43419</v>
      </c>
      <c r="D1190">
        <v>6.9391999999999996</v>
      </c>
      <c r="E1190" s="1">
        <v>43419</v>
      </c>
      <c r="F1190">
        <v>6.9391999999999996</v>
      </c>
    </row>
    <row r="1191" spans="1:6" x14ac:dyDescent="0.25">
      <c r="A1191" s="1">
        <v>43306</v>
      </c>
      <c r="B1191">
        <v>6.7606999999999999</v>
      </c>
      <c r="C1191" s="1">
        <v>43420</v>
      </c>
      <c r="D1191">
        <v>6.9379999999999997</v>
      </c>
      <c r="E1191" s="1">
        <v>43420</v>
      </c>
      <c r="F1191">
        <v>6.9379999999999997</v>
      </c>
    </row>
    <row r="1192" spans="1:6" x14ac:dyDescent="0.25">
      <c r="A1192" s="1">
        <v>43307</v>
      </c>
      <c r="B1192">
        <v>6.8263999999999996</v>
      </c>
      <c r="C1192" s="1">
        <v>43423</v>
      </c>
      <c r="D1192">
        <v>6.9420000000000002</v>
      </c>
      <c r="E1192" s="1">
        <v>43423</v>
      </c>
      <c r="F1192">
        <v>6.9420000000000002</v>
      </c>
    </row>
    <row r="1193" spans="1:6" x14ac:dyDescent="0.25">
      <c r="A1193" s="1">
        <v>43308</v>
      </c>
      <c r="B1193">
        <v>6.8178000000000001</v>
      </c>
      <c r="C1193" s="1">
        <v>43424</v>
      </c>
      <c r="D1193">
        <v>6.9452999999999996</v>
      </c>
      <c r="E1193" s="1">
        <v>43424</v>
      </c>
      <c r="F1193">
        <v>6.9452999999999996</v>
      </c>
    </row>
    <row r="1194" spans="1:6" x14ac:dyDescent="0.25">
      <c r="A1194" s="1">
        <v>43311</v>
      </c>
      <c r="B1194">
        <v>6.8266</v>
      </c>
      <c r="C1194" s="1">
        <v>43425</v>
      </c>
      <c r="D1194">
        <v>6.9269999999999996</v>
      </c>
      <c r="E1194" s="1">
        <v>43425</v>
      </c>
      <c r="F1194">
        <v>6.9269999999999996</v>
      </c>
    </row>
    <row r="1195" spans="1:6" x14ac:dyDescent="0.25">
      <c r="A1195" s="1">
        <v>43312</v>
      </c>
      <c r="B1195">
        <v>6.8052999999999999</v>
      </c>
      <c r="C1195" s="1">
        <v>43426</v>
      </c>
      <c r="D1195">
        <v>6.9320000000000004</v>
      </c>
      <c r="E1195" s="1">
        <v>43426</v>
      </c>
      <c r="F1195">
        <v>6.9320000000000004</v>
      </c>
    </row>
    <row r="1196" spans="1:6" x14ac:dyDescent="0.25">
      <c r="A1196" s="1">
        <v>43313</v>
      </c>
      <c r="B1196">
        <v>6.8243</v>
      </c>
      <c r="C1196" s="1">
        <v>43427</v>
      </c>
      <c r="D1196">
        <v>6.9485000000000001</v>
      </c>
      <c r="E1196" s="1">
        <v>43427</v>
      </c>
      <c r="F1196">
        <v>6.9485000000000001</v>
      </c>
    </row>
    <row r="1197" spans="1:6" x14ac:dyDescent="0.25">
      <c r="A1197" s="1">
        <v>43314</v>
      </c>
      <c r="B1197">
        <v>6.8813000000000004</v>
      </c>
      <c r="C1197" s="1">
        <v>43430</v>
      </c>
      <c r="D1197">
        <v>6.9408000000000003</v>
      </c>
      <c r="E1197" s="1">
        <v>43430</v>
      </c>
      <c r="F1197">
        <v>6.9408000000000003</v>
      </c>
    </row>
    <row r="1198" spans="1:6" x14ac:dyDescent="0.25">
      <c r="A1198" s="1">
        <v>43315</v>
      </c>
      <c r="B1198">
        <v>6.8460999999999999</v>
      </c>
      <c r="C1198" s="1">
        <v>43431</v>
      </c>
      <c r="D1198">
        <v>6.9515000000000002</v>
      </c>
      <c r="E1198" s="1">
        <v>43431</v>
      </c>
      <c r="F1198">
        <v>6.9515000000000002</v>
      </c>
    </row>
    <row r="1199" spans="1:6" x14ac:dyDescent="0.25">
      <c r="A1199" s="1">
        <v>43318</v>
      </c>
      <c r="B1199">
        <v>6.8655999999999997</v>
      </c>
      <c r="C1199" s="1">
        <v>43432</v>
      </c>
      <c r="D1199">
        <v>6.9539</v>
      </c>
      <c r="E1199" s="1">
        <v>43432</v>
      </c>
      <c r="F1199">
        <v>6.9539</v>
      </c>
    </row>
    <row r="1200" spans="1:6" x14ac:dyDescent="0.25">
      <c r="A1200" s="1">
        <v>43319</v>
      </c>
      <c r="B1200">
        <v>6.8205999999999998</v>
      </c>
      <c r="C1200" s="1">
        <v>43433</v>
      </c>
      <c r="D1200">
        <v>6.9424999999999999</v>
      </c>
      <c r="E1200" s="1">
        <v>43433</v>
      </c>
      <c r="F1200">
        <v>6.9424999999999999</v>
      </c>
    </row>
    <row r="1201" spans="1:6" x14ac:dyDescent="0.25">
      <c r="A1201" s="1">
        <v>43320</v>
      </c>
      <c r="B1201">
        <v>6.8251999999999997</v>
      </c>
      <c r="C1201" s="1">
        <v>43434</v>
      </c>
      <c r="D1201">
        <v>6.9604999999999997</v>
      </c>
      <c r="E1201" s="1">
        <v>43434</v>
      </c>
      <c r="F1201">
        <v>6.9604999999999997</v>
      </c>
    </row>
    <row r="1202" spans="1:6" x14ac:dyDescent="0.25">
      <c r="A1202" s="1">
        <v>43321</v>
      </c>
      <c r="B1202">
        <v>6.8460000000000001</v>
      </c>
      <c r="C1202" s="1">
        <v>43437</v>
      </c>
      <c r="D1202">
        <v>6.883</v>
      </c>
      <c r="E1202" s="1">
        <v>43437</v>
      </c>
      <c r="F1202">
        <v>6.883</v>
      </c>
    </row>
    <row r="1203" spans="1:6" x14ac:dyDescent="0.25">
      <c r="A1203" s="1">
        <v>43322</v>
      </c>
      <c r="B1203">
        <v>6.8692000000000002</v>
      </c>
      <c r="C1203" s="1">
        <v>43438</v>
      </c>
      <c r="D1203">
        <v>6.8360000000000003</v>
      </c>
      <c r="E1203" s="1">
        <v>43438</v>
      </c>
      <c r="F1203">
        <v>6.8360000000000003</v>
      </c>
    </row>
    <row r="1204" spans="1:6" x14ac:dyDescent="0.25">
      <c r="A1204" s="1">
        <v>43325</v>
      </c>
      <c r="B1204">
        <v>6.899</v>
      </c>
      <c r="C1204" s="1">
        <v>43439</v>
      </c>
      <c r="D1204">
        <v>6.8567999999999998</v>
      </c>
      <c r="E1204" s="1">
        <v>43439</v>
      </c>
      <c r="F1204">
        <v>6.8567999999999998</v>
      </c>
    </row>
    <row r="1205" spans="1:6" x14ac:dyDescent="0.25">
      <c r="A1205" s="1">
        <v>43326</v>
      </c>
      <c r="B1205">
        <v>6.8996000000000004</v>
      </c>
      <c r="C1205" s="1">
        <v>43440</v>
      </c>
      <c r="D1205">
        <v>6.8826999999999998</v>
      </c>
      <c r="E1205" s="1">
        <v>43440</v>
      </c>
      <c r="F1205">
        <v>6.8826999999999998</v>
      </c>
    </row>
    <row r="1206" spans="1:6" x14ac:dyDescent="0.25">
      <c r="A1206" s="1">
        <v>43327</v>
      </c>
      <c r="B1206">
        <v>6.9470999999999998</v>
      </c>
      <c r="C1206" s="1">
        <v>43441</v>
      </c>
      <c r="D1206">
        <v>6.8742999999999999</v>
      </c>
      <c r="E1206" s="1">
        <v>43441</v>
      </c>
      <c r="F1206">
        <v>6.8742999999999999</v>
      </c>
    </row>
    <row r="1207" spans="1:6" x14ac:dyDescent="0.25">
      <c r="A1207" s="1">
        <v>43328</v>
      </c>
      <c r="B1207">
        <v>6.8628</v>
      </c>
      <c r="C1207" s="1">
        <v>43444</v>
      </c>
      <c r="D1207">
        <v>6.9116999999999997</v>
      </c>
      <c r="E1207" s="1">
        <v>43444</v>
      </c>
      <c r="F1207">
        <v>6.9116999999999997</v>
      </c>
    </row>
    <row r="1208" spans="1:6" x14ac:dyDescent="0.25">
      <c r="A1208" s="1">
        <v>43329</v>
      </c>
      <c r="B1208">
        <v>6.8368000000000002</v>
      </c>
      <c r="C1208" s="1">
        <v>43445</v>
      </c>
      <c r="D1208">
        <v>6.9</v>
      </c>
      <c r="E1208" s="1">
        <v>43445</v>
      </c>
      <c r="F1208">
        <v>6.9</v>
      </c>
    </row>
    <row r="1209" spans="1:6" x14ac:dyDescent="0.25">
      <c r="A1209" s="1">
        <v>43332</v>
      </c>
      <c r="B1209">
        <v>6.8353000000000002</v>
      </c>
      <c r="C1209" s="1">
        <v>43446</v>
      </c>
      <c r="D1209">
        <v>6.88</v>
      </c>
      <c r="E1209" s="1">
        <v>43446</v>
      </c>
      <c r="F1209">
        <v>6.88</v>
      </c>
    </row>
    <row r="1210" spans="1:6" x14ac:dyDescent="0.25">
      <c r="A1210" s="1">
        <v>43333</v>
      </c>
      <c r="B1210">
        <v>6.8285</v>
      </c>
      <c r="C1210" s="1">
        <v>43447</v>
      </c>
      <c r="D1210">
        <v>6.8815999999999997</v>
      </c>
      <c r="E1210" s="1">
        <v>43447</v>
      </c>
      <c r="F1210">
        <v>6.8815999999999997</v>
      </c>
    </row>
    <row r="1211" spans="1:6" x14ac:dyDescent="0.25">
      <c r="A1211" s="1">
        <v>43334</v>
      </c>
      <c r="B1211">
        <v>6.8475000000000001</v>
      </c>
      <c r="C1211" s="1">
        <v>43448</v>
      </c>
      <c r="D1211">
        <v>6.9076000000000004</v>
      </c>
      <c r="E1211" s="1">
        <v>43448</v>
      </c>
      <c r="F1211">
        <v>6.9076000000000004</v>
      </c>
    </row>
    <row r="1212" spans="1:6" x14ac:dyDescent="0.25">
      <c r="A1212" s="1">
        <v>43335</v>
      </c>
      <c r="B1212">
        <v>6.8939000000000004</v>
      </c>
      <c r="C1212" s="1">
        <v>43451</v>
      </c>
      <c r="D1212">
        <v>6.8971999999999998</v>
      </c>
      <c r="E1212" s="1">
        <v>43451</v>
      </c>
      <c r="F1212">
        <v>6.8971999999999998</v>
      </c>
    </row>
    <row r="1213" spans="1:6" x14ac:dyDescent="0.25">
      <c r="A1213" s="1">
        <v>43336</v>
      </c>
      <c r="B1213">
        <v>6.8056999999999999</v>
      </c>
      <c r="C1213" s="1">
        <v>43452</v>
      </c>
      <c r="D1213">
        <v>6.8951000000000002</v>
      </c>
      <c r="E1213" s="1">
        <v>43452</v>
      </c>
      <c r="F1213">
        <v>6.8951000000000002</v>
      </c>
    </row>
    <row r="1214" spans="1:6" x14ac:dyDescent="0.25">
      <c r="A1214" s="1">
        <v>43339</v>
      </c>
      <c r="B1214">
        <v>6.7935999999999996</v>
      </c>
      <c r="C1214" s="1">
        <v>43453</v>
      </c>
      <c r="D1214">
        <v>6.8910999999999998</v>
      </c>
      <c r="E1214" s="1">
        <v>43453</v>
      </c>
      <c r="F1214">
        <v>6.8910999999999998</v>
      </c>
    </row>
    <row r="1215" spans="1:6" x14ac:dyDescent="0.25">
      <c r="A1215" s="1">
        <v>43340</v>
      </c>
      <c r="B1215">
        <v>6.8009000000000004</v>
      </c>
      <c r="C1215" s="1">
        <v>43454</v>
      </c>
      <c r="D1215">
        <v>6.8849999999999998</v>
      </c>
      <c r="E1215" s="1">
        <v>43454</v>
      </c>
      <c r="F1215">
        <v>6.8849999999999998</v>
      </c>
    </row>
    <row r="1216" spans="1:6" x14ac:dyDescent="0.25">
      <c r="A1216" s="1">
        <v>43341</v>
      </c>
      <c r="B1216">
        <v>6.8217999999999996</v>
      </c>
      <c r="C1216" s="1">
        <v>43455</v>
      </c>
      <c r="D1216">
        <v>6.9065000000000003</v>
      </c>
      <c r="E1216" s="1">
        <v>43455</v>
      </c>
      <c r="F1216">
        <v>6.9065000000000003</v>
      </c>
    </row>
    <row r="1217" spans="1:6" x14ac:dyDescent="0.25">
      <c r="A1217" s="1">
        <v>43342</v>
      </c>
      <c r="B1217">
        <v>6.8677000000000001</v>
      </c>
      <c r="C1217" s="1">
        <v>43458</v>
      </c>
      <c r="D1217">
        <v>6.8990999999999998</v>
      </c>
      <c r="E1217" s="1">
        <v>43458</v>
      </c>
      <c r="F1217">
        <v>6.8990999999999998</v>
      </c>
    </row>
    <row r="1218" spans="1:6" x14ac:dyDescent="0.25">
      <c r="A1218" s="1">
        <v>43343</v>
      </c>
      <c r="B1218">
        <v>6.8459000000000003</v>
      </c>
      <c r="C1218" s="1">
        <v>43459</v>
      </c>
      <c r="D1218">
        <v>6.8871000000000002</v>
      </c>
      <c r="E1218" s="1">
        <v>43459</v>
      </c>
      <c r="F1218">
        <v>6.8871000000000002</v>
      </c>
    </row>
    <row r="1219" spans="1:6" x14ac:dyDescent="0.25">
      <c r="A1219" s="1">
        <v>43346</v>
      </c>
      <c r="B1219">
        <v>6.8350999999999997</v>
      </c>
      <c r="C1219" s="1">
        <v>43460</v>
      </c>
      <c r="D1219">
        <v>6.8853999999999997</v>
      </c>
      <c r="E1219" s="1">
        <v>43460</v>
      </c>
      <c r="F1219">
        <v>6.8853999999999997</v>
      </c>
    </row>
    <row r="1220" spans="1:6" x14ac:dyDescent="0.25">
      <c r="A1220" s="1">
        <v>43347</v>
      </c>
      <c r="B1220">
        <v>6.8494999999999999</v>
      </c>
      <c r="C1220" s="1">
        <v>43461</v>
      </c>
      <c r="D1220">
        <v>6.8662999999999998</v>
      </c>
      <c r="E1220" s="1">
        <v>43461</v>
      </c>
      <c r="F1220">
        <v>6.8662999999999998</v>
      </c>
    </row>
    <row r="1221" spans="1:6" x14ac:dyDescent="0.25">
      <c r="A1221" s="1">
        <v>43348</v>
      </c>
      <c r="B1221">
        <v>6.8422000000000001</v>
      </c>
      <c r="C1221" s="1">
        <v>43462</v>
      </c>
      <c r="D1221">
        <v>6.8784999999999998</v>
      </c>
      <c r="E1221" s="1">
        <v>43462</v>
      </c>
      <c r="F1221">
        <v>6.8784999999999998</v>
      </c>
    </row>
    <row r="1222" spans="1:6" x14ac:dyDescent="0.25">
      <c r="A1222" s="1">
        <v>43349</v>
      </c>
      <c r="B1222">
        <v>6.8448000000000002</v>
      </c>
      <c r="C1222" s="1">
        <v>43467</v>
      </c>
      <c r="D1222">
        <v>6.8620000000000001</v>
      </c>
      <c r="E1222" s="1">
        <v>43467</v>
      </c>
      <c r="F1222">
        <v>6.8620000000000001</v>
      </c>
    </row>
    <row r="1223" spans="1:6" x14ac:dyDescent="0.25">
      <c r="A1223" s="1">
        <v>43350</v>
      </c>
      <c r="B1223">
        <v>6.8691000000000004</v>
      </c>
      <c r="C1223" s="1">
        <v>43468</v>
      </c>
      <c r="D1223">
        <v>6.8719999999999999</v>
      </c>
      <c r="E1223" s="1">
        <v>43468</v>
      </c>
      <c r="F1223">
        <v>6.8719999999999999</v>
      </c>
    </row>
    <row r="1224" spans="1:6" x14ac:dyDescent="0.25">
      <c r="A1224" s="1">
        <v>43353</v>
      </c>
      <c r="B1224">
        <v>6.8691000000000004</v>
      </c>
      <c r="C1224" s="1">
        <v>43469</v>
      </c>
      <c r="D1224">
        <v>6.8692000000000002</v>
      </c>
      <c r="E1224" s="1">
        <v>43469</v>
      </c>
      <c r="F1224">
        <v>6.8692000000000002</v>
      </c>
    </row>
    <row r="1225" spans="1:6" x14ac:dyDescent="0.25">
      <c r="A1225" s="1">
        <v>43354</v>
      </c>
      <c r="B1225">
        <v>6.8752000000000004</v>
      </c>
      <c r="C1225" s="1">
        <v>43472</v>
      </c>
      <c r="D1225">
        <v>6.851</v>
      </c>
      <c r="E1225" s="1">
        <v>43472</v>
      </c>
      <c r="F1225">
        <v>6.851</v>
      </c>
    </row>
    <row r="1226" spans="1:6" x14ac:dyDescent="0.25">
      <c r="A1226" s="1">
        <v>43355</v>
      </c>
      <c r="B1226">
        <v>6.8356000000000003</v>
      </c>
      <c r="C1226" s="1">
        <v>43473</v>
      </c>
      <c r="D1226">
        <v>6.8532000000000002</v>
      </c>
      <c r="E1226" s="1">
        <v>43473</v>
      </c>
      <c r="F1226">
        <v>6.8532000000000002</v>
      </c>
    </row>
    <row r="1227" spans="1:6" x14ac:dyDescent="0.25">
      <c r="A1227" s="1">
        <v>43356</v>
      </c>
      <c r="B1227">
        <v>6.8451000000000004</v>
      </c>
      <c r="C1227" s="1">
        <v>43474</v>
      </c>
      <c r="D1227">
        <v>6.8159999999999998</v>
      </c>
      <c r="E1227" s="1">
        <v>43474</v>
      </c>
      <c r="F1227">
        <v>6.8159999999999998</v>
      </c>
    </row>
    <row r="1228" spans="1:6" x14ac:dyDescent="0.25">
      <c r="A1228" s="1">
        <v>43357</v>
      </c>
      <c r="B1228">
        <v>6.8745000000000003</v>
      </c>
      <c r="C1228" s="1">
        <v>43475</v>
      </c>
      <c r="D1228">
        <v>6.7885</v>
      </c>
      <c r="E1228" s="1">
        <v>43475</v>
      </c>
      <c r="F1228">
        <v>6.7885</v>
      </c>
    </row>
    <row r="1229" spans="1:6" x14ac:dyDescent="0.25">
      <c r="A1229" s="1">
        <v>43360</v>
      </c>
      <c r="B1229">
        <v>6.8704000000000001</v>
      </c>
      <c r="C1229" s="1">
        <v>43476</v>
      </c>
      <c r="D1229">
        <v>6.7629999999999999</v>
      </c>
      <c r="E1229" s="1">
        <v>43476</v>
      </c>
      <c r="F1229">
        <v>6.7629999999999999</v>
      </c>
    </row>
    <row r="1230" spans="1:6" x14ac:dyDescent="0.25">
      <c r="A1230" s="1">
        <v>43361</v>
      </c>
      <c r="B1230">
        <v>6.8612000000000002</v>
      </c>
      <c r="C1230" s="1">
        <v>43479</v>
      </c>
      <c r="D1230">
        <v>6.7680999999999996</v>
      </c>
      <c r="E1230" s="1">
        <v>43479</v>
      </c>
      <c r="F1230">
        <v>6.7680999999999996</v>
      </c>
    </row>
    <row r="1231" spans="1:6" x14ac:dyDescent="0.25">
      <c r="A1231" s="1">
        <v>43362</v>
      </c>
      <c r="B1231">
        <v>6.8513000000000002</v>
      </c>
      <c r="C1231" s="1">
        <v>43480</v>
      </c>
      <c r="D1231">
        <v>6.7610000000000001</v>
      </c>
      <c r="E1231" s="1">
        <v>43480</v>
      </c>
      <c r="F1231">
        <v>6.7610000000000001</v>
      </c>
    </row>
    <row r="1232" spans="1:6" x14ac:dyDescent="0.25">
      <c r="A1232" s="1">
        <v>43363</v>
      </c>
      <c r="B1232">
        <v>6.8354999999999997</v>
      </c>
      <c r="C1232" s="1">
        <v>43481</v>
      </c>
      <c r="D1232">
        <v>6.7568000000000001</v>
      </c>
      <c r="E1232" s="1">
        <v>43481</v>
      </c>
      <c r="F1232">
        <v>6.7568000000000001</v>
      </c>
    </row>
    <row r="1233" spans="1:6" x14ac:dyDescent="0.25">
      <c r="A1233" s="1">
        <v>43364</v>
      </c>
      <c r="B1233">
        <v>6.8493000000000004</v>
      </c>
      <c r="C1233" s="1">
        <v>43482</v>
      </c>
      <c r="D1233">
        <v>6.7763999999999998</v>
      </c>
      <c r="E1233" s="1">
        <v>43482</v>
      </c>
      <c r="F1233">
        <v>6.7763999999999998</v>
      </c>
    </row>
    <row r="1234" spans="1:6" x14ac:dyDescent="0.25">
      <c r="A1234" s="1">
        <v>43367</v>
      </c>
      <c r="B1234">
        <v>6.8681999999999999</v>
      </c>
      <c r="C1234" s="1">
        <v>43483</v>
      </c>
      <c r="D1234">
        <v>6.7778</v>
      </c>
      <c r="E1234" s="1">
        <v>43483</v>
      </c>
      <c r="F1234">
        <v>6.7778</v>
      </c>
    </row>
    <row r="1235" spans="1:6" x14ac:dyDescent="0.25">
      <c r="A1235" s="1">
        <v>43368</v>
      </c>
      <c r="B1235">
        <v>6.8685999999999998</v>
      </c>
      <c r="C1235" s="1">
        <v>43486</v>
      </c>
      <c r="D1235">
        <v>6.798</v>
      </c>
      <c r="E1235" s="1">
        <v>43486</v>
      </c>
      <c r="F1235">
        <v>6.798</v>
      </c>
    </row>
    <row r="1236" spans="1:6" x14ac:dyDescent="0.25">
      <c r="A1236" s="1">
        <v>43369</v>
      </c>
      <c r="B1236">
        <v>6.8792999999999997</v>
      </c>
      <c r="C1236" s="1">
        <v>43487</v>
      </c>
      <c r="D1236">
        <v>6.8079999999999998</v>
      </c>
      <c r="E1236" s="1">
        <v>43487</v>
      </c>
      <c r="F1236">
        <v>6.8079999999999998</v>
      </c>
    </row>
    <row r="1237" spans="1:6" x14ac:dyDescent="0.25">
      <c r="A1237" s="1">
        <v>43370</v>
      </c>
      <c r="B1237">
        <v>6.8879000000000001</v>
      </c>
      <c r="C1237" s="1">
        <v>43488</v>
      </c>
      <c r="D1237">
        <v>6.7919999999999998</v>
      </c>
      <c r="E1237" s="1">
        <v>43488</v>
      </c>
      <c r="F1237">
        <v>6.7919999999999998</v>
      </c>
    </row>
    <row r="1238" spans="1:6" x14ac:dyDescent="0.25">
      <c r="A1238" s="1">
        <v>43371</v>
      </c>
      <c r="B1238">
        <v>6.8761000000000001</v>
      </c>
      <c r="C1238" s="1">
        <v>43489</v>
      </c>
      <c r="D1238">
        <v>6.7885</v>
      </c>
      <c r="E1238" s="1">
        <v>43489</v>
      </c>
      <c r="F1238">
        <v>6.7885</v>
      </c>
    </row>
    <row r="1239" spans="1:6" x14ac:dyDescent="0.25">
      <c r="A1239" s="1">
        <v>43374</v>
      </c>
      <c r="B1239">
        <v>6.8879000000000001</v>
      </c>
      <c r="C1239" s="1">
        <v>43490</v>
      </c>
      <c r="D1239">
        <v>6.7483000000000004</v>
      </c>
      <c r="E1239" s="1">
        <v>43490</v>
      </c>
      <c r="F1239">
        <v>6.7483000000000004</v>
      </c>
    </row>
    <row r="1240" spans="1:6" x14ac:dyDescent="0.25">
      <c r="A1240" s="1">
        <v>43375</v>
      </c>
      <c r="B1240">
        <v>6.8856000000000002</v>
      </c>
      <c r="C1240" s="1">
        <v>43493</v>
      </c>
      <c r="D1240">
        <v>6.7453000000000003</v>
      </c>
      <c r="E1240" s="1">
        <v>43493</v>
      </c>
      <c r="F1240">
        <v>6.7453000000000003</v>
      </c>
    </row>
    <row r="1241" spans="1:6" x14ac:dyDescent="0.25">
      <c r="A1241" s="1">
        <v>43376</v>
      </c>
      <c r="B1241">
        <v>6.8895999999999997</v>
      </c>
      <c r="C1241" s="1">
        <v>43494</v>
      </c>
      <c r="D1241">
        <v>6.7354000000000003</v>
      </c>
      <c r="E1241" s="1">
        <v>43494</v>
      </c>
      <c r="F1241">
        <v>6.7354000000000003</v>
      </c>
    </row>
    <row r="1242" spans="1:6" x14ac:dyDescent="0.25">
      <c r="A1242" s="1">
        <v>43377</v>
      </c>
      <c r="B1242">
        <v>6.8962000000000003</v>
      </c>
      <c r="C1242" s="1">
        <v>43495</v>
      </c>
      <c r="D1242">
        <v>6.7164999999999999</v>
      </c>
      <c r="E1242" s="1">
        <v>43495</v>
      </c>
      <c r="F1242">
        <v>6.7164999999999999</v>
      </c>
    </row>
    <row r="1243" spans="1:6" x14ac:dyDescent="0.25">
      <c r="A1243" s="1">
        <v>43378</v>
      </c>
      <c r="B1243">
        <v>6.8949999999999996</v>
      </c>
      <c r="C1243" s="1">
        <v>43496</v>
      </c>
      <c r="D1243">
        <v>6.7</v>
      </c>
      <c r="E1243" s="1">
        <v>43496</v>
      </c>
      <c r="F1243">
        <v>6.7</v>
      </c>
    </row>
    <row r="1244" spans="1:6" x14ac:dyDescent="0.25">
      <c r="A1244" s="1">
        <v>43381</v>
      </c>
      <c r="B1244">
        <v>6.9207999999999998</v>
      </c>
      <c r="C1244" s="1">
        <v>43497</v>
      </c>
      <c r="D1244">
        <v>6.7454000000000001</v>
      </c>
      <c r="E1244" s="1">
        <v>43497</v>
      </c>
      <c r="F1244">
        <v>6.7454000000000001</v>
      </c>
    </row>
    <row r="1245" spans="1:6" x14ac:dyDescent="0.25">
      <c r="A1245" s="1">
        <v>43382</v>
      </c>
      <c r="B1245">
        <v>6.9165999999999999</v>
      </c>
      <c r="C1245" s="1">
        <v>43507</v>
      </c>
      <c r="D1245">
        <v>6.7923</v>
      </c>
      <c r="E1245" s="1">
        <v>43507</v>
      </c>
      <c r="F1245">
        <v>6.7923</v>
      </c>
    </row>
    <row r="1246" spans="1:6" x14ac:dyDescent="0.25">
      <c r="A1246" s="1">
        <v>43383</v>
      </c>
      <c r="B1246">
        <v>6.9242999999999997</v>
      </c>
      <c r="C1246" s="1">
        <v>43508</v>
      </c>
      <c r="D1246">
        <v>6.774</v>
      </c>
      <c r="E1246" s="1">
        <v>43508</v>
      </c>
      <c r="F1246">
        <v>6.774</v>
      </c>
    </row>
    <row r="1247" spans="1:6" x14ac:dyDescent="0.25">
      <c r="A1247" s="1">
        <v>43384</v>
      </c>
      <c r="B1247">
        <v>6.8785999999999996</v>
      </c>
      <c r="C1247" s="1">
        <v>43509</v>
      </c>
      <c r="D1247">
        <v>6.7603999999999997</v>
      </c>
      <c r="E1247" s="1">
        <v>43509</v>
      </c>
      <c r="F1247">
        <v>6.7603999999999997</v>
      </c>
    </row>
    <row r="1248" spans="1:6" x14ac:dyDescent="0.25">
      <c r="A1248" s="1">
        <v>43385</v>
      </c>
      <c r="B1248">
        <v>6.9183000000000003</v>
      </c>
      <c r="C1248" s="1">
        <v>43510</v>
      </c>
      <c r="D1248">
        <v>6.7720000000000002</v>
      </c>
      <c r="E1248" s="1">
        <v>43510</v>
      </c>
      <c r="F1248">
        <v>6.7720000000000002</v>
      </c>
    </row>
    <row r="1249" spans="1:6" x14ac:dyDescent="0.25">
      <c r="A1249" s="1">
        <v>43388</v>
      </c>
      <c r="B1249">
        <v>6.923</v>
      </c>
      <c r="C1249" s="1">
        <v>43511</v>
      </c>
      <c r="D1249">
        <v>6.7732000000000001</v>
      </c>
      <c r="E1249" s="1">
        <v>43511</v>
      </c>
      <c r="F1249">
        <v>6.7732000000000001</v>
      </c>
    </row>
    <row r="1250" spans="1:6" x14ac:dyDescent="0.25">
      <c r="A1250" s="1">
        <v>43389</v>
      </c>
      <c r="B1250">
        <v>6.9132999999999996</v>
      </c>
      <c r="C1250" s="1">
        <v>43514</v>
      </c>
      <c r="D1250">
        <v>6.7667000000000002</v>
      </c>
      <c r="E1250" s="1">
        <v>43514</v>
      </c>
      <c r="F1250">
        <v>6.7667000000000002</v>
      </c>
    </row>
    <row r="1251" spans="1:6" x14ac:dyDescent="0.25">
      <c r="A1251" s="1">
        <v>43390</v>
      </c>
      <c r="B1251">
        <v>6.9303999999999997</v>
      </c>
      <c r="C1251" s="1">
        <v>43515</v>
      </c>
      <c r="D1251">
        <v>6.7586000000000004</v>
      </c>
      <c r="E1251" s="1">
        <v>43515</v>
      </c>
      <c r="F1251">
        <v>6.7586000000000004</v>
      </c>
    </row>
    <row r="1252" spans="1:6" x14ac:dyDescent="0.25">
      <c r="A1252" s="1">
        <v>43391</v>
      </c>
      <c r="B1252">
        <v>6.9394999999999998</v>
      </c>
      <c r="C1252" s="1">
        <v>43516</v>
      </c>
      <c r="D1252">
        <v>6.7213000000000003</v>
      </c>
      <c r="E1252" s="1">
        <v>43516</v>
      </c>
      <c r="F1252">
        <v>6.7213000000000003</v>
      </c>
    </row>
    <row r="1253" spans="1:6" x14ac:dyDescent="0.25">
      <c r="A1253" s="1">
        <v>43392</v>
      </c>
      <c r="B1253">
        <v>6.9345999999999997</v>
      </c>
      <c r="C1253" s="1">
        <v>43517</v>
      </c>
      <c r="D1253">
        <v>6.7225999999999999</v>
      </c>
      <c r="E1253" s="1">
        <v>43517</v>
      </c>
      <c r="F1253">
        <v>6.7225999999999999</v>
      </c>
    </row>
    <row r="1254" spans="1:6" x14ac:dyDescent="0.25">
      <c r="A1254" s="1">
        <v>43395</v>
      </c>
      <c r="B1254">
        <v>6.9371999999999998</v>
      </c>
      <c r="C1254" s="1">
        <v>43518</v>
      </c>
      <c r="D1254">
        <v>6.7137000000000002</v>
      </c>
      <c r="E1254" s="1">
        <v>43518</v>
      </c>
      <c r="F1254">
        <v>6.7137000000000002</v>
      </c>
    </row>
    <row r="1255" spans="1:6" x14ac:dyDescent="0.25">
      <c r="A1255" s="1">
        <v>43396</v>
      </c>
      <c r="B1255">
        <v>6.9385000000000003</v>
      </c>
      <c r="C1255" s="1">
        <v>43521</v>
      </c>
      <c r="D1255">
        <v>6.6890999999999998</v>
      </c>
      <c r="E1255" s="1">
        <v>43521</v>
      </c>
      <c r="F1255">
        <v>6.6890999999999998</v>
      </c>
    </row>
    <row r="1256" spans="1:6" x14ac:dyDescent="0.25">
      <c r="A1256" s="1">
        <v>43397</v>
      </c>
      <c r="B1256">
        <v>6.9442000000000004</v>
      </c>
      <c r="C1256" s="1">
        <v>43522</v>
      </c>
      <c r="D1256">
        <v>6.7001999999999997</v>
      </c>
      <c r="E1256" s="1">
        <v>43522</v>
      </c>
      <c r="F1256">
        <v>6.7001999999999997</v>
      </c>
    </row>
    <row r="1257" spans="1:6" x14ac:dyDescent="0.25">
      <c r="A1257" s="1">
        <v>43398</v>
      </c>
      <c r="B1257">
        <v>6.9565999999999999</v>
      </c>
      <c r="C1257" s="1">
        <v>43523</v>
      </c>
      <c r="D1257">
        <v>6.6871999999999998</v>
      </c>
      <c r="E1257" s="1">
        <v>43523</v>
      </c>
      <c r="F1257">
        <v>6.6871999999999998</v>
      </c>
    </row>
    <row r="1258" spans="1:6" x14ac:dyDescent="0.25">
      <c r="A1258" s="1">
        <v>43399</v>
      </c>
      <c r="B1258">
        <v>6.9527999999999999</v>
      </c>
      <c r="C1258" s="1">
        <v>43524</v>
      </c>
      <c r="D1258">
        <v>6.6940999999999997</v>
      </c>
      <c r="E1258" s="1">
        <v>43524</v>
      </c>
      <c r="F1258">
        <v>6.6940999999999997</v>
      </c>
    </row>
    <row r="1259" spans="1:6" x14ac:dyDescent="0.25">
      <c r="A1259" s="1">
        <v>43402</v>
      </c>
      <c r="B1259">
        <v>6.9752000000000001</v>
      </c>
      <c r="C1259" s="1">
        <v>43525</v>
      </c>
      <c r="D1259">
        <v>6.7061999999999999</v>
      </c>
      <c r="E1259" s="1">
        <v>43525</v>
      </c>
      <c r="F1259">
        <v>6.7061999999999999</v>
      </c>
    </row>
    <row r="1260" spans="1:6" x14ac:dyDescent="0.25">
      <c r="A1260" s="1">
        <v>43403</v>
      </c>
      <c r="B1260">
        <v>6.9695999999999998</v>
      </c>
      <c r="C1260" s="1">
        <v>43528</v>
      </c>
      <c r="D1260">
        <v>6.7073</v>
      </c>
      <c r="E1260" s="1">
        <v>43528</v>
      </c>
      <c r="F1260">
        <v>6.7073</v>
      </c>
    </row>
    <row r="1261" spans="1:6" x14ac:dyDescent="0.25">
      <c r="A1261" s="1">
        <v>43404</v>
      </c>
      <c r="B1261">
        <v>6.9745999999999997</v>
      </c>
      <c r="C1261" s="1">
        <v>43529</v>
      </c>
      <c r="D1261">
        <v>6.7076000000000002</v>
      </c>
      <c r="E1261" s="1">
        <v>43529</v>
      </c>
      <c r="F1261">
        <v>6.7076000000000002</v>
      </c>
    </row>
    <row r="1262" spans="1:6" x14ac:dyDescent="0.25">
      <c r="A1262" s="1">
        <v>43405</v>
      </c>
      <c r="B1262">
        <v>6.9170999999999996</v>
      </c>
      <c r="C1262" s="1">
        <v>43530</v>
      </c>
      <c r="D1262">
        <v>6.7112999999999996</v>
      </c>
      <c r="E1262" s="1">
        <v>43530</v>
      </c>
      <c r="F1262">
        <v>6.7112999999999996</v>
      </c>
    </row>
    <row r="1263" spans="1:6" x14ac:dyDescent="0.25">
      <c r="A1263" s="1">
        <v>43406</v>
      </c>
      <c r="B1263">
        <v>6.8981000000000003</v>
      </c>
      <c r="C1263" s="1">
        <v>43531</v>
      </c>
      <c r="D1263">
        <v>6.7149999999999999</v>
      </c>
      <c r="E1263" s="1">
        <v>43531</v>
      </c>
      <c r="F1263">
        <v>6.7149999999999999</v>
      </c>
    </row>
    <row r="1264" spans="1:6" x14ac:dyDescent="0.25">
      <c r="A1264" s="1">
        <v>43409</v>
      </c>
      <c r="B1264">
        <v>6.9127999999999998</v>
      </c>
      <c r="C1264" s="1">
        <v>43532</v>
      </c>
      <c r="D1264">
        <v>6.7214</v>
      </c>
      <c r="E1264" s="1">
        <v>43532</v>
      </c>
      <c r="F1264">
        <v>6.7214</v>
      </c>
    </row>
    <row r="1265" spans="1:6" x14ac:dyDescent="0.25">
      <c r="A1265" s="1">
        <v>43410</v>
      </c>
      <c r="B1265">
        <v>6.9238999999999997</v>
      </c>
      <c r="C1265" s="1">
        <v>43535</v>
      </c>
      <c r="D1265">
        <v>6.7264999999999997</v>
      </c>
      <c r="E1265" s="1">
        <v>43535</v>
      </c>
      <c r="F1265">
        <v>6.7264999999999997</v>
      </c>
    </row>
    <row r="1266" spans="1:6" x14ac:dyDescent="0.25">
      <c r="A1266" s="1">
        <v>43411</v>
      </c>
      <c r="B1266">
        <v>6.9180000000000001</v>
      </c>
      <c r="C1266" s="1">
        <v>43536</v>
      </c>
      <c r="D1266">
        <v>6.7084999999999999</v>
      </c>
      <c r="E1266" s="1">
        <v>43536</v>
      </c>
      <c r="F1266">
        <v>6.7084999999999999</v>
      </c>
    </row>
    <row r="1267" spans="1:6" x14ac:dyDescent="0.25">
      <c r="A1267" s="1">
        <v>43412</v>
      </c>
      <c r="B1267">
        <v>6.9410999999999996</v>
      </c>
      <c r="C1267" s="1">
        <v>43537</v>
      </c>
      <c r="D1267">
        <v>6.7070999999999996</v>
      </c>
      <c r="E1267" s="1">
        <v>43537</v>
      </c>
      <c r="F1267">
        <v>6.7070999999999996</v>
      </c>
    </row>
    <row r="1268" spans="1:6" x14ac:dyDescent="0.25">
      <c r="A1268" s="1">
        <v>43413</v>
      </c>
      <c r="B1268">
        <v>6.9480000000000004</v>
      </c>
      <c r="C1268" s="1">
        <v>43538</v>
      </c>
      <c r="D1268">
        <v>6.7229999999999999</v>
      </c>
      <c r="E1268" s="1">
        <v>43538</v>
      </c>
      <c r="F1268">
        <v>6.7229999999999999</v>
      </c>
    </row>
    <row r="1269" spans="1:6" x14ac:dyDescent="0.25">
      <c r="A1269" s="1">
        <v>43416</v>
      </c>
      <c r="B1269">
        <v>6.9642999999999997</v>
      </c>
      <c r="C1269" s="1">
        <v>43539</v>
      </c>
      <c r="D1269">
        <v>6.7137000000000002</v>
      </c>
      <c r="E1269" s="1">
        <v>43539</v>
      </c>
      <c r="F1269">
        <v>6.7137000000000002</v>
      </c>
    </row>
    <row r="1270" spans="1:6" x14ac:dyDescent="0.25">
      <c r="A1270" s="1">
        <v>43417</v>
      </c>
      <c r="B1270">
        <v>6.9466000000000001</v>
      </c>
      <c r="C1270" s="1">
        <v>43542</v>
      </c>
      <c r="D1270">
        <v>6.7130000000000001</v>
      </c>
      <c r="E1270" s="1">
        <v>43542</v>
      </c>
      <c r="F1270">
        <v>6.7130000000000001</v>
      </c>
    </row>
    <row r="1271" spans="1:6" x14ac:dyDescent="0.25">
      <c r="A1271" s="1">
        <v>43418</v>
      </c>
      <c r="B1271">
        <v>6.9438000000000004</v>
      </c>
      <c r="C1271" s="1">
        <v>43543</v>
      </c>
      <c r="D1271">
        <v>6.7119</v>
      </c>
      <c r="E1271" s="1">
        <v>43543</v>
      </c>
      <c r="F1271">
        <v>6.7119</v>
      </c>
    </row>
    <row r="1272" spans="1:6" x14ac:dyDescent="0.25">
      <c r="A1272" s="1">
        <v>43419</v>
      </c>
      <c r="B1272">
        <v>6.9272</v>
      </c>
      <c r="C1272" s="1">
        <v>43544</v>
      </c>
      <c r="D1272">
        <v>6.6944999999999997</v>
      </c>
      <c r="E1272" s="1">
        <v>43544</v>
      </c>
      <c r="F1272">
        <v>6.6944999999999997</v>
      </c>
    </row>
    <row r="1273" spans="1:6" x14ac:dyDescent="0.25">
      <c r="A1273" s="1">
        <v>43420</v>
      </c>
      <c r="B1273">
        <v>6.9206000000000003</v>
      </c>
      <c r="C1273" s="1">
        <v>43545</v>
      </c>
      <c r="D1273">
        <v>6.6993</v>
      </c>
      <c r="E1273" s="1">
        <v>43545</v>
      </c>
      <c r="F1273">
        <v>6.6993</v>
      </c>
    </row>
    <row r="1274" spans="1:6" x14ac:dyDescent="0.25">
      <c r="A1274" s="1">
        <v>43423</v>
      </c>
      <c r="B1274">
        <v>6.9337999999999997</v>
      </c>
      <c r="C1274" s="1">
        <v>43546</v>
      </c>
      <c r="D1274">
        <v>6.7182000000000004</v>
      </c>
      <c r="E1274" s="1">
        <v>43546</v>
      </c>
      <c r="F1274">
        <v>6.7182000000000004</v>
      </c>
    </row>
    <row r="1275" spans="1:6" x14ac:dyDescent="0.25">
      <c r="A1275" s="1">
        <v>43424</v>
      </c>
      <c r="B1275">
        <v>6.9451000000000001</v>
      </c>
      <c r="C1275" s="1">
        <v>43549</v>
      </c>
      <c r="D1275">
        <v>6.7093999999999996</v>
      </c>
      <c r="E1275" s="1">
        <v>43549</v>
      </c>
      <c r="F1275">
        <v>6.7093999999999996</v>
      </c>
    </row>
    <row r="1276" spans="1:6" x14ac:dyDescent="0.25">
      <c r="A1276" s="1">
        <v>43425</v>
      </c>
      <c r="B1276">
        <v>6.9245999999999999</v>
      </c>
      <c r="C1276" s="1">
        <v>43550</v>
      </c>
      <c r="D1276">
        <v>6.7157</v>
      </c>
      <c r="E1276" s="1">
        <v>43550</v>
      </c>
      <c r="F1276">
        <v>6.7157</v>
      </c>
    </row>
    <row r="1277" spans="1:6" x14ac:dyDescent="0.25">
      <c r="A1277" s="1">
        <v>43426</v>
      </c>
      <c r="B1277">
        <v>6.9273999999999996</v>
      </c>
      <c r="C1277" s="1">
        <v>43551</v>
      </c>
      <c r="D1277">
        <v>6.7271000000000001</v>
      </c>
      <c r="E1277" s="1">
        <v>43551</v>
      </c>
      <c r="F1277">
        <v>6.7271000000000001</v>
      </c>
    </row>
    <row r="1278" spans="1:6" x14ac:dyDescent="0.25">
      <c r="A1278" s="1">
        <v>43427</v>
      </c>
      <c r="B1278">
        <v>6.9448999999999996</v>
      </c>
      <c r="C1278" s="1">
        <v>43552</v>
      </c>
      <c r="D1278">
        <v>6.7389999999999999</v>
      </c>
      <c r="E1278" s="1">
        <v>43552</v>
      </c>
      <c r="F1278">
        <v>6.7389999999999999</v>
      </c>
    </row>
    <row r="1279" spans="1:6" x14ac:dyDescent="0.25">
      <c r="A1279" s="1">
        <v>43430</v>
      </c>
      <c r="B1279">
        <v>6.9503000000000004</v>
      </c>
      <c r="C1279" s="1">
        <v>43553</v>
      </c>
      <c r="D1279">
        <v>6.7121000000000004</v>
      </c>
      <c r="E1279" s="1">
        <v>43553</v>
      </c>
      <c r="F1279">
        <v>6.7121000000000004</v>
      </c>
    </row>
    <row r="1280" spans="1:6" x14ac:dyDescent="0.25">
      <c r="A1280" s="1">
        <v>43431</v>
      </c>
      <c r="B1280">
        <v>6.9519000000000002</v>
      </c>
      <c r="C1280" s="1">
        <v>43556</v>
      </c>
      <c r="D1280">
        <v>6.7115</v>
      </c>
      <c r="E1280" s="1">
        <v>43556</v>
      </c>
      <c r="F1280">
        <v>6.7115</v>
      </c>
    </row>
    <row r="1281" spans="1:6" x14ac:dyDescent="0.25">
      <c r="A1281" s="1">
        <v>43432</v>
      </c>
      <c r="B1281">
        <v>6.9405000000000001</v>
      </c>
      <c r="C1281" s="1">
        <v>43557</v>
      </c>
      <c r="D1281">
        <v>6.7232000000000003</v>
      </c>
      <c r="E1281" s="1">
        <v>43557</v>
      </c>
      <c r="F1281">
        <v>6.7232000000000003</v>
      </c>
    </row>
    <row r="1282" spans="1:6" x14ac:dyDescent="0.25">
      <c r="A1282" s="1">
        <v>43433</v>
      </c>
      <c r="B1282">
        <v>6.9358000000000004</v>
      </c>
      <c r="C1282" s="1">
        <v>43558</v>
      </c>
      <c r="D1282">
        <v>6.7114000000000003</v>
      </c>
      <c r="E1282" s="1">
        <v>43558</v>
      </c>
      <c r="F1282">
        <v>6.7114000000000003</v>
      </c>
    </row>
    <row r="1283" spans="1:6" x14ac:dyDescent="0.25">
      <c r="A1283" s="1">
        <v>43434</v>
      </c>
      <c r="B1283">
        <v>6.95</v>
      </c>
      <c r="C1283" s="1">
        <v>43559</v>
      </c>
      <c r="D1283">
        <v>6.7169999999999996</v>
      </c>
      <c r="E1283" s="1">
        <v>43559</v>
      </c>
      <c r="F1283">
        <v>6.7169999999999996</v>
      </c>
    </row>
    <row r="1284" spans="1:6" x14ac:dyDescent="0.25">
      <c r="A1284" s="1">
        <v>43437</v>
      </c>
      <c r="B1284">
        <v>6.8764000000000003</v>
      </c>
      <c r="C1284" s="1">
        <v>43563</v>
      </c>
      <c r="D1284">
        <v>6.7164000000000001</v>
      </c>
      <c r="E1284" s="1">
        <v>43563</v>
      </c>
      <c r="F1284">
        <v>6.7164000000000001</v>
      </c>
    </row>
    <row r="1285" spans="1:6" x14ac:dyDescent="0.25">
      <c r="A1285" s="1">
        <v>43438</v>
      </c>
      <c r="B1285">
        <v>6.8506999999999998</v>
      </c>
      <c r="C1285" s="1">
        <v>43564</v>
      </c>
      <c r="D1285">
        <v>6.7119</v>
      </c>
      <c r="E1285" s="1">
        <v>43564</v>
      </c>
      <c r="F1285">
        <v>6.7119</v>
      </c>
    </row>
    <row r="1286" spans="1:6" x14ac:dyDescent="0.25">
      <c r="A1286" s="1">
        <v>43439</v>
      </c>
      <c r="B1286">
        <v>6.8593999999999999</v>
      </c>
      <c r="C1286" s="1">
        <v>43565</v>
      </c>
      <c r="D1286">
        <v>6.7160000000000002</v>
      </c>
      <c r="E1286" s="1">
        <v>43565</v>
      </c>
      <c r="F1286">
        <v>6.7160000000000002</v>
      </c>
    </row>
    <row r="1287" spans="1:6" x14ac:dyDescent="0.25">
      <c r="A1287" s="1">
        <v>43440</v>
      </c>
      <c r="B1287">
        <v>6.8811</v>
      </c>
      <c r="C1287" s="1">
        <v>43566</v>
      </c>
      <c r="D1287">
        <v>6.7194000000000003</v>
      </c>
      <c r="E1287" s="1">
        <v>43566</v>
      </c>
      <c r="F1287">
        <v>6.7194000000000003</v>
      </c>
    </row>
    <row r="1288" spans="1:6" x14ac:dyDescent="0.25">
      <c r="A1288" s="1">
        <v>43441</v>
      </c>
      <c r="B1288">
        <v>6.8849999999999998</v>
      </c>
      <c r="C1288" s="1">
        <v>43567</v>
      </c>
      <c r="D1288">
        <v>6.7035999999999998</v>
      </c>
      <c r="E1288" s="1">
        <v>43567</v>
      </c>
      <c r="F1288">
        <v>6.7035999999999998</v>
      </c>
    </row>
    <row r="1289" spans="1:6" x14ac:dyDescent="0.25">
      <c r="A1289" s="1">
        <v>43444</v>
      </c>
      <c r="B1289">
        <v>6.9145000000000003</v>
      </c>
      <c r="C1289" s="1">
        <v>43570</v>
      </c>
      <c r="D1289">
        <v>6.7087000000000003</v>
      </c>
      <c r="E1289" s="1">
        <v>43570</v>
      </c>
      <c r="F1289">
        <v>6.7087000000000003</v>
      </c>
    </row>
    <row r="1290" spans="1:6" x14ac:dyDescent="0.25">
      <c r="A1290" s="1">
        <v>43445</v>
      </c>
      <c r="B1290">
        <v>6.9059999999999997</v>
      </c>
      <c r="C1290" s="1">
        <v>43571</v>
      </c>
      <c r="D1290">
        <v>6.7122000000000002</v>
      </c>
      <c r="E1290" s="1">
        <v>43571</v>
      </c>
      <c r="F1290">
        <v>6.7122000000000002</v>
      </c>
    </row>
    <row r="1291" spans="1:6" x14ac:dyDescent="0.25">
      <c r="A1291" s="1">
        <v>43446</v>
      </c>
      <c r="B1291">
        <v>6.8733000000000004</v>
      </c>
      <c r="C1291" s="1">
        <v>43572</v>
      </c>
      <c r="D1291">
        <v>6.6881000000000004</v>
      </c>
      <c r="E1291" s="1">
        <v>43572</v>
      </c>
      <c r="F1291">
        <v>6.6881000000000004</v>
      </c>
    </row>
    <row r="1292" spans="1:6" x14ac:dyDescent="0.25">
      <c r="A1292" s="1">
        <v>43447</v>
      </c>
      <c r="B1292">
        <v>6.8780999999999999</v>
      </c>
      <c r="C1292" s="1">
        <v>43573</v>
      </c>
      <c r="D1292">
        <v>6.7091000000000003</v>
      </c>
      <c r="E1292" s="1">
        <v>43573</v>
      </c>
      <c r="F1292">
        <v>6.7091000000000003</v>
      </c>
    </row>
    <row r="1293" spans="1:6" x14ac:dyDescent="0.25">
      <c r="A1293" s="1">
        <v>43448</v>
      </c>
      <c r="B1293">
        <v>6.9023000000000003</v>
      </c>
      <c r="C1293" s="1">
        <v>43574</v>
      </c>
      <c r="D1293">
        <v>6.7042000000000002</v>
      </c>
      <c r="E1293" s="1">
        <v>43574</v>
      </c>
      <c r="F1293">
        <v>6.7042000000000002</v>
      </c>
    </row>
    <row r="1294" spans="1:6" x14ac:dyDescent="0.25">
      <c r="A1294" s="1">
        <v>43451</v>
      </c>
      <c r="B1294">
        <v>6.9012000000000002</v>
      </c>
      <c r="C1294" s="1">
        <v>43577</v>
      </c>
      <c r="D1294">
        <v>6.7121000000000004</v>
      </c>
      <c r="E1294" s="1">
        <v>43577</v>
      </c>
      <c r="F1294">
        <v>6.7121000000000004</v>
      </c>
    </row>
    <row r="1295" spans="1:6" x14ac:dyDescent="0.25">
      <c r="A1295" s="1">
        <v>43452</v>
      </c>
      <c r="B1295">
        <v>6.8932000000000002</v>
      </c>
      <c r="C1295" s="1">
        <v>43578</v>
      </c>
      <c r="D1295">
        <v>6.7259000000000002</v>
      </c>
      <c r="E1295" s="1">
        <v>43578</v>
      </c>
      <c r="F1295">
        <v>6.7259000000000002</v>
      </c>
    </row>
    <row r="1296" spans="1:6" x14ac:dyDescent="0.25">
      <c r="A1296" s="1">
        <v>43453</v>
      </c>
      <c r="B1296">
        <v>6.9055</v>
      </c>
      <c r="C1296" s="1">
        <v>43579</v>
      </c>
      <c r="D1296">
        <v>6.7218999999999998</v>
      </c>
      <c r="E1296" s="1">
        <v>43579</v>
      </c>
      <c r="F1296">
        <v>6.7218999999999998</v>
      </c>
    </row>
    <row r="1297" spans="1:6" x14ac:dyDescent="0.25">
      <c r="A1297" s="1">
        <v>43454</v>
      </c>
      <c r="B1297">
        <v>6.8952</v>
      </c>
      <c r="C1297" s="1">
        <v>43580</v>
      </c>
      <c r="D1297">
        <v>6.7435</v>
      </c>
      <c r="E1297" s="1">
        <v>43580</v>
      </c>
      <c r="F1297">
        <v>6.7435</v>
      </c>
    </row>
    <row r="1298" spans="1:6" x14ac:dyDescent="0.25">
      <c r="A1298" s="1">
        <v>43455</v>
      </c>
      <c r="B1298">
        <v>6.9238999999999997</v>
      </c>
      <c r="C1298" s="1">
        <v>43581</v>
      </c>
      <c r="D1298">
        <v>6.7287999999999997</v>
      </c>
      <c r="E1298" s="1">
        <v>43581</v>
      </c>
      <c r="F1298">
        <v>6.7287999999999997</v>
      </c>
    </row>
    <row r="1299" spans="1:6" x14ac:dyDescent="0.25">
      <c r="A1299" s="1">
        <v>43458</v>
      </c>
      <c r="B1299">
        <v>6.9029999999999996</v>
      </c>
      <c r="C1299" s="1">
        <v>43584</v>
      </c>
      <c r="D1299">
        <v>6.7336</v>
      </c>
      <c r="E1299" s="1">
        <v>43584</v>
      </c>
      <c r="F1299">
        <v>6.7336</v>
      </c>
    </row>
    <row r="1300" spans="1:6" x14ac:dyDescent="0.25">
      <c r="A1300" s="1">
        <v>43459</v>
      </c>
      <c r="B1300">
        <v>6.8944000000000001</v>
      </c>
      <c r="C1300" s="1">
        <v>43585</v>
      </c>
      <c r="D1300">
        <v>6.7348999999999997</v>
      </c>
      <c r="E1300" s="1">
        <v>43585</v>
      </c>
      <c r="F1300">
        <v>6.7348999999999997</v>
      </c>
    </row>
    <row r="1301" spans="1:6" x14ac:dyDescent="0.25">
      <c r="A1301" s="1">
        <v>43460</v>
      </c>
      <c r="B1301">
        <v>6.8948</v>
      </c>
      <c r="C1301" s="1">
        <v>43591</v>
      </c>
      <c r="D1301">
        <v>6.7662000000000004</v>
      </c>
      <c r="E1301" s="1">
        <v>43591</v>
      </c>
      <c r="F1301">
        <v>6.7662000000000004</v>
      </c>
    </row>
    <row r="1302" spans="1:6" x14ac:dyDescent="0.25">
      <c r="A1302" s="1">
        <v>43461</v>
      </c>
      <c r="B1302">
        <v>6.8746999999999998</v>
      </c>
      <c r="C1302" s="1">
        <v>43592</v>
      </c>
      <c r="D1302">
        <v>6.7769000000000004</v>
      </c>
      <c r="E1302" s="1">
        <v>43592</v>
      </c>
      <c r="F1302">
        <v>6.7769000000000004</v>
      </c>
    </row>
    <row r="1303" spans="1:6" x14ac:dyDescent="0.25">
      <c r="A1303" s="1">
        <v>43462</v>
      </c>
      <c r="B1303">
        <v>6.8819999999999997</v>
      </c>
      <c r="C1303" s="1">
        <v>43593</v>
      </c>
      <c r="D1303">
        <v>6.7827999999999999</v>
      </c>
      <c r="E1303" s="1">
        <v>43593</v>
      </c>
      <c r="F1303">
        <v>6.7827999999999999</v>
      </c>
    </row>
    <row r="1304" spans="1:6" x14ac:dyDescent="0.25">
      <c r="A1304" s="1">
        <v>43465</v>
      </c>
      <c r="B1304">
        <v>6.8705999999999996</v>
      </c>
      <c r="C1304" s="1">
        <v>43594</v>
      </c>
      <c r="D1304">
        <v>6.8273999999999999</v>
      </c>
      <c r="E1304" s="1">
        <v>43594</v>
      </c>
      <c r="F1304">
        <v>6.8273999999999999</v>
      </c>
    </row>
    <row r="1305" spans="1:6" x14ac:dyDescent="0.25">
      <c r="A1305" s="1">
        <v>43466</v>
      </c>
      <c r="B1305">
        <v>6.8718000000000004</v>
      </c>
      <c r="C1305" s="1">
        <v>43595</v>
      </c>
      <c r="D1305">
        <v>6.8224999999999998</v>
      </c>
      <c r="E1305" s="1">
        <v>43595</v>
      </c>
      <c r="F1305">
        <v>6.8224999999999998</v>
      </c>
    </row>
    <row r="1306" spans="1:6" x14ac:dyDescent="0.25">
      <c r="A1306" s="1">
        <v>43467</v>
      </c>
      <c r="B1306">
        <v>6.8784999999999998</v>
      </c>
      <c r="C1306" s="1">
        <v>43598</v>
      </c>
      <c r="D1306">
        <v>6.8784000000000001</v>
      </c>
      <c r="E1306" s="1">
        <v>43598</v>
      </c>
      <c r="F1306">
        <v>6.8784000000000001</v>
      </c>
    </row>
    <row r="1307" spans="1:6" x14ac:dyDescent="0.25">
      <c r="A1307" s="1">
        <v>43468</v>
      </c>
      <c r="B1307">
        <v>6.883</v>
      </c>
      <c r="C1307" s="1">
        <v>43599</v>
      </c>
      <c r="D1307">
        <v>6.8753000000000002</v>
      </c>
      <c r="E1307" s="1">
        <v>43599</v>
      </c>
      <c r="F1307">
        <v>6.8753000000000002</v>
      </c>
    </row>
    <row r="1308" spans="1:6" x14ac:dyDescent="0.25">
      <c r="A1308" s="1">
        <v>43469</v>
      </c>
      <c r="B1308">
        <v>6.8658999999999999</v>
      </c>
      <c r="C1308" s="1">
        <v>43600</v>
      </c>
      <c r="D1308">
        <v>6.8761999999999999</v>
      </c>
      <c r="E1308" s="1">
        <v>43600</v>
      </c>
      <c r="F1308">
        <v>6.8761999999999999</v>
      </c>
    </row>
    <row r="1309" spans="1:6" x14ac:dyDescent="0.25">
      <c r="A1309" s="1">
        <v>43472</v>
      </c>
      <c r="B1309">
        <v>6.8464999999999998</v>
      </c>
      <c r="C1309" s="1">
        <v>43601</v>
      </c>
      <c r="D1309">
        <v>6.8837000000000002</v>
      </c>
      <c r="E1309" s="1">
        <v>43601</v>
      </c>
      <c r="F1309">
        <v>6.8837000000000002</v>
      </c>
    </row>
    <row r="1310" spans="1:6" x14ac:dyDescent="0.25">
      <c r="A1310" s="1">
        <v>43473</v>
      </c>
      <c r="B1310">
        <v>6.8547000000000002</v>
      </c>
      <c r="C1310" s="1">
        <v>43602</v>
      </c>
      <c r="D1310">
        <v>6.9179000000000004</v>
      </c>
      <c r="E1310" s="1">
        <v>43602</v>
      </c>
      <c r="F1310">
        <v>6.9179000000000004</v>
      </c>
    </row>
    <row r="1311" spans="1:6" x14ac:dyDescent="0.25">
      <c r="A1311" s="1">
        <v>43474</v>
      </c>
      <c r="B1311">
        <v>6.8122999999999996</v>
      </c>
      <c r="C1311" s="1">
        <v>43605</v>
      </c>
      <c r="D1311">
        <v>6.9123000000000001</v>
      </c>
      <c r="E1311" s="1">
        <v>43605</v>
      </c>
      <c r="F1311">
        <v>6.9123000000000001</v>
      </c>
    </row>
    <row r="1312" spans="1:6" x14ac:dyDescent="0.25">
      <c r="A1312" s="1">
        <v>43475</v>
      </c>
      <c r="B1312">
        <v>6.7934999999999999</v>
      </c>
      <c r="C1312" s="1">
        <v>43606</v>
      </c>
      <c r="D1312">
        <v>6.9020000000000001</v>
      </c>
      <c r="E1312" s="1">
        <v>43606</v>
      </c>
      <c r="F1312">
        <v>6.9020000000000001</v>
      </c>
    </row>
    <row r="1313" spans="1:6" x14ac:dyDescent="0.25">
      <c r="A1313" s="1">
        <v>43476</v>
      </c>
      <c r="B1313">
        <v>6.7601000000000004</v>
      </c>
      <c r="C1313" s="1">
        <v>43607</v>
      </c>
      <c r="D1313">
        <v>6.9062999999999999</v>
      </c>
      <c r="E1313" s="1">
        <v>43607</v>
      </c>
      <c r="F1313">
        <v>6.9062999999999999</v>
      </c>
    </row>
    <row r="1314" spans="1:6" x14ac:dyDescent="0.25">
      <c r="A1314" s="1">
        <v>43479</v>
      </c>
      <c r="B1314">
        <v>6.7629999999999999</v>
      </c>
      <c r="C1314" s="1">
        <v>43608</v>
      </c>
      <c r="D1314">
        <v>6.9104999999999999</v>
      </c>
      <c r="E1314" s="1">
        <v>43608</v>
      </c>
      <c r="F1314">
        <v>6.9104999999999999</v>
      </c>
    </row>
    <row r="1315" spans="1:6" x14ac:dyDescent="0.25">
      <c r="A1315" s="1">
        <v>43480</v>
      </c>
      <c r="B1315">
        <v>6.7735000000000003</v>
      </c>
      <c r="C1315" s="1">
        <v>43609</v>
      </c>
      <c r="D1315">
        <v>6.9001999999999999</v>
      </c>
      <c r="E1315" s="1">
        <v>43609</v>
      </c>
      <c r="F1315">
        <v>6.9001999999999999</v>
      </c>
    </row>
    <row r="1316" spans="1:6" x14ac:dyDescent="0.25">
      <c r="A1316" s="1">
        <v>43481</v>
      </c>
      <c r="B1316">
        <v>6.7621000000000002</v>
      </c>
      <c r="C1316" s="1">
        <v>43612</v>
      </c>
      <c r="D1316">
        <v>6.8979999999999997</v>
      </c>
      <c r="E1316" s="1">
        <v>43612</v>
      </c>
      <c r="F1316">
        <v>6.8979999999999997</v>
      </c>
    </row>
    <row r="1317" spans="1:6" x14ac:dyDescent="0.25">
      <c r="A1317" s="1">
        <v>43482</v>
      </c>
      <c r="B1317">
        <v>6.7758000000000003</v>
      </c>
      <c r="C1317" s="1">
        <v>43613</v>
      </c>
      <c r="D1317">
        <v>6.9101999999999997</v>
      </c>
      <c r="E1317" s="1">
        <v>43613</v>
      </c>
      <c r="F1317">
        <v>6.9101999999999997</v>
      </c>
    </row>
    <row r="1318" spans="1:6" x14ac:dyDescent="0.25">
      <c r="A1318" s="1">
        <v>43483</v>
      </c>
      <c r="B1318">
        <v>6.8033999999999999</v>
      </c>
      <c r="C1318" s="1">
        <v>43614</v>
      </c>
      <c r="D1318">
        <v>6.9145000000000003</v>
      </c>
      <c r="E1318" s="1">
        <v>43614</v>
      </c>
      <c r="F1318">
        <v>6.9145000000000003</v>
      </c>
    </row>
    <row r="1319" spans="1:6" x14ac:dyDescent="0.25">
      <c r="A1319" s="1">
        <v>43486</v>
      </c>
      <c r="B1319">
        <v>6.8011999999999997</v>
      </c>
      <c r="C1319" s="1">
        <v>43615</v>
      </c>
      <c r="D1319">
        <v>6.9019000000000004</v>
      </c>
      <c r="E1319" s="1">
        <v>43615</v>
      </c>
      <c r="F1319">
        <v>6.9019000000000004</v>
      </c>
    </row>
    <row r="1320" spans="1:6" x14ac:dyDescent="0.25">
      <c r="A1320" s="1">
        <v>43487</v>
      </c>
      <c r="B1320">
        <v>6.8156999999999996</v>
      </c>
      <c r="C1320" s="1">
        <v>43616</v>
      </c>
      <c r="D1320">
        <v>6.9050000000000002</v>
      </c>
      <c r="E1320" s="1">
        <v>43616</v>
      </c>
      <c r="F1320">
        <v>6.9050000000000002</v>
      </c>
    </row>
    <row r="1321" spans="1:6" x14ac:dyDescent="0.25">
      <c r="A1321" s="1">
        <v>43488</v>
      </c>
      <c r="B1321">
        <v>6.7935999999999996</v>
      </c>
      <c r="C1321" s="1">
        <v>43619</v>
      </c>
      <c r="D1321">
        <v>6.9036999999999997</v>
      </c>
      <c r="E1321" s="1">
        <v>43619</v>
      </c>
      <c r="F1321">
        <v>6.9036999999999997</v>
      </c>
    </row>
    <row r="1322" spans="1:6" x14ac:dyDescent="0.25">
      <c r="A1322" s="1">
        <v>43489</v>
      </c>
      <c r="B1322">
        <v>6.7949000000000002</v>
      </c>
      <c r="C1322" s="1">
        <v>43620</v>
      </c>
      <c r="D1322">
        <v>6.9078999999999997</v>
      </c>
      <c r="E1322" s="1">
        <v>43620</v>
      </c>
      <c r="F1322">
        <v>6.9078999999999997</v>
      </c>
    </row>
    <row r="1323" spans="1:6" x14ac:dyDescent="0.25">
      <c r="A1323" s="1">
        <v>43490</v>
      </c>
      <c r="B1323">
        <v>6.7535999999999996</v>
      </c>
      <c r="C1323" s="1">
        <v>43621</v>
      </c>
      <c r="D1323">
        <v>6.9089</v>
      </c>
      <c r="E1323" s="1">
        <v>43621</v>
      </c>
      <c r="F1323">
        <v>6.9089</v>
      </c>
    </row>
    <row r="1324" spans="1:6" x14ac:dyDescent="0.25">
      <c r="A1324" s="1">
        <v>43493</v>
      </c>
      <c r="B1324">
        <v>6.7552000000000003</v>
      </c>
      <c r="C1324" s="1">
        <v>43622</v>
      </c>
      <c r="D1324">
        <v>6.9096000000000002</v>
      </c>
      <c r="E1324" s="1">
        <v>43622</v>
      </c>
      <c r="F1324">
        <v>6.9096000000000002</v>
      </c>
    </row>
    <row r="1325" spans="1:6" x14ac:dyDescent="0.25">
      <c r="A1325" s="1">
        <v>43494</v>
      </c>
      <c r="B1325">
        <v>6.7483000000000004</v>
      </c>
      <c r="C1325" s="1">
        <v>43626</v>
      </c>
      <c r="D1325">
        <v>6.9310999999999998</v>
      </c>
      <c r="E1325" s="1">
        <v>43626</v>
      </c>
      <c r="F1325">
        <v>6.9310999999999998</v>
      </c>
    </row>
    <row r="1326" spans="1:6" x14ac:dyDescent="0.25">
      <c r="A1326" s="1">
        <v>43495</v>
      </c>
      <c r="B1326">
        <v>6.7121000000000004</v>
      </c>
      <c r="C1326" s="1">
        <v>43627</v>
      </c>
      <c r="D1326">
        <v>6.9114000000000004</v>
      </c>
      <c r="E1326" s="1">
        <v>43627</v>
      </c>
      <c r="F1326">
        <v>6.9114000000000004</v>
      </c>
    </row>
    <row r="1327" spans="1:6" x14ac:dyDescent="0.25">
      <c r="A1327" s="1">
        <v>43496</v>
      </c>
      <c r="B1327">
        <v>6.7095000000000002</v>
      </c>
      <c r="C1327" s="1">
        <v>43628</v>
      </c>
      <c r="D1327">
        <v>6.9177</v>
      </c>
      <c r="E1327" s="1">
        <v>43628</v>
      </c>
      <c r="F1327">
        <v>6.9177</v>
      </c>
    </row>
    <row r="1328" spans="1:6" x14ac:dyDescent="0.25">
      <c r="A1328" s="1">
        <v>43497</v>
      </c>
      <c r="B1328">
        <v>6.7565</v>
      </c>
      <c r="C1328" s="1">
        <v>43629</v>
      </c>
      <c r="D1328">
        <v>6.9215999999999998</v>
      </c>
      <c r="E1328" s="1">
        <v>43629</v>
      </c>
      <c r="F1328">
        <v>6.9215999999999998</v>
      </c>
    </row>
    <row r="1329" spans="1:6" x14ac:dyDescent="0.25">
      <c r="A1329" s="1">
        <v>43500</v>
      </c>
      <c r="B1329">
        <v>6.7786999999999997</v>
      </c>
      <c r="C1329" s="1">
        <v>43630</v>
      </c>
      <c r="D1329">
        <v>6.9255000000000004</v>
      </c>
      <c r="E1329" s="1">
        <v>43630</v>
      </c>
      <c r="F1329">
        <v>6.9255000000000004</v>
      </c>
    </row>
    <row r="1330" spans="1:6" x14ac:dyDescent="0.25">
      <c r="A1330" s="1">
        <v>43501</v>
      </c>
      <c r="B1330">
        <v>6.7628000000000004</v>
      </c>
      <c r="C1330" s="1">
        <v>43633</v>
      </c>
      <c r="D1330">
        <v>6.9257999999999997</v>
      </c>
      <c r="E1330" s="1">
        <v>43633</v>
      </c>
      <c r="F1330">
        <v>6.9257999999999997</v>
      </c>
    </row>
    <row r="1331" spans="1:6" x14ac:dyDescent="0.25">
      <c r="A1331" s="1">
        <v>43502</v>
      </c>
      <c r="B1331">
        <v>6.7782</v>
      </c>
      <c r="C1331" s="1">
        <v>43634</v>
      </c>
      <c r="D1331">
        <v>6.9032</v>
      </c>
      <c r="E1331" s="1">
        <v>43634</v>
      </c>
      <c r="F1331">
        <v>6.9032</v>
      </c>
    </row>
    <row r="1332" spans="1:6" x14ac:dyDescent="0.25">
      <c r="A1332" s="1">
        <v>43503</v>
      </c>
      <c r="B1332">
        <v>6.7843999999999998</v>
      </c>
      <c r="C1332" s="1">
        <v>43635</v>
      </c>
      <c r="D1332">
        <v>6.9036</v>
      </c>
      <c r="E1332" s="1">
        <v>43635</v>
      </c>
      <c r="F1332">
        <v>6.9036</v>
      </c>
    </row>
    <row r="1333" spans="1:6" x14ac:dyDescent="0.25">
      <c r="A1333" s="1">
        <v>43504</v>
      </c>
      <c r="B1333">
        <v>6.7847</v>
      </c>
      <c r="C1333" s="1">
        <v>43636</v>
      </c>
      <c r="D1333">
        <v>6.8518999999999997</v>
      </c>
      <c r="E1333" s="1">
        <v>43636</v>
      </c>
      <c r="F1333">
        <v>6.8518999999999997</v>
      </c>
    </row>
    <row r="1334" spans="1:6" x14ac:dyDescent="0.25">
      <c r="A1334" s="1">
        <v>43507</v>
      </c>
      <c r="B1334">
        <v>6.8003999999999998</v>
      </c>
      <c r="C1334" s="1">
        <v>43637</v>
      </c>
      <c r="D1334">
        <v>6.8685</v>
      </c>
      <c r="E1334" s="1">
        <v>43637</v>
      </c>
      <c r="F1334">
        <v>6.8685</v>
      </c>
    </row>
    <row r="1335" spans="1:6" x14ac:dyDescent="0.25">
      <c r="A1335" s="1">
        <v>43508</v>
      </c>
      <c r="B1335">
        <v>6.7737999999999996</v>
      </c>
      <c r="C1335" s="1">
        <v>43640</v>
      </c>
      <c r="D1335">
        <v>6.8769999999999998</v>
      </c>
      <c r="E1335" s="1">
        <v>43640</v>
      </c>
      <c r="F1335">
        <v>6.8769999999999998</v>
      </c>
    </row>
    <row r="1336" spans="1:6" x14ac:dyDescent="0.25">
      <c r="A1336" s="1">
        <v>43509</v>
      </c>
      <c r="B1336">
        <v>6.7834000000000003</v>
      </c>
      <c r="C1336" s="1">
        <v>43641</v>
      </c>
      <c r="D1336">
        <v>6.8798000000000004</v>
      </c>
      <c r="E1336" s="1">
        <v>43641</v>
      </c>
      <c r="F1336">
        <v>6.8798000000000004</v>
      </c>
    </row>
    <row r="1337" spans="1:6" x14ac:dyDescent="0.25">
      <c r="A1337" s="1">
        <v>43510</v>
      </c>
      <c r="B1337">
        <v>6.7801999999999998</v>
      </c>
      <c r="C1337" s="1">
        <v>43642</v>
      </c>
      <c r="D1337">
        <v>6.88</v>
      </c>
      <c r="E1337" s="1">
        <v>43642</v>
      </c>
      <c r="F1337">
        <v>6.88</v>
      </c>
    </row>
    <row r="1338" spans="1:6" x14ac:dyDescent="0.25">
      <c r="A1338" s="1">
        <v>43511</v>
      </c>
      <c r="B1338">
        <v>6.7705000000000002</v>
      </c>
      <c r="C1338" s="1">
        <v>43643</v>
      </c>
      <c r="D1338">
        <v>6.8771000000000004</v>
      </c>
      <c r="E1338" s="1">
        <v>43643</v>
      </c>
      <c r="F1338">
        <v>6.8771000000000004</v>
      </c>
    </row>
    <row r="1339" spans="1:6" x14ac:dyDescent="0.25">
      <c r="A1339" s="1">
        <v>43514</v>
      </c>
      <c r="B1339">
        <v>6.7737999999999996</v>
      </c>
      <c r="C1339" s="1">
        <v>43644</v>
      </c>
      <c r="D1339">
        <v>6.8667999999999996</v>
      </c>
      <c r="E1339" s="1">
        <v>43644</v>
      </c>
      <c r="F1339">
        <v>6.8667999999999996</v>
      </c>
    </row>
    <row r="1340" spans="1:6" x14ac:dyDescent="0.25">
      <c r="A1340" s="1">
        <v>43515</v>
      </c>
      <c r="B1340">
        <v>6.7454000000000001</v>
      </c>
      <c r="C1340" s="1">
        <v>43647</v>
      </c>
      <c r="D1340">
        <v>6.8517000000000001</v>
      </c>
      <c r="E1340" s="1">
        <v>43647</v>
      </c>
      <c r="F1340">
        <v>6.8517000000000001</v>
      </c>
    </row>
    <row r="1341" spans="1:6" x14ac:dyDescent="0.25">
      <c r="A1341" s="1">
        <v>43516</v>
      </c>
      <c r="B1341">
        <v>6.7188999999999997</v>
      </c>
      <c r="C1341" s="1">
        <v>43648</v>
      </c>
      <c r="D1341">
        <v>6.8734000000000002</v>
      </c>
      <c r="E1341" s="1">
        <v>43648</v>
      </c>
      <c r="F1341">
        <v>6.8734000000000002</v>
      </c>
    </row>
    <row r="1342" spans="1:6" x14ac:dyDescent="0.25">
      <c r="A1342" s="1">
        <v>43517</v>
      </c>
      <c r="B1342">
        <v>6.7233999999999998</v>
      </c>
      <c r="C1342" s="1">
        <v>43649</v>
      </c>
      <c r="D1342">
        <v>6.8811999999999998</v>
      </c>
      <c r="E1342" s="1">
        <v>43649</v>
      </c>
      <c r="F1342">
        <v>6.8811999999999998</v>
      </c>
    </row>
    <row r="1343" spans="1:6" x14ac:dyDescent="0.25">
      <c r="A1343" s="1">
        <v>43518</v>
      </c>
      <c r="B1343">
        <v>6.7096</v>
      </c>
      <c r="C1343" s="1">
        <v>43650</v>
      </c>
      <c r="D1343">
        <v>6.8715999999999999</v>
      </c>
      <c r="E1343" s="1">
        <v>43650</v>
      </c>
      <c r="F1343">
        <v>6.8715999999999999</v>
      </c>
    </row>
    <row r="1344" spans="1:6" x14ac:dyDescent="0.25">
      <c r="A1344" s="1">
        <v>43521</v>
      </c>
      <c r="B1344">
        <v>6.6829999999999998</v>
      </c>
      <c r="C1344" s="1">
        <v>43651</v>
      </c>
      <c r="D1344">
        <v>6.8936000000000002</v>
      </c>
      <c r="E1344" s="1">
        <v>43651</v>
      </c>
      <c r="F1344">
        <v>6.8936000000000002</v>
      </c>
    </row>
    <row r="1345" spans="1:6" x14ac:dyDescent="0.25">
      <c r="A1345" s="1">
        <v>43522</v>
      </c>
      <c r="B1345">
        <v>6.6863000000000001</v>
      </c>
      <c r="C1345" s="1">
        <v>43654</v>
      </c>
      <c r="D1345">
        <v>6.8818999999999999</v>
      </c>
      <c r="E1345" s="1">
        <v>43654</v>
      </c>
      <c r="F1345">
        <v>6.8818999999999999</v>
      </c>
    </row>
    <row r="1346" spans="1:6" x14ac:dyDescent="0.25">
      <c r="A1346" s="1">
        <v>43523</v>
      </c>
      <c r="B1346">
        <v>6.6817000000000002</v>
      </c>
      <c r="C1346" s="1">
        <v>43655</v>
      </c>
      <c r="D1346">
        <v>6.8879999999999999</v>
      </c>
      <c r="E1346" s="1">
        <v>43655</v>
      </c>
      <c r="F1346">
        <v>6.8879999999999999</v>
      </c>
    </row>
    <row r="1347" spans="1:6" x14ac:dyDescent="0.25">
      <c r="A1347" s="1">
        <v>43524</v>
      </c>
      <c r="B1347">
        <v>6.7034000000000002</v>
      </c>
      <c r="C1347" s="1">
        <v>43656</v>
      </c>
      <c r="D1347">
        <v>6.8728999999999996</v>
      </c>
      <c r="E1347" s="1">
        <v>43656</v>
      </c>
      <c r="F1347">
        <v>6.8728999999999996</v>
      </c>
    </row>
    <row r="1348" spans="1:6" x14ac:dyDescent="0.25">
      <c r="A1348" s="1">
        <v>43525</v>
      </c>
      <c r="B1348">
        <v>6.7140000000000004</v>
      </c>
      <c r="C1348" s="1">
        <v>43657</v>
      </c>
      <c r="D1348">
        <v>6.8701999999999996</v>
      </c>
      <c r="E1348" s="1">
        <v>43657</v>
      </c>
      <c r="F1348">
        <v>6.8701999999999996</v>
      </c>
    </row>
    <row r="1349" spans="1:6" x14ac:dyDescent="0.25">
      <c r="A1349" s="1">
        <v>43528</v>
      </c>
      <c r="B1349">
        <v>6.7069999999999999</v>
      </c>
      <c r="C1349" s="1">
        <v>43658</v>
      </c>
      <c r="D1349">
        <v>6.8807999999999998</v>
      </c>
      <c r="E1349" s="1">
        <v>43658</v>
      </c>
      <c r="F1349">
        <v>6.8807999999999998</v>
      </c>
    </row>
    <row r="1350" spans="1:6" x14ac:dyDescent="0.25">
      <c r="A1350" s="1">
        <v>43529</v>
      </c>
      <c r="B1350">
        <v>6.7050999999999998</v>
      </c>
      <c r="C1350" s="1">
        <v>43661</v>
      </c>
      <c r="D1350">
        <v>6.8777999999999997</v>
      </c>
      <c r="E1350" s="1">
        <v>43661</v>
      </c>
      <c r="F1350">
        <v>6.8777999999999997</v>
      </c>
    </row>
    <row r="1351" spans="1:6" x14ac:dyDescent="0.25">
      <c r="A1351" s="1">
        <v>43530</v>
      </c>
      <c r="B1351">
        <v>6.7171000000000003</v>
      </c>
      <c r="C1351" s="1">
        <v>43662</v>
      </c>
      <c r="D1351">
        <v>6.8762999999999996</v>
      </c>
      <c r="E1351" s="1">
        <v>43662</v>
      </c>
      <c r="F1351">
        <v>6.8762999999999996</v>
      </c>
    </row>
    <row r="1352" spans="1:6" x14ac:dyDescent="0.25">
      <c r="A1352" s="1">
        <v>43531</v>
      </c>
      <c r="B1352">
        <v>6.7340999999999998</v>
      </c>
      <c r="C1352" s="1">
        <v>43663</v>
      </c>
      <c r="D1352">
        <v>6.8735999999999997</v>
      </c>
      <c r="E1352" s="1">
        <v>43663</v>
      </c>
      <c r="F1352">
        <v>6.8735999999999997</v>
      </c>
    </row>
    <row r="1353" spans="1:6" x14ac:dyDescent="0.25">
      <c r="A1353" s="1">
        <v>43532</v>
      </c>
      <c r="B1353">
        <v>6.7309000000000001</v>
      </c>
      <c r="C1353" s="1">
        <v>43664</v>
      </c>
      <c r="D1353">
        <v>6.88</v>
      </c>
      <c r="E1353" s="1">
        <v>43664</v>
      </c>
      <c r="F1353">
        <v>6.88</v>
      </c>
    </row>
    <row r="1354" spans="1:6" x14ac:dyDescent="0.25">
      <c r="A1354" s="1">
        <v>43535</v>
      </c>
      <c r="B1354">
        <v>6.7324000000000002</v>
      </c>
      <c r="C1354" s="1">
        <v>43665</v>
      </c>
      <c r="D1354">
        <v>6.8821000000000003</v>
      </c>
      <c r="E1354" s="1">
        <v>43665</v>
      </c>
      <c r="F1354">
        <v>6.8821000000000003</v>
      </c>
    </row>
    <row r="1355" spans="1:6" x14ac:dyDescent="0.25">
      <c r="A1355" s="1">
        <v>43536</v>
      </c>
      <c r="B1355">
        <v>6.7068000000000003</v>
      </c>
      <c r="C1355" s="1">
        <v>43668</v>
      </c>
      <c r="D1355">
        <v>6.8811999999999998</v>
      </c>
      <c r="E1355" s="1">
        <v>43668</v>
      </c>
      <c r="F1355">
        <v>6.8811999999999998</v>
      </c>
    </row>
    <row r="1356" spans="1:6" x14ac:dyDescent="0.25">
      <c r="A1356" s="1">
        <v>43537</v>
      </c>
      <c r="B1356">
        <v>6.7012999999999998</v>
      </c>
      <c r="C1356" s="1">
        <v>43669</v>
      </c>
      <c r="D1356">
        <v>6.8792</v>
      </c>
      <c r="E1356" s="1">
        <v>43669</v>
      </c>
      <c r="F1356">
        <v>6.8792</v>
      </c>
    </row>
    <row r="1357" spans="1:6" x14ac:dyDescent="0.25">
      <c r="A1357" s="1">
        <v>43538</v>
      </c>
      <c r="B1357">
        <v>6.7220000000000004</v>
      </c>
      <c r="C1357" s="1">
        <v>43670</v>
      </c>
      <c r="D1357">
        <v>6.8719000000000001</v>
      </c>
      <c r="E1357" s="1">
        <v>43670</v>
      </c>
      <c r="F1357">
        <v>6.8719000000000001</v>
      </c>
    </row>
    <row r="1358" spans="1:6" x14ac:dyDescent="0.25">
      <c r="A1358" s="1">
        <v>43539</v>
      </c>
      <c r="B1358">
        <v>6.7135999999999996</v>
      </c>
      <c r="C1358" s="1">
        <v>43671</v>
      </c>
      <c r="D1358">
        <v>6.8726000000000003</v>
      </c>
      <c r="E1358" s="1">
        <v>43671</v>
      </c>
      <c r="F1358">
        <v>6.8726000000000003</v>
      </c>
    </row>
    <row r="1359" spans="1:6" x14ac:dyDescent="0.25">
      <c r="A1359" s="1">
        <v>43542</v>
      </c>
      <c r="B1359">
        <v>6.7207999999999997</v>
      </c>
      <c r="C1359" s="1">
        <v>43672</v>
      </c>
      <c r="D1359">
        <v>6.8795000000000002</v>
      </c>
      <c r="E1359" s="1">
        <v>43672</v>
      </c>
      <c r="F1359">
        <v>6.8795000000000002</v>
      </c>
    </row>
    <row r="1360" spans="1:6" x14ac:dyDescent="0.25">
      <c r="A1360" s="1">
        <v>43543</v>
      </c>
      <c r="B1360">
        <v>6.7176999999999998</v>
      </c>
      <c r="C1360" s="1">
        <v>43675</v>
      </c>
      <c r="D1360">
        <v>6.8933999999999997</v>
      </c>
      <c r="E1360" s="1">
        <v>43675</v>
      </c>
      <c r="F1360">
        <v>6.8933999999999997</v>
      </c>
    </row>
    <row r="1361" spans="1:6" x14ac:dyDescent="0.25">
      <c r="A1361" s="1">
        <v>43544</v>
      </c>
      <c r="B1361">
        <v>6.6875999999999998</v>
      </c>
      <c r="C1361" s="1">
        <v>43676</v>
      </c>
      <c r="D1361">
        <v>6.8845000000000001</v>
      </c>
      <c r="E1361" s="1">
        <v>43676</v>
      </c>
      <c r="F1361">
        <v>6.8845000000000001</v>
      </c>
    </row>
    <row r="1362" spans="1:6" x14ac:dyDescent="0.25">
      <c r="A1362" s="1">
        <v>43545</v>
      </c>
      <c r="B1362">
        <v>6.7070999999999996</v>
      </c>
      <c r="C1362" s="1">
        <v>43677</v>
      </c>
      <c r="D1362">
        <v>6.8844000000000003</v>
      </c>
      <c r="E1362" s="1">
        <v>43677</v>
      </c>
      <c r="F1362">
        <v>6.8844000000000003</v>
      </c>
    </row>
    <row r="1363" spans="1:6" x14ac:dyDescent="0.25">
      <c r="A1363" s="1">
        <v>43546</v>
      </c>
      <c r="B1363">
        <v>6.7229999999999999</v>
      </c>
      <c r="C1363" s="1">
        <v>43678</v>
      </c>
      <c r="D1363">
        <v>6.8986999999999998</v>
      </c>
      <c r="E1363" s="1">
        <v>43678</v>
      </c>
      <c r="F1363">
        <v>6.8986999999999998</v>
      </c>
    </row>
    <row r="1364" spans="1:6" x14ac:dyDescent="0.25">
      <c r="A1364" s="1">
        <v>43549</v>
      </c>
      <c r="B1364">
        <v>6.7171000000000003</v>
      </c>
      <c r="C1364" s="1">
        <v>43679</v>
      </c>
      <c r="D1364">
        <v>6.9405000000000001</v>
      </c>
      <c r="E1364" s="1">
        <v>43679</v>
      </c>
      <c r="F1364">
        <v>6.9405000000000001</v>
      </c>
    </row>
    <row r="1365" spans="1:6" x14ac:dyDescent="0.25">
      <c r="A1365" s="1">
        <v>43550</v>
      </c>
      <c r="B1365">
        <v>6.7233999999999998</v>
      </c>
      <c r="C1365" s="1">
        <v>43682</v>
      </c>
      <c r="D1365">
        <v>7.0507</v>
      </c>
      <c r="E1365" s="1">
        <v>43682</v>
      </c>
      <c r="F1365">
        <v>7.0507</v>
      </c>
    </row>
    <row r="1366" spans="1:6" x14ac:dyDescent="0.25">
      <c r="A1366" s="1">
        <v>43551</v>
      </c>
      <c r="B1366">
        <v>6.7382</v>
      </c>
      <c r="C1366" s="1">
        <v>43683</v>
      </c>
      <c r="D1366">
        <v>7.0254000000000003</v>
      </c>
      <c r="E1366" s="1">
        <v>43683</v>
      </c>
      <c r="F1366">
        <v>7.0254000000000003</v>
      </c>
    </row>
    <row r="1367" spans="1:6" x14ac:dyDescent="0.25">
      <c r="A1367" s="1">
        <v>43552</v>
      </c>
      <c r="B1367">
        <v>6.7394999999999996</v>
      </c>
      <c r="C1367" s="1">
        <v>43684</v>
      </c>
      <c r="D1367">
        <v>7.0602</v>
      </c>
      <c r="E1367" s="1">
        <v>43684</v>
      </c>
      <c r="F1367">
        <v>7.0602</v>
      </c>
    </row>
    <row r="1368" spans="1:6" x14ac:dyDescent="0.25">
      <c r="A1368" s="1">
        <v>43553</v>
      </c>
      <c r="B1368">
        <v>6.7232000000000003</v>
      </c>
      <c r="C1368" s="1">
        <v>43685</v>
      </c>
      <c r="D1368">
        <v>7.0450999999999997</v>
      </c>
      <c r="E1368" s="1">
        <v>43685</v>
      </c>
      <c r="F1368">
        <v>7.0450999999999997</v>
      </c>
    </row>
    <row r="1369" spans="1:6" x14ac:dyDescent="0.25">
      <c r="A1369" s="1">
        <v>43556</v>
      </c>
      <c r="B1369">
        <v>6.7190000000000003</v>
      </c>
      <c r="C1369" s="1">
        <v>43686</v>
      </c>
      <c r="D1369">
        <v>7.0620000000000003</v>
      </c>
      <c r="E1369" s="1">
        <v>43686</v>
      </c>
      <c r="F1369">
        <v>7.0620000000000003</v>
      </c>
    </row>
    <row r="1370" spans="1:6" x14ac:dyDescent="0.25">
      <c r="A1370" s="1">
        <v>43557</v>
      </c>
      <c r="B1370">
        <v>6.7260999999999997</v>
      </c>
      <c r="C1370" s="1">
        <v>43689</v>
      </c>
      <c r="D1370">
        <v>7.0578000000000003</v>
      </c>
      <c r="E1370" s="1">
        <v>43689</v>
      </c>
      <c r="F1370">
        <v>7.0578000000000003</v>
      </c>
    </row>
    <row r="1371" spans="1:6" x14ac:dyDescent="0.25">
      <c r="A1371" s="1">
        <v>43558</v>
      </c>
      <c r="B1371">
        <v>6.7141999999999999</v>
      </c>
      <c r="C1371" s="1">
        <v>43690</v>
      </c>
      <c r="D1371">
        <v>7.0434000000000001</v>
      </c>
      <c r="E1371" s="1">
        <v>43690</v>
      </c>
      <c r="F1371">
        <v>7.0434000000000001</v>
      </c>
    </row>
    <row r="1372" spans="1:6" x14ac:dyDescent="0.25">
      <c r="A1372" s="1">
        <v>43559</v>
      </c>
      <c r="B1372">
        <v>6.7171000000000003</v>
      </c>
      <c r="C1372" s="1">
        <v>43691</v>
      </c>
      <c r="D1372">
        <v>7.0236999999999998</v>
      </c>
      <c r="E1372" s="1">
        <v>43691</v>
      </c>
      <c r="F1372">
        <v>7.0236999999999998</v>
      </c>
    </row>
    <row r="1373" spans="1:6" x14ac:dyDescent="0.25">
      <c r="A1373" s="1">
        <v>43560</v>
      </c>
      <c r="B1373">
        <v>6.7122999999999999</v>
      </c>
      <c r="C1373" s="1">
        <v>43692</v>
      </c>
      <c r="D1373">
        <v>7.0339999999999998</v>
      </c>
      <c r="E1373" s="1">
        <v>43692</v>
      </c>
      <c r="F1373">
        <v>7.0339999999999998</v>
      </c>
    </row>
    <row r="1374" spans="1:6" x14ac:dyDescent="0.25">
      <c r="A1374" s="1">
        <v>43563</v>
      </c>
      <c r="B1374">
        <v>6.7173999999999996</v>
      </c>
      <c r="C1374" s="1">
        <v>43693</v>
      </c>
      <c r="D1374">
        <v>7.0427999999999997</v>
      </c>
      <c r="E1374" s="1">
        <v>43693</v>
      </c>
      <c r="F1374">
        <v>7.0427999999999997</v>
      </c>
    </row>
    <row r="1375" spans="1:6" x14ac:dyDescent="0.25">
      <c r="A1375" s="1">
        <v>43564</v>
      </c>
      <c r="B1375">
        <v>6.7190000000000003</v>
      </c>
      <c r="C1375" s="1">
        <v>43696</v>
      </c>
      <c r="D1375">
        <v>7.0507</v>
      </c>
      <c r="E1375" s="1">
        <v>43696</v>
      </c>
      <c r="F1375">
        <v>7.0507</v>
      </c>
    </row>
    <row r="1376" spans="1:6" x14ac:dyDescent="0.25">
      <c r="A1376" s="1">
        <v>43565</v>
      </c>
      <c r="B1376">
        <v>6.7190000000000003</v>
      </c>
      <c r="C1376" s="1">
        <v>43697</v>
      </c>
      <c r="D1376">
        <v>7.0605000000000002</v>
      </c>
      <c r="E1376" s="1">
        <v>43697</v>
      </c>
      <c r="F1376">
        <v>7.0605000000000002</v>
      </c>
    </row>
    <row r="1377" spans="1:6" x14ac:dyDescent="0.25">
      <c r="A1377" s="1">
        <v>43566</v>
      </c>
      <c r="B1377">
        <v>6.7281000000000004</v>
      </c>
      <c r="C1377" s="1">
        <v>43698</v>
      </c>
      <c r="D1377">
        <v>7.0627000000000004</v>
      </c>
      <c r="E1377" s="1">
        <v>43698</v>
      </c>
      <c r="F1377">
        <v>7.0627000000000004</v>
      </c>
    </row>
    <row r="1378" spans="1:6" x14ac:dyDescent="0.25">
      <c r="A1378" s="1">
        <v>43567</v>
      </c>
      <c r="B1378">
        <v>6.7088999999999999</v>
      </c>
      <c r="C1378" s="1">
        <v>43699</v>
      </c>
      <c r="D1378">
        <v>7.0833000000000004</v>
      </c>
      <c r="E1378" s="1">
        <v>43699</v>
      </c>
      <c r="F1378">
        <v>7.0833000000000004</v>
      </c>
    </row>
    <row r="1379" spans="1:6" x14ac:dyDescent="0.25">
      <c r="A1379" s="1">
        <v>43570</v>
      </c>
      <c r="B1379">
        <v>6.7074999999999996</v>
      </c>
      <c r="C1379" s="1">
        <v>43700</v>
      </c>
      <c r="D1379">
        <v>7.0955000000000004</v>
      </c>
      <c r="E1379" s="1">
        <v>43700</v>
      </c>
      <c r="F1379">
        <v>7.0955000000000004</v>
      </c>
    </row>
    <row r="1380" spans="1:6" x14ac:dyDescent="0.25">
      <c r="A1380" s="1">
        <v>43571</v>
      </c>
      <c r="B1380">
        <v>6.7126999999999999</v>
      </c>
      <c r="C1380" s="1">
        <v>43703</v>
      </c>
      <c r="D1380">
        <v>7.1512000000000002</v>
      </c>
      <c r="E1380" s="1">
        <v>43703</v>
      </c>
      <c r="F1380">
        <v>7.1512000000000002</v>
      </c>
    </row>
    <row r="1381" spans="1:6" x14ac:dyDescent="0.25">
      <c r="A1381" s="1">
        <v>43572</v>
      </c>
      <c r="B1381">
        <v>6.6776999999999997</v>
      </c>
      <c r="C1381" s="1">
        <v>43704</v>
      </c>
      <c r="D1381">
        <v>7.1616999999999997</v>
      </c>
      <c r="E1381" s="1">
        <v>43704</v>
      </c>
      <c r="F1381">
        <v>7.1616999999999997</v>
      </c>
    </row>
    <row r="1382" spans="1:6" x14ac:dyDescent="0.25">
      <c r="A1382" s="1">
        <v>43573</v>
      </c>
      <c r="B1382">
        <v>6.7073999999999998</v>
      </c>
      <c r="C1382" s="1">
        <v>43705</v>
      </c>
      <c r="D1382">
        <v>7.1651999999999996</v>
      </c>
      <c r="E1382" s="1">
        <v>43705</v>
      </c>
      <c r="F1382">
        <v>7.1651999999999996</v>
      </c>
    </row>
    <row r="1383" spans="1:6" x14ac:dyDescent="0.25">
      <c r="A1383" s="1">
        <v>43574</v>
      </c>
      <c r="B1383">
        <v>6.7023999999999999</v>
      </c>
      <c r="C1383" s="1">
        <v>43706</v>
      </c>
      <c r="D1383">
        <v>7.1444999999999999</v>
      </c>
      <c r="E1383" s="1">
        <v>43706</v>
      </c>
      <c r="F1383">
        <v>7.1444999999999999</v>
      </c>
    </row>
    <row r="1384" spans="1:6" x14ac:dyDescent="0.25">
      <c r="A1384" s="1">
        <v>43577</v>
      </c>
      <c r="B1384">
        <v>6.7121000000000004</v>
      </c>
      <c r="C1384" s="1">
        <v>43707</v>
      </c>
      <c r="D1384">
        <v>7.1559999999999997</v>
      </c>
      <c r="E1384" s="1">
        <v>43707</v>
      </c>
      <c r="F1384">
        <v>7.1559999999999997</v>
      </c>
    </row>
    <row r="1385" spans="1:6" x14ac:dyDescent="0.25">
      <c r="A1385" s="1">
        <v>43578</v>
      </c>
      <c r="B1385">
        <v>6.7289000000000003</v>
      </c>
      <c r="C1385" s="1">
        <v>43710</v>
      </c>
      <c r="D1385">
        <v>7.1719999999999997</v>
      </c>
      <c r="E1385" s="1">
        <v>43710</v>
      </c>
      <c r="F1385">
        <v>7.1719999999999997</v>
      </c>
    </row>
    <row r="1386" spans="1:6" x14ac:dyDescent="0.25">
      <c r="A1386" s="1">
        <v>43579</v>
      </c>
      <c r="B1386">
        <v>6.7347000000000001</v>
      </c>
      <c r="C1386" s="1">
        <v>43711</v>
      </c>
      <c r="D1386">
        <v>7.1788999999999996</v>
      </c>
      <c r="E1386" s="1">
        <v>43711</v>
      </c>
      <c r="F1386">
        <v>7.1788999999999996</v>
      </c>
    </row>
    <row r="1387" spans="1:6" x14ac:dyDescent="0.25">
      <c r="A1387" s="1">
        <v>43580</v>
      </c>
      <c r="B1387">
        <v>6.7500999999999998</v>
      </c>
      <c r="C1387" s="1">
        <v>43712</v>
      </c>
      <c r="D1387">
        <v>7.1459999999999999</v>
      </c>
      <c r="E1387" s="1">
        <v>43712</v>
      </c>
      <c r="F1387">
        <v>7.1459999999999999</v>
      </c>
    </row>
    <row r="1388" spans="1:6" x14ac:dyDescent="0.25">
      <c r="A1388" s="1">
        <v>43581</v>
      </c>
      <c r="B1388">
        <v>6.7404999999999999</v>
      </c>
      <c r="C1388" s="1">
        <v>43713</v>
      </c>
      <c r="D1388">
        <v>7.1492000000000004</v>
      </c>
      <c r="E1388" s="1">
        <v>43713</v>
      </c>
      <c r="F1388">
        <v>7.1492000000000004</v>
      </c>
    </row>
    <row r="1389" spans="1:6" x14ac:dyDescent="0.25">
      <c r="A1389" s="1">
        <v>43584</v>
      </c>
      <c r="B1389">
        <v>6.7389000000000001</v>
      </c>
      <c r="C1389" s="1">
        <v>43714</v>
      </c>
      <c r="D1389">
        <v>7.1163999999999996</v>
      </c>
      <c r="E1389" s="1">
        <v>43714</v>
      </c>
      <c r="F1389">
        <v>7.1163999999999996</v>
      </c>
    </row>
    <row r="1390" spans="1:6" x14ac:dyDescent="0.25">
      <c r="A1390" s="1">
        <v>43585</v>
      </c>
      <c r="B1390">
        <v>6.7370000000000001</v>
      </c>
      <c r="C1390" s="1">
        <v>43717</v>
      </c>
      <c r="D1390">
        <v>7.1219999999999999</v>
      </c>
      <c r="E1390" s="1">
        <v>43717</v>
      </c>
      <c r="F1390">
        <v>7.1219999999999999</v>
      </c>
    </row>
    <row r="1391" spans="1:6" x14ac:dyDescent="0.25">
      <c r="A1391" s="1">
        <v>43586</v>
      </c>
      <c r="B1391">
        <v>6.7328000000000001</v>
      </c>
      <c r="C1391" s="1">
        <v>43718</v>
      </c>
      <c r="D1391">
        <v>7.1125999999999996</v>
      </c>
      <c r="E1391" s="1">
        <v>43718</v>
      </c>
      <c r="F1391">
        <v>7.1125999999999996</v>
      </c>
    </row>
    <row r="1392" spans="1:6" x14ac:dyDescent="0.25">
      <c r="A1392" s="1">
        <v>43587</v>
      </c>
      <c r="B1392">
        <v>6.7454999999999998</v>
      </c>
      <c r="C1392" s="1">
        <v>43719</v>
      </c>
      <c r="D1392">
        <v>7.1158000000000001</v>
      </c>
      <c r="E1392" s="1">
        <v>43719</v>
      </c>
      <c r="F1392">
        <v>7.1158000000000001</v>
      </c>
    </row>
    <row r="1393" spans="1:6" x14ac:dyDescent="0.25">
      <c r="A1393" s="1">
        <v>43588</v>
      </c>
      <c r="B1393">
        <v>6.7354000000000003</v>
      </c>
      <c r="C1393" s="1">
        <v>43720</v>
      </c>
      <c r="D1393">
        <v>7.0792999999999999</v>
      </c>
      <c r="E1393" s="1">
        <v>43720</v>
      </c>
      <c r="F1393">
        <v>7.0792999999999999</v>
      </c>
    </row>
    <row r="1394" spans="1:6" x14ac:dyDescent="0.25">
      <c r="A1394" s="1">
        <v>43591</v>
      </c>
      <c r="B1394">
        <v>6.7732999999999999</v>
      </c>
      <c r="C1394" s="1">
        <v>43724</v>
      </c>
      <c r="D1394">
        <v>7.0673000000000004</v>
      </c>
      <c r="E1394" s="1">
        <v>43724</v>
      </c>
      <c r="F1394">
        <v>7.0673000000000004</v>
      </c>
    </row>
    <row r="1395" spans="1:6" x14ac:dyDescent="0.25">
      <c r="A1395" s="1">
        <v>43592</v>
      </c>
      <c r="B1395">
        <v>6.7948000000000004</v>
      </c>
      <c r="C1395" s="1">
        <v>43725</v>
      </c>
      <c r="D1395">
        <v>7.0922000000000001</v>
      </c>
      <c r="E1395" s="1">
        <v>43725</v>
      </c>
      <c r="F1395">
        <v>7.0922000000000001</v>
      </c>
    </row>
    <row r="1396" spans="1:6" x14ac:dyDescent="0.25">
      <c r="A1396" s="1">
        <v>43593</v>
      </c>
      <c r="B1396">
        <v>6.8076999999999996</v>
      </c>
      <c r="C1396" s="1">
        <v>43726</v>
      </c>
      <c r="D1396">
        <v>7.0860000000000003</v>
      </c>
      <c r="E1396" s="1">
        <v>43726</v>
      </c>
      <c r="F1396">
        <v>7.0860000000000003</v>
      </c>
    </row>
    <row r="1397" spans="1:6" x14ac:dyDescent="0.25">
      <c r="A1397" s="1">
        <v>43594</v>
      </c>
      <c r="B1397">
        <v>6.8373999999999997</v>
      </c>
      <c r="C1397" s="1">
        <v>43727</v>
      </c>
      <c r="D1397">
        <v>7.0964999999999998</v>
      </c>
      <c r="E1397" s="1">
        <v>43727</v>
      </c>
      <c r="F1397">
        <v>7.0964999999999998</v>
      </c>
    </row>
    <row r="1398" spans="1:6" x14ac:dyDescent="0.25">
      <c r="A1398" s="1">
        <v>43595</v>
      </c>
      <c r="B1398">
        <v>6.8448000000000002</v>
      </c>
      <c r="C1398" s="1">
        <v>43728</v>
      </c>
      <c r="D1398">
        <v>7.0915999999999997</v>
      </c>
      <c r="E1398" s="1">
        <v>43728</v>
      </c>
      <c r="F1398">
        <v>7.0915999999999997</v>
      </c>
    </row>
    <row r="1399" spans="1:6" x14ac:dyDescent="0.25">
      <c r="A1399" s="1">
        <v>43598</v>
      </c>
      <c r="B1399">
        <v>6.9120999999999997</v>
      </c>
      <c r="C1399" s="1">
        <v>43731</v>
      </c>
      <c r="D1399">
        <v>7.1180000000000003</v>
      </c>
      <c r="E1399" s="1">
        <v>43731</v>
      </c>
      <c r="F1399">
        <v>7.1180000000000003</v>
      </c>
    </row>
    <row r="1400" spans="1:6" x14ac:dyDescent="0.25">
      <c r="A1400" s="1">
        <v>43599</v>
      </c>
      <c r="B1400">
        <v>6.9039000000000001</v>
      </c>
      <c r="C1400" s="1">
        <v>43732</v>
      </c>
      <c r="D1400">
        <v>7.1163999999999996</v>
      </c>
      <c r="E1400" s="1">
        <v>43732</v>
      </c>
      <c r="F1400">
        <v>7.1163999999999996</v>
      </c>
    </row>
    <row r="1401" spans="1:6" x14ac:dyDescent="0.25">
      <c r="A1401" s="1">
        <v>43600</v>
      </c>
      <c r="B1401">
        <v>6.9043999999999999</v>
      </c>
      <c r="C1401" s="1">
        <v>43733</v>
      </c>
      <c r="D1401">
        <v>7.1315</v>
      </c>
      <c r="E1401" s="1">
        <v>43733</v>
      </c>
      <c r="F1401">
        <v>7.1315</v>
      </c>
    </row>
    <row r="1402" spans="1:6" x14ac:dyDescent="0.25">
      <c r="A1402" s="1">
        <v>43601</v>
      </c>
      <c r="B1402">
        <v>6.9286000000000003</v>
      </c>
      <c r="C1402" s="1">
        <v>43734</v>
      </c>
      <c r="D1402">
        <v>7.1326000000000001</v>
      </c>
      <c r="E1402" s="1">
        <v>43734</v>
      </c>
      <c r="F1402">
        <v>7.1326000000000001</v>
      </c>
    </row>
    <row r="1403" spans="1:6" x14ac:dyDescent="0.25">
      <c r="A1403" s="1">
        <v>43602</v>
      </c>
      <c r="B1403">
        <v>6.9490999999999996</v>
      </c>
      <c r="C1403" s="1">
        <v>43735</v>
      </c>
      <c r="D1403">
        <v>7.1227999999999998</v>
      </c>
      <c r="E1403" s="1">
        <v>43735</v>
      </c>
      <c r="F1403">
        <v>7.1227999999999998</v>
      </c>
    </row>
    <row r="1404" spans="1:6" x14ac:dyDescent="0.25">
      <c r="A1404" s="1">
        <v>43605</v>
      </c>
      <c r="B1404">
        <v>6.9398</v>
      </c>
      <c r="C1404" s="1">
        <v>43738</v>
      </c>
      <c r="D1404">
        <v>7.1482999999999999</v>
      </c>
      <c r="E1404" s="1">
        <v>43738</v>
      </c>
      <c r="F1404">
        <v>7.1482999999999999</v>
      </c>
    </row>
    <row r="1405" spans="1:6" x14ac:dyDescent="0.25">
      <c r="A1405" s="1">
        <v>43606</v>
      </c>
      <c r="B1405">
        <v>6.9340000000000002</v>
      </c>
      <c r="C1405" s="1">
        <v>43746</v>
      </c>
      <c r="D1405">
        <v>7.1444000000000001</v>
      </c>
      <c r="E1405" s="1">
        <v>43746</v>
      </c>
      <c r="F1405">
        <v>7.1444000000000001</v>
      </c>
    </row>
    <row r="1406" spans="1:6" x14ac:dyDescent="0.25">
      <c r="A1406" s="1">
        <v>43607</v>
      </c>
      <c r="B1406">
        <v>6.9340999999999999</v>
      </c>
      <c r="C1406" s="1">
        <v>43747</v>
      </c>
      <c r="D1406">
        <v>7.1322000000000001</v>
      </c>
      <c r="E1406" s="1">
        <v>43747</v>
      </c>
      <c r="F1406">
        <v>7.1322000000000001</v>
      </c>
    </row>
    <row r="1407" spans="1:6" x14ac:dyDescent="0.25">
      <c r="A1407" s="1">
        <v>43608</v>
      </c>
      <c r="B1407">
        <v>6.9269999999999996</v>
      </c>
      <c r="C1407" s="1">
        <v>43748</v>
      </c>
      <c r="D1407">
        <v>7.1162999999999998</v>
      </c>
      <c r="E1407" s="1">
        <v>43748</v>
      </c>
      <c r="F1407">
        <v>7.1162999999999998</v>
      </c>
    </row>
    <row r="1408" spans="1:6" x14ac:dyDescent="0.25">
      <c r="A1408" s="1">
        <v>43609</v>
      </c>
      <c r="B1408">
        <v>6.9168000000000003</v>
      </c>
      <c r="C1408" s="1">
        <v>43749</v>
      </c>
      <c r="D1408">
        <v>7.0883000000000003</v>
      </c>
      <c r="E1408" s="1">
        <v>43749</v>
      </c>
      <c r="F1408">
        <v>7.0883000000000003</v>
      </c>
    </row>
    <row r="1409" spans="1:6" x14ac:dyDescent="0.25">
      <c r="A1409" s="1">
        <v>43612</v>
      </c>
      <c r="B1409">
        <v>6.9089</v>
      </c>
      <c r="C1409" s="1">
        <v>43752</v>
      </c>
      <c r="D1409">
        <v>7.0674999999999999</v>
      </c>
      <c r="E1409" s="1">
        <v>43752</v>
      </c>
      <c r="F1409">
        <v>7.0674999999999999</v>
      </c>
    </row>
    <row r="1410" spans="1:6" x14ac:dyDescent="0.25">
      <c r="A1410" s="1">
        <v>43613</v>
      </c>
      <c r="B1410">
        <v>6.9215999999999998</v>
      </c>
      <c r="C1410" s="1">
        <v>43753</v>
      </c>
      <c r="D1410">
        <v>7.0816999999999997</v>
      </c>
      <c r="E1410" s="1">
        <v>43753</v>
      </c>
      <c r="F1410">
        <v>7.0816999999999997</v>
      </c>
    </row>
    <row r="1411" spans="1:6" x14ac:dyDescent="0.25">
      <c r="A1411" s="1">
        <v>43614</v>
      </c>
      <c r="B1411">
        <v>6.9329999999999998</v>
      </c>
      <c r="C1411" s="1">
        <v>43754</v>
      </c>
      <c r="D1411">
        <v>7.0933000000000002</v>
      </c>
      <c r="E1411" s="1">
        <v>43754</v>
      </c>
      <c r="F1411">
        <v>7.0933000000000002</v>
      </c>
    </row>
    <row r="1412" spans="1:6" x14ac:dyDescent="0.25">
      <c r="A1412" s="1">
        <v>43615</v>
      </c>
      <c r="B1412">
        <v>6.9291</v>
      </c>
      <c r="C1412" s="1">
        <v>43755</v>
      </c>
      <c r="D1412">
        <v>7.0774999999999997</v>
      </c>
      <c r="E1412" s="1">
        <v>43755</v>
      </c>
      <c r="F1412">
        <v>7.0774999999999997</v>
      </c>
    </row>
    <row r="1413" spans="1:6" x14ac:dyDescent="0.25">
      <c r="A1413" s="1">
        <v>43616</v>
      </c>
      <c r="B1413">
        <v>6.9367999999999999</v>
      </c>
      <c r="C1413" s="1">
        <v>43756</v>
      </c>
      <c r="D1413">
        <v>7.0816999999999997</v>
      </c>
      <c r="E1413" s="1">
        <v>43756</v>
      </c>
      <c r="F1413">
        <v>7.0816999999999997</v>
      </c>
    </row>
    <row r="1414" spans="1:6" x14ac:dyDescent="0.25">
      <c r="A1414" s="1">
        <v>43619</v>
      </c>
      <c r="B1414">
        <v>6.9219999999999997</v>
      </c>
      <c r="C1414" s="1">
        <v>43759</v>
      </c>
      <c r="D1414">
        <v>7.0759999999999996</v>
      </c>
      <c r="E1414" s="1">
        <v>43759</v>
      </c>
      <c r="F1414">
        <v>7.0759999999999996</v>
      </c>
    </row>
    <row r="1415" spans="1:6" x14ac:dyDescent="0.25">
      <c r="A1415" s="1">
        <v>43620</v>
      </c>
      <c r="B1415">
        <v>6.9244000000000003</v>
      </c>
      <c r="C1415" s="1">
        <v>43760</v>
      </c>
      <c r="D1415">
        <v>7.0769000000000002</v>
      </c>
      <c r="E1415" s="1">
        <v>43760</v>
      </c>
      <c r="F1415">
        <v>7.0769000000000002</v>
      </c>
    </row>
    <row r="1416" spans="1:6" x14ac:dyDescent="0.25">
      <c r="A1416" s="1">
        <v>43621</v>
      </c>
      <c r="B1416">
        <v>6.9282000000000004</v>
      </c>
      <c r="C1416" s="1">
        <v>43761</v>
      </c>
      <c r="D1416">
        <v>7.0650000000000004</v>
      </c>
      <c r="E1416" s="1">
        <v>43761</v>
      </c>
      <c r="F1416">
        <v>7.0650000000000004</v>
      </c>
    </row>
    <row r="1417" spans="1:6" x14ac:dyDescent="0.25">
      <c r="A1417" s="1">
        <v>43622</v>
      </c>
      <c r="B1417">
        <v>6.9272</v>
      </c>
      <c r="C1417" s="1">
        <v>43762</v>
      </c>
      <c r="D1417">
        <v>7.069</v>
      </c>
      <c r="E1417" s="1">
        <v>43762</v>
      </c>
      <c r="F1417">
        <v>7.069</v>
      </c>
    </row>
    <row r="1418" spans="1:6" x14ac:dyDescent="0.25">
      <c r="A1418" s="1">
        <v>43623</v>
      </c>
      <c r="B1418">
        <v>6.9442000000000004</v>
      </c>
      <c r="C1418" s="1">
        <v>43763</v>
      </c>
      <c r="D1418">
        <v>7.0654000000000003</v>
      </c>
      <c r="E1418" s="1">
        <v>43763</v>
      </c>
      <c r="F1418">
        <v>7.0654000000000003</v>
      </c>
    </row>
    <row r="1419" spans="1:6" x14ac:dyDescent="0.25">
      <c r="A1419" s="1">
        <v>43626</v>
      </c>
      <c r="B1419">
        <v>6.9438000000000004</v>
      </c>
      <c r="C1419" s="1">
        <v>43766</v>
      </c>
      <c r="D1419">
        <v>7.0682999999999998</v>
      </c>
      <c r="E1419" s="1">
        <v>43766</v>
      </c>
      <c r="F1419">
        <v>7.0682999999999998</v>
      </c>
    </row>
    <row r="1420" spans="1:6" x14ac:dyDescent="0.25">
      <c r="A1420" s="1">
        <v>43627</v>
      </c>
      <c r="B1420">
        <v>6.9260999999999999</v>
      </c>
      <c r="C1420" s="1">
        <v>43767</v>
      </c>
      <c r="D1420">
        <v>7.0658000000000003</v>
      </c>
      <c r="E1420" s="1">
        <v>43767</v>
      </c>
      <c r="F1420">
        <v>7.0658000000000003</v>
      </c>
    </row>
    <row r="1421" spans="1:6" x14ac:dyDescent="0.25">
      <c r="A1421" s="1">
        <v>43628</v>
      </c>
      <c r="B1421">
        <v>6.9280999999999997</v>
      </c>
      <c r="C1421" s="1">
        <v>43768</v>
      </c>
      <c r="D1421">
        <v>7.0552999999999999</v>
      </c>
      <c r="E1421" s="1">
        <v>43768</v>
      </c>
      <c r="F1421">
        <v>7.0552999999999999</v>
      </c>
    </row>
    <row r="1422" spans="1:6" x14ac:dyDescent="0.25">
      <c r="A1422" s="1">
        <v>43629</v>
      </c>
      <c r="B1422">
        <v>6.9290000000000003</v>
      </c>
      <c r="C1422" s="1">
        <v>43769</v>
      </c>
      <c r="D1422">
        <v>7.0391000000000004</v>
      </c>
      <c r="E1422" s="1">
        <v>43769</v>
      </c>
      <c r="F1422">
        <v>7.0391000000000004</v>
      </c>
    </row>
    <row r="1423" spans="1:6" x14ac:dyDescent="0.25">
      <c r="A1423" s="1">
        <v>43630</v>
      </c>
      <c r="B1423">
        <v>6.9306000000000001</v>
      </c>
      <c r="C1423" s="1">
        <v>43770</v>
      </c>
      <c r="D1423">
        <v>7.0369999999999999</v>
      </c>
      <c r="E1423" s="1">
        <v>43770</v>
      </c>
      <c r="F1423">
        <v>7.0369999999999999</v>
      </c>
    </row>
    <row r="1424" spans="1:6" x14ac:dyDescent="0.25">
      <c r="A1424" s="1">
        <v>43633</v>
      </c>
      <c r="B1424">
        <v>6.9306999999999999</v>
      </c>
      <c r="C1424" s="1">
        <v>43773</v>
      </c>
      <c r="D1424">
        <v>7.0304000000000002</v>
      </c>
      <c r="E1424" s="1">
        <v>43773</v>
      </c>
      <c r="F1424">
        <v>7.0304000000000002</v>
      </c>
    </row>
    <row r="1425" spans="1:6" x14ac:dyDescent="0.25">
      <c r="A1425" s="1">
        <v>43634</v>
      </c>
      <c r="B1425">
        <v>6.9028</v>
      </c>
      <c r="C1425" s="1">
        <v>43774</v>
      </c>
      <c r="D1425">
        <v>7.0096999999999996</v>
      </c>
      <c r="E1425" s="1">
        <v>43774</v>
      </c>
      <c r="F1425">
        <v>7.0096999999999996</v>
      </c>
    </row>
    <row r="1426" spans="1:6" x14ac:dyDescent="0.25">
      <c r="A1426" s="1">
        <v>43635</v>
      </c>
      <c r="B1426">
        <v>6.8945999999999996</v>
      </c>
      <c r="C1426" s="1">
        <v>43775</v>
      </c>
      <c r="D1426">
        <v>6.9981</v>
      </c>
      <c r="E1426" s="1">
        <v>43775</v>
      </c>
      <c r="F1426">
        <v>6.9981</v>
      </c>
    </row>
    <row r="1427" spans="1:6" x14ac:dyDescent="0.25">
      <c r="A1427" s="1">
        <v>43636</v>
      </c>
      <c r="B1427">
        <v>6.8609</v>
      </c>
      <c r="C1427" s="1">
        <v>43776</v>
      </c>
      <c r="D1427">
        <v>6.9783999999999997</v>
      </c>
      <c r="E1427" s="1">
        <v>43776</v>
      </c>
      <c r="F1427">
        <v>6.9783999999999997</v>
      </c>
    </row>
    <row r="1428" spans="1:6" x14ac:dyDescent="0.25">
      <c r="A1428" s="1">
        <v>43637</v>
      </c>
      <c r="B1428">
        <v>6.8653000000000004</v>
      </c>
      <c r="C1428" s="1">
        <v>43777</v>
      </c>
      <c r="D1428">
        <v>6.9958999999999998</v>
      </c>
      <c r="E1428" s="1">
        <v>43777</v>
      </c>
      <c r="F1428">
        <v>6.9958999999999998</v>
      </c>
    </row>
    <row r="1429" spans="1:6" x14ac:dyDescent="0.25">
      <c r="A1429" s="1">
        <v>43640</v>
      </c>
      <c r="B1429">
        <v>6.8764000000000003</v>
      </c>
      <c r="C1429" s="1">
        <v>43780</v>
      </c>
      <c r="D1429">
        <v>7.0103</v>
      </c>
      <c r="E1429" s="1">
        <v>43780</v>
      </c>
      <c r="F1429">
        <v>7.0103</v>
      </c>
    </row>
    <row r="1430" spans="1:6" x14ac:dyDescent="0.25">
      <c r="A1430" s="1">
        <v>43641</v>
      </c>
      <c r="B1430">
        <v>6.8845999999999998</v>
      </c>
      <c r="C1430" s="1">
        <v>43781</v>
      </c>
      <c r="D1430">
        <v>7.0079000000000002</v>
      </c>
      <c r="E1430" s="1">
        <v>43781</v>
      </c>
      <c r="F1430">
        <v>7.0079000000000002</v>
      </c>
    </row>
    <row r="1431" spans="1:6" x14ac:dyDescent="0.25">
      <c r="A1431" s="1">
        <v>43642</v>
      </c>
      <c r="B1431">
        <v>6.8876999999999997</v>
      </c>
      <c r="C1431" s="1">
        <v>43782</v>
      </c>
      <c r="D1431">
        <v>7.0233999999999996</v>
      </c>
      <c r="E1431" s="1">
        <v>43782</v>
      </c>
      <c r="F1431">
        <v>7.0233999999999996</v>
      </c>
    </row>
    <row r="1432" spans="1:6" x14ac:dyDescent="0.25">
      <c r="A1432" s="1">
        <v>43643</v>
      </c>
      <c r="B1432">
        <v>6.8712</v>
      </c>
      <c r="C1432" s="1">
        <v>43783</v>
      </c>
      <c r="D1432">
        <v>7.0208000000000004</v>
      </c>
      <c r="E1432" s="1">
        <v>43783</v>
      </c>
      <c r="F1432">
        <v>7.0208000000000004</v>
      </c>
    </row>
    <row r="1433" spans="1:6" x14ac:dyDescent="0.25">
      <c r="A1433" s="1">
        <v>43644</v>
      </c>
      <c r="B1433">
        <v>6.8678999999999997</v>
      </c>
      <c r="C1433" s="1">
        <v>43784</v>
      </c>
      <c r="D1433">
        <v>7.0080999999999998</v>
      </c>
      <c r="E1433" s="1">
        <v>43784</v>
      </c>
      <c r="F1433">
        <v>7.0080999999999998</v>
      </c>
    </row>
    <row r="1434" spans="1:6" x14ac:dyDescent="0.25">
      <c r="A1434" s="1">
        <v>43647</v>
      </c>
      <c r="B1434">
        <v>6.8578999999999999</v>
      </c>
      <c r="C1434" s="1">
        <v>43787</v>
      </c>
      <c r="D1434">
        <v>7.0260999999999996</v>
      </c>
      <c r="E1434" s="1">
        <v>43787</v>
      </c>
      <c r="F1434">
        <v>7.0260999999999996</v>
      </c>
    </row>
    <row r="1435" spans="1:6" x14ac:dyDescent="0.25">
      <c r="A1435" s="1">
        <v>43648</v>
      </c>
      <c r="B1435">
        <v>6.8875999999999999</v>
      </c>
      <c r="C1435" s="1">
        <v>43788</v>
      </c>
      <c r="D1435">
        <v>7.0275999999999996</v>
      </c>
      <c r="E1435" s="1">
        <v>43788</v>
      </c>
      <c r="F1435">
        <v>7.0275999999999996</v>
      </c>
    </row>
    <row r="1436" spans="1:6" x14ac:dyDescent="0.25">
      <c r="A1436" s="1">
        <v>43649</v>
      </c>
      <c r="B1436">
        <v>6.8849</v>
      </c>
      <c r="C1436" s="1">
        <v>43789</v>
      </c>
      <c r="D1436">
        <v>7.0354000000000001</v>
      </c>
      <c r="E1436" s="1">
        <v>43789</v>
      </c>
      <c r="F1436">
        <v>7.0354000000000001</v>
      </c>
    </row>
    <row r="1437" spans="1:6" x14ac:dyDescent="0.25">
      <c r="A1437" s="1">
        <v>43650</v>
      </c>
      <c r="B1437">
        <v>6.8743999999999996</v>
      </c>
      <c r="C1437" s="1">
        <v>43790</v>
      </c>
      <c r="D1437">
        <v>7.0289000000000001</v>
      </c>
      <c r="E1437" s="1">
        <v>43790</v>
      </c>
      <c r="F1437">
        <v>7.0289000000000001</v>
      </c>
    </row>
    <row r="1438" spans="1:6" x14ac:dyDescent="0.25">
      <c r="A1438" s="1">
        <v>43651</v>
      </c>
      <c r="B1438">
        <v>6.8956</v>
      </c>
      <c r="C1438" s="1">
        <v>43791</v>
      </c>
      <c r="D1438">
        <v>7.0382999999999996</v>
      </c>
      <c r="E1438" s="1">
        <v>43791</v>
      </c>
      <c r="F1438">
        <v>7.0382999999999996</v>
      </c>
    </row>
    <row r="1439" spans="1:6" x14ac:dyDescent="0.25">
      <c r="A1439" s="1">
        <v>43654</v>
      </c>
      <c r="B1439">
        <v>6.8891</v>
      </c>
      <c r="C1439" s="1">
        <v>43794</v>
      </c>
      <c r="D1439">
        <v>7.0364000000000004</v>
      </c>
      <c r="E1439" s="1">
        <v>43794</v>
      </c>
      <c r="F1439">
        <v>7.0364000000000004</v>
      </c>
    </row>
    <row r="1440" spans="1:6" x14ac:dyDescent="0.25">
      <c r="A1440" s="1">
        <v>43655</v>
      </c>
      <c r="B1440">
        <v>6.8956999999999997</v>
      </c>
      <c r="C1440" s="1">
        <v>43795</v>
      </c>
      <c r="D1440">
        <v>7.0335999999999999</v>
      </c>
      <c r="E1440" s="1">
        <v>43795</v>
      </c>
      <c r="F1440">
        <v>7.0335999999999999</v>
      </c>
    </row>
    <row r="1441" spans="1:6" x14ac:dyDescent="0.25">
      <c r="A1441" s="1">
        <v>43656</v>
      </c>
      <c r="B1441">
        <v>6.8724999999999996</v>
      </c>
      <c r="C1441" s="1">
        <v>43796</v>
      </c>
      <c r="D1441">
        <v>7.0289999999999999</v>
      </c>
      <c r="E1441" s="1">
        <v>43796</v>
      </c>
      <c r="F1441">
        <v>7.0289999999999999</v>
      </c>
    </row>
    <row r="1442" spans="1:6" x14ac:dyDescent="0.25">
      <c r="A1442" s="1">
        <v>43657</v>
      </c>
      <c r="B1442">
        <v>6.8764000000000003</v>
      </c>
      <c r="C1442" s="1">
        <v>43797</v>
      </c>
      <c r="D1442">
        <v>7.0353000000000003</v>
      </c>
      <c r="E1442" s="1">
        <v>43797</v>
      </c>
      <c r="F1442">
        <v>7.0353000000000003</v>
      </c>
    </row>
    <row r="1443" spans="1:6" x14ac:dyDescent="0.25">
      <c r="A1443" s="1">
        <v>43658</v>
      </c>
      <c r="B1443">
        <v>6.8789999999999996</v>
      </c>
      <c r="C1443" s="1">
        <v>43798</v>
      </c>
      <c r="D1443">
        <v>7.0324</v>
      </c>
      <c r="E1443" s="1">
        <v>43798</v>
      </c>
      <c r="F1443">
        <v>7.0324</v>
      </c>
    </row>
    <row r="1444" spans="1:6" x14ac:dyDescent="0.25">
      <c r="A1444" s="1">
        <v>43661</v>
      </c>
      <c r="B1444">
        <v>6.8735999999999997</v>
      </c>
      <c r="C1444" s="1">
        <v>43801</v>
      </c>
      <c r="D1444">
        <v>7.0392999999999999</v>
      </c>
      <c r="E1444" s="1">
        <v>43801</v>
      </c>
      <c r="F1444">
        <v>7.0392999999999999</v>
      </c>
    </row>
    <row r="1445" spans="1:6" x14ac:dyDescent="0.25">
      <c r="A1445" s="1">
        <v>43662</v>
      </c>
      <c r="B1445">
        <v>6.8814000000000002</v>
      </c>
      <c r="C1445" s="1">
        <v>43802</v>
      </c>
      <c r="D1445">
        <v>7.0613000000000001</v>
      </c>
      <c r="E1445" s="1">
        <v>43802</v>
      </c>
      <c r="F1445">
        <v>7.0613000000000001</v>
      </c>
    </row>
    <row r="1446" spans="1:6" x14ac:dyDescent="0.25">
      <c r="A1446" s="1">
        <v>43663</v>
      </c>
      <c r="B1446">
        <v>6.8773</v>
      </c>
      <c r="C1446" s="1">
        <v>43803</v>
      </c>
      <c r="D1446">
        <v>7.0499000000000001</v>
      </c>
      <c r="E1446" s="1">
        <v>43803</v>
      </c>
      <c r="F1446">
        <v>7.0499000000000001</v>
      </c>
    </row>
    <row r="1447" spans="1:6" x14ac:dyDescent="0.25">
      <c r="A1447" s="1">
        <v>43664</v>
      </c>
      <c r="B1447">
        <v>6.8741000000000003</v>
      </c>
      <c r="C1447" s="1">
        <v>43804</v>
      </c>
      <c r="D1447">
        <v>7.0448000000000004</v>
      </c>
      <c r="E1447" s="1">
        <v>43804</v>
      </c>
      <c r="F1447">
        <v>7.0448000000000004</v>
      </c>
    </row>
    <row r="1448" spans="1:6" x14ac:dyDescent="0.25">
      <c r="A1448" s="1">
        <v>43665</v>
      </c>
      <c r="B1448">
        <v>6.8834</v>
      </c>
      <c r="C1448" s="1">
        <v>43805</v>
      </c>
      <c r="D1448">
        <v>7.0350000000000001</v>
      </c>
      <c r="E1448" s="1">
        <v>43805</v>
      </c>
      <c r="F1448">
        <v>7.0350000000000001</v>
      </c>
    </row>
    <row r="1449" spans="1:6" x14ac:dyDescent="0.25">
      <c r="A1449" s="1">
        <v>43668</v>
      </c>
      <c r="B1449">
        <v>6.8840000000000003</v>
      </c>
      <c r="C1449" s="1">
        <v>43808</v>
      </c>
      <c r="D1449">
        <v>7.0392000000000001</v>
      </c>
      <c r="E1449" s="1">
        <v>43808</v>
      </c>
      <c r="F1449">
        <v>7.0392000000000001</v>
      </c>
    </row>
    <row r="1450" spans="1:6" x14ac:dyDescent="0.25">
      <c r="A1450" s="1">
        <v>43669</v>
      </c>
      <c r="B1450">
        <v>6.8849</v>
      </c>
      <c r="C1450" s="1">
        <v>43809</v>
      </c>
      <c r="D1450">
        <v>7.0342000000000002</v>
      </c>
      <c r="E1450" s="1">
        <v>43809</v>
      </c>
      <c r="F1450">
        <v>7.0342000000000002</v>
      </c>
    </row>
    <row r="1451" spans="1:6" x14ac:dyDescent="0.25">
      <c r="A1451" s="1">
        <v>43670</v>
      </c>
      <c r="B1451">
        <v>6.8761000000000001</v>
      </c>
      <c r="C1451" s="1">
        <v>43810</v>
      </c>
      <c r="D1451">
        <v>7.0388000000000002</v>
      </c>
      <c r="E1451" s="1">
        <v>43810</v>
      </c>
      <c r="F1451">
        <v>7.0388000000000002</v>
      </c>
    </row>
    <row r="1452" spans="1:6" x14ac:dyDescent="0.25">
      <c r="A1452" s="1">
        <v>43671</v>
      </c>
      <c r="B1452">
        <v>6.8734000000000002</v>
      </c>
      <c r="C1452" s="1">
        <v>43811</v>
      </c>
      <c r="D1452">
        <v>6.9848999999999997</v>
      </c>
      <c r="E1452" s="1">
        <v>43811</v>
      </c>
      <c r="F1452">
        <v>6.9848999999999997</v>
      </c>
    </row>
    <row r="1453" spans="1:6" x14ac:dyDescent="0.25">
      <c r="A1453" s="1">
        <v>43672</v>
      </c>
      <c r="B1453">
        <v>6.8806000000000003</v>
      </c>
      <c r="C1453" s="1">
        <v>43812</v>
      </c>
      <c r="D1453">
        <v>6.9763000000000002</v>
      </c>
      <c r="E1453" s="1">
        <v>43812</v>
      </c>
      <c r="F1453">
        <v>6.9763000000000002</v>
      </c>
    </row>
    <row r="1454" spans="1:6" x14ac:dyDescent="0.25">
      <c r="A1454" s="1">
        <v>43675</v>
      </c>
      <c r="B1454">
        <v>6.8925999999999998</v>
      </c>
      <c r="C1454" s="1">
        <v>43815</v>
      </c>
      <c r="D1454">
        <v>6.9935</v>
      </c>
      <c r="E1454" s="1">
        <v>43815</v>
      </c>
      <c r="F1454">
        <v>6.9935</v>
      </c>
    </row>
    <row r="1455" spans="1:6" x14ac:dyDescent="0.25">
      <c r="A1455" s="1">
        <v>43676</v>
      </c>
      <c r="B1455">
        <v>6.8895</v>
      </c>
      <c r="C1455" s="1">
        <v>43816</v>
      </c>
      <c r="D1455">
        <v>6.9972000000000003</v>
      </c>
      <c r="E1455" s="1">
        <v>43816</v>
      </c>
      <c r="F1455">
        <v>6.9972000000000003</v>
      </c>
    </row>
    <row r="1456" spans="1:6" x14ac:dyDescent="0.25">
      <c r="A1456" s="1">
        <v>43677</v>
      </c>
      <c r="B1456">
        <v>6.9099000000000004</v>
      </c>
      <c r="C1456" s="1">
        <v>43817</v>
      </c>
      <c r="D1456">
        <v>7.0049999999999999</v>
      </c>
      <c r="E1456" s="1">
        <v>43817</v>
      </c>
      <c r="F1456">
        <v>7.0049999999999999</v>
      </c>
    </row>
    <row r="1457" spans="1:6" x14ac:dyDescent="0.25">
      <c r="A1457" s="1">
        <v>43678</v>
      </c>
      <c r="B1457">
        <v>6.9545000000000003</v>
      </c>
      <c r="C1457" s="1">
        <v>43818</v>
      </c>
      <c r="D1457">
        <v>7.0103999999999997</v>
      </c>
      <c r="E1457" s="1">
        <v>43818</v>
      </c>
      <c r="F1457">
        <v>7.0103999999999997</v>
      </c>
    </row>
    <row r="1458" spans="1:6" x14ac:dyDescent="0.25">
      <c r="A1458" s="1">
        <v>43679</v>
      </c>
      <c r="B1458">
        <v>6.976</v>
      </c>
      <c r="C1458" s="1">
        <v>43819</v>
      </c>
      <c r="D1458">
        <v>7.0065999999999997</v>
      </c>
      <c r="E1458" s="1">
        <v>43819</v>
      </c>
      <c r="F1458">
        <v>7.0065999999999997</v>
      </c>
    </row>
    <row r="1459" spans="1:6" x14ac:dyDescent="0.25">
      <c r="A1459" s="1">
        <v>43682</v>
      </c>
      <c r="B1459">
        <v>7.0987</v>
      </c>
      <c r="C1459" s="1">
        <v>43822</v>
      </c>
      <c r="D1459">
        <v>7.0128000000000004</v>
      </c>
      <c r="E1459" s="1">
        <v>43822</v>
      </c>
      <c r="F1459">
        <v>7.0128000000000004</v>
      </c>
    </row>
    <row r="1460" spans="1:6" x14ac:dyDescent="0.25">
      <c r="A1460" s="1">
        <v>43683</v>
      </c>
      <c r="B1460">
        <v>7.0537999999999998</v>
      </c>
      <c r="C1460" s="1">
        <v>43823</v>
      </c>
      <c r="D1460">
        <v>7.0072999999999999</v>
      </c>
      <c r="E1460" s="1">
        <v>43823</v>
      </c>
      <c r="F1460">
        <v>7.0072999999999999</v>
      </c>
    </row>
    <row r="1461" spans="1:6" x14ac:dyDescent="0.25">
      <c r="A1461" s="1">
        <v>43684</v>
      </c>
      <c r="B1461">
        <v>7.0858999999999996</v>
      </c>
      <c r="C1461" s="1">
        <v>43824</v>
      </c>
      <c r="D1461">
        <v>6.9893999999999998</v>
      </c>
      <c r="E1461" s="1">
        <v>43824</v>
      </c>
      <c r="F1461">
        <v>6.9893999999999998</v>
      </c>
    </row>
    <row r="1462" spans="1:6" x14ac:dyDescent="0.25">
      <c r="A1462" s="1">
        <v>43685</v>
      </c>
      <c r="B1462">
        <v>7.0766</v>
      </c>
      <c r="C1462" s="1">
        <v>43825</v>
      </c>
      <c r="D1462">
        <v>6.9965000000000002</v>
      </c>
      <c r="E1462" s="1">
        <v>43825</v>
      </c>
      <c r="F1462">
        <v>6.9965000000000002</v>
      </c>
    </row>
    <row r="1463" spans="1:6" x14ac:dyDescent="0.25">
      <c r="A1463" s="1">
        <v>43686</v>
      </c>
      <c r="B1463">
        <v>7.0983999999999998</v>
      </c>
      <c r="C1463" s="1">
        <v>43826</v>
      </c>
      <c r="D1463">
        <v>6.9957000000000003</v>
      </c>
      <c r="E1463" s="1">
        <v>43826</v>
      </c>
      <c r="F1463">
        <v>6.9957000000000003</v>
      </c>
    </row>
    <row r="1464" spans="1:6" x14ac:dyDescent="0.25">
      <c r="A1464" s="1">
        <v>43689</v>
      </c>
      <c r="B1464">
        <v>7.1029999999999998</v>
      </c>
      <c r="C1464" s="1">
        <v>43829</v>
      </c>
      <c r="D1464">
        <v>6.9867999999999997</v>
      </c>
      <c r="E1464" s="1">
        <v>43829</v>
      </c>
      <c r="F1464">
        <v>6.9867999999999997</v>
      </c>
    </row>
    <row r="1465" spans="1:6" x14ac:dyDescent="0.25">
      <c r="A1465" s="1">
        <v>43690</v>
      </c>
      <c r="B1465">
        <v>7.0125999999999999</v>
      </c>
      <c r="C1465" s="1">
        <v>43830</v>
      </c>
      <c r="D1465">
        <v>6.9631999999999996</v>
      </c>
      <c r="E1465" s="1">
        <v>43830</v>
      </c>
      <c r="F1465">
        <v>6.9631999999999996</v>
      </c>
    </row>
    <row r="1466" spans="1:6" x14ac:dyDescent="0.25">
      <c r="A1466" s="1">
        <v>43691</v>
      </c>
      <c r="B1466">
        <v>7.0533000000000001</v>
      </c>
      <c r="C1466" s="1">
        <v>43832</v>
      </c>
      <c r="D1466">
        <v>6.9642999999999997</v>
      </c>
      <c r="E1466" s="1">
        <v>43832</v>
      </c>
      <c r="F1466">
        <v>6.9642999999999997</v>
      </c>
    </row>
    <row r="1467" spans="1:6" x14ac:dyDescent="0.25">
      <c r="A1467" s="1">
        <v>43692</v>
      </c>
      <c r="B1467">
        <v>7.0494000000000003</v>
      </c>
      <c r="C1467" s="1">
        <v>43833</v>
      </c>
      <c r="D1467">
        <v>6.9660000000000002</v>
      </c>
      <c r="E1467" s="1">
        <v>43833</v>
      </c>
      <c r="F1467">
        <v>6.9660000000000002</v>
      </c>
    </row>
    <row r="1468" spans="1:6" x14ac:dyDescent="0.25">
      <c r="A1468" s="1">
        <v>43693</v>
      </c>
      <c r="B1468">
        <v>7.0446</v>
      </c>
      <c r="C1468" s="1">
        <v>43836</v>
      </c>
      <c r="D1468">
        <v>6.976</v>
      </c>
      <c r="E1468" s="1">
        <v>43836</v>
      </c>
      <c r="F1468">
        <v>6.976</v>
      </c>
    </row>
    <row r="1469" spans="1:6" x14ac:dyDescent="0.25">
      <c r="A1469" s="1">
        <v>43696</v>
      </c>
      <c r="B1469">
        <v>7.0720999999999998</v>
      </c>
      <c r="C1469" s="1">
        <v>43837</v>
      </c>
      <c r="D1469">
        <v>6.9452999999999996</v>
      </c>
      <c r="E1469" s="1">
        <v>43837</v>
      </c>
      <c r="F1469">
        <v>6.9452999999999996</v>
      </c>
    </row>
    <row r="1470" spans="1:6" x14ac:dyDescent="0.25">
      <c r="A1470" s="1">
        <v>43697</v>
      </c>
      <c r="B1470">
        <v>7.0709</v>
      </c>
      <c r="C1470" s="1">
        <v>43838</v>
      </c>
      <c r="D1470">
        <v>6.9462000000000002</v>
      </c>
      <c r="E1470" s="1">
        <v>43838</v>
      </c>
      <c r="F1470">
        <v>6.9462000000000002</v>
      </c>
    </row>
    <row r="1471" spans="1:6" x14ac:dyDescent="0.25">
      <c r="A1471" s="1">
        <v>43698</v>
      </c>
      <c r="B1471">
        <v>7.0671999999999997</v>
      </c>
      <c r="C1471" s="1">
        <v>43839</v>
      </c>
      <c r="D1471">
        <v>6.9318</v>
      </c>
      <c r="E1471" s="1">
        <v>43839</v>
      </c>
      <c r="F1471">
        <v>6.9318</v>
      </c>
    </row>
    <row r="1472" spans="1:6" x14ac:dyDescent="0.25">
      <c r="A1472" s="1">
        <v>43699</v>
      </c>
      <c r="B1472">
        <v>7.0894000000000004</v>
      </c>
      <c r="C1472" s="1">
        <v>43840</v>
      </c>
      <c r="D1472">
        <v>6.9192999999999998</v>
      </c>
      <c r="E1472" s="1">
        <v>43840</v>
      </c>
      <c r="F1472">
        <v>6.9192999999999998</v>
      </c>
    </row>
    <row r="1473" spans="1:6" x14ac:dyDescent="0.25">
      <c r="A1473" s="1">
        <v>43700</v>
      </c>
      <c r="B1473">
        <v>7.1315</v>
      </c>
      <c r="C1473" s="1">
        <v>43843</v>
      </c>
      <c r="D1473">
        <v>6.8932000000000002</v>
      </c>
      <c r="E1473" s="1">
        <v>43843</v>
      </c>
      <c r="F1473">
        <v>6.8932000000000002</v>
      </c>
    </row>
    <row r="1474" spans="1:6" x14ac:dyDescent="0.25">
      <c r="A1474" s="1">
        <v>43703</v>
      </c>
      <c r="B1474">
        <v>7.1665999999999999</v>
      </c>
      <c r="C1474" s="1">
        <v>43844</v>
      </c>
      <c r="D1474">
        <v>6.8841999999999999</v>
      </c>
      <c r="E1474" s="1">
        <v>43844</v>
      </c>
      <c r="F1474">
        <v>6.8841999999999999</v>
      </c>
    </row>
    <row r="1475" spans="1:6" x14ac:dyDescent="0.25">
      <c r="A1475" s="1">
        <v>43704</v>
      </c>
      <c r="B1475">
        <v>7.1665999999999999</v>
      </c>
      <c r="C1475" s="1">
        <v>43845</v>
      </c>
      <c r="D1475">
        <v>6.8909000000000002</v>
      </c>
      <c r="E1475" s="1">
        <v>43845</v>
      </c>
      <c r="F1475">
        <v>6.8909000000000002</v>
      </c>
    </row>
    <row r="1476" spans="1:6" x14ac:dyDescent="0.25">
      <c r="A1476" s="1">
        <v>43705</v>
      </c>
      <c r="B1476">
        <v>7.1691000000000003</v>
      </c>
      <c r="C1476" s="1">
        <v>43846</v>
      </c>
      <c r="D1476">
        <v>6.8788999999999998</v>
      </c>
      <c r="E1476" s="1">
        <v>43846</v>
      </c>
      <c r="F1476">
        <v>6.8788999999999998</v>
      </c>
    </row>
    <row r="1477" spans="1:6" x14ac:dyDescent="0.25">
      <c r="A1477" s="1">
        <v>43706</v>
      </c>
      <c r="B1477">
        <v>7.1439000000000004</v>
      </c>
      <c r="C1477" s="1">
        <v>43847</v>
      </c>
      <c r="D1477">
        <v>6.8597000000000001</v>
      </c>
      <c r="E1477" s="1">
        <v>43847</v>
      </c>
      <c r="F1477">
        <v>6.8597000000000001</v>
      </c>
    </row>
    <row r="1478" spans="1:6" x14ac:dyDescent="0.25">
      <c r="A1478" s="1">
        <v>43707</v>
      </c>
      <c r="B1478">
        <v>7.1623000000000001</v>
      </c>
      <c r="C1478" s="1">
        <v>43850</v>
      </c>
      <c r="D1478">
        <v>6.8667999999999996</v>
      </c>
      <c r="E1478" s="1">
        <v>43850</v>
      </c>
      <c r="F1478">
        <v>6.8667999999999996</v>
      </c>
    </row>
    <row r="1479" spans="1:6" x14ac:dyDescent="0.25">
      <c r="A1479" s="1">
        <v>43710</v>
      </c>
      <c r="B1479">
        <v>7.194</v>
      </c>
      <c r="C1479" s="1">
        <v>43851</v>
      </c>
      <c r="D1479">
        <v>6.9058000000000002</v>
      </c>
      <c r="E1479" s="1">
        <v>43851</v>
      </c>
      <c r="F1479">
        <v>6.9058000000000002</v>
      </c>
    </row>
    <row r="1480" spans="1:6" x14ac:dyDescent="0.25">
      <c r="A1480" s="1">
        <v>43711</v>
      </c>
      <c r="B1480">
        <v>7.1779999999999999</v>
      </c>
      <c r="C1480" s="1">
        <v>43852</v>
      </c>
      <c r="D1480">
        <v>6.9066000000000001</v>
      </c>
      <c r="E1480" s="1">
        <v>43852</v>
      </c>
      <c r="F1480">
        <v>6.9066000000000001</v>
      </c>
    </row>
    <row r="1481" spans="1:6" x14ac:dyDescent="0.25">
      <c r="A1481" s="1">
        <v>43712</v>
      </c>
      <c r="B1481">
        <v>7.1471</v>
      </c>
      <c r="C1481" s="1">
        <v>43853</v>
      </c>
      <c r="D1481">
        <v>6.9425999999999997</v>
      </c>
      <c r="E1481" s="1">
        <v>43853</v>
      </c>
      <c r="F1481">
        <v>6.9425999999999997</v>
      </c>
    </row>
    <row r="1482" spans="1:6" x14ac:dyDescent="0.25">
      <c r="A1482" s="1">
        <v>43713</v>
      </c>
      <c r="B1482">
        <v>7.1378000000000004</v>
      </c>
      <c r="C1482" s="1">
        <v>43864</v>
      </c>
      <c r="D1482">
        <v>7.0214999999999996</v>
      </c>
      <c r="E1482" s="1">
        <v>43864</v>
      </c>
      <c r="F1482">
        <v>7.0214999999999996</v>
      </c>
    </row>
    <row r="1483" spans="1:6" x14ac:dyDescent="0.25">
      <c r="A1483" s="1">
        <v>43714</v>
      </c>
      <c r="B1483">
        <v>7.1063999999999998</v>
      </c>
      <c r="C1483" s="1">
        <v>43865</v>
      </c>
      <c r="D1483">
        <v>6.9984999999999999</v>
      </c>
      <c r="E1483" s="1">
        <v>43865</v>
      </c>
      <c r="F1483">
        <v>6.9984999999999999</v>
      </c>
    </row>
    <row r="1484" spans="1:6" x14ac:dyDescent="0.25">
      <c r="A1484" s="1">
        <v>43717</v>
      </c>
      <c r="B1484">
        <v>7.1177999999999999</v>
      </c>
      <c r="C1484" s="1">
        <v>43866</v>
      </c>
      <c r="D1484">
        <v>6.9714</v>
      </c>
      <c r="E1484" s="1">
        <v>43866</v>
      </c>
      <c r="F1484">
        <v>6.9714</v>
      </c>
    </row>
    <row r="1485" spans="1:6" x14ac:dyDescent="0.25">
      <c r="A1485" s="1">
        <v>43718</v>
      </c>
      <c r="B1485">
        <v>7.1093999999999999</v>
      </c>
      <c r="C1485" s="1">
        <v>43867</v>
      </c>
      <c r="D1485">
        <v>6.9706999999999999</v>
      </c>
      <c r="E1485" s="1">
        <v>43867</v>
      </c>
      <c r="F1485">
        <v>6.9706999999999999</v>
      </c>
    </row>
    <row r="1486" spans="1:6" x14ac:dyDescent="0.25">
      <c r="A1486" s="1">
        <v>43719</v>
      </c>
      <c r="B1486">
        <v>7.1086</v>
      </c>
      <c r="C1486" s="1">
        <v>43868</v>
      </c>
      <c r="D1486">
        <v>7.0025000000000004</v>
      </c>
      <c r="E1486" s="1">
        <v>43868</v>
      </c>
      <c r="F1486">
        <v>7.0025000000000004</v>
      </c>
    </row>
    <row r="1487" spans="1:6" x14ac:dyDescent="0.25">
      <c r="A1487" s="1">
        <v>43720</v>
      </c>
      <c r="B1487">
        <v>7.0685000000000002</v>
      </c>
      <c r="C1487" s="1">
        <v>43871</v>
      </c>
      <c r="D1487">
        <v>6.9843999999999999</v>
      </c>
      <c r="E1487" s="1">
        <v>43871</v>
      </c>
      <c r="F1487">
        <v>6.9843999999999999</v>
      </c>
    </row>
    <row r="1488" spans="1:6" x14ac:dyDescent="0.25">
      <c r="A1488" s="1">
        <v>43721</v>
      </c>
      <c r="B1488">
        <v>7.0467000000000004</v>
      </c>
      <c r="C1488" s="1">
        <v>43872</v>
      </c>
      <c r="D1488">
        <v>6.9653</v>
      </c>
      <c r="E1488" s="1">
        <v>43872</v>
      </c>
      <c r="F1488">
        <v>6.9653</v>
      </c>
    </row>
    <row r="1489" spans="1:6" x14ac:dyDescent="0.25">
      <c r="A1489" s="1">
        <v>43724</v>
      </c>
      <c r="B1489">
        <v>7.0621</v>
      </c>
      <c r="C1489" s="1">
        <v>43873</v>
      </c>
      <c r="D1489">
        <v>6.9714</v>
      </c>
      <c r="E1489" s="1">
        <v>43873</v>
      </c>
      <c r="F1489">
        <v>6.9714</v>
      </c>
    </row>
    <row r="1490" spans="1:6" x14ac:dyDescent="0.25">
      <c r="A1490" s="1">
        <v>43725</v>
      </c>
      <c r="B1490">
        <v>7.0857999999999999</v>
      </c>
      <c r="C1490" s="1">
        <v>43874</v>
      </c>
      <c r="D1490">
        <v>6.9770000000000003</v>
      </c>
      <c r="E1490" s="1">
        <v>43874</v>
      </c>
      <c r="F1490">
        <v>6.9770000000000003</v>
      </c>
    </row>
    <row r="1491" spans="1:6" x14ac:dyDescent="0.25">
      <c r="A1491" s="1">
        <v>43726</v>
      </c>
      <c r="B1491">
        <v>7.0833000000000004</v>
      </c>
      <c r="C1491" s="1">
        <v>43875</v>
      </c>
      <c r="D1491">
        <v>6.9871999999999996</v>
      </c>
      <c r="E1491" s="1">
        <v>43875</v>
      </c>
      <c r="F1491">
        <v>6.9871999999999996</v>
      </c>
    </row>
    <row r="1492" spans="1:6" x14ac:dyDescent="0.25">
      <c r="A1492" s="1">
        <v>43727</v>
      </c>
      <c r="B1492">
        <v>7.1028000000000002</v>
      </c>
      <c r="C1492" s="1">
        <v>43878</v>
      </c>
      <c r="D1492">
        <v>6.9813000000000001</v>
      </c>
      <c r="E1492" s="1">
        <v>43878</v>
      </c>
      <c r="F1492">
        <v>6.9813000000000001</v>
      </c>
    </row>
    <row r="1493" spans="1:6" x14ac:dyDescent="0.25">
      <c r="A1493" s="1">
        <v>43728</v>
      </c>
      <c r="B1493">
        <v>7.1242999999999999</v>
      </c>
      <c r="C1493" s="1">
        <v>43879</v>
      </c>
      <c r="D1493">
        <v>6.9966999999999997</v>
      </c>
      <c r="E1493" s="1">
        <v>43879</v>
      </c>
      <c r="F1493">
        <v>6.9966999999999997</v>
      </c>
    </row>
    <row r="1494" spans="1:6" x14ac:dyDescent="0.25">
      <c r="A1494" s="1">
        <v>43731</v>
      </c>
      <c r="B1494">
        <v>7.1097999999999999</v>
      </c>
      <c r="C1494" s="1">
        <v>43880</v>
      </c>
      <c r="D1494">
        <v>6.9983000000000004</v>
      </c>
      <c r="E1494" s="1">
        <v>43880</v>
      </c>
      <c r="F1494">
        <v>6.9983000000000004</v>
      </c>
    </row>
    <row r="1495" spans="1:6" x14ac:dyDescent="0.25">
      <c r="A1495" s="1">
        <v>43732</v>
      </c>
      <c r="B1495">
        <v>7.1060999999999996</v>
      </c>
      <c r="C1495" s="1">
        <v>43881</v>
      </c>
      <c r="D1495">
        <v>7.0237999999999996</v>
      </c>
      <c r="E1495" s="1">
        <v>43881</v>
      </c>
      <c r="F1495">
        <v>7.0237999999999996</v>
      </c>
    </row>
    <row r="1496" spans="1:6" x14ac:dyDescent="0.25">
      <c r="A1496" s="1">
        <v>43733</v>
      </c>
      <c r="B1496">
        <v>7.1272000000000002</v>
      </c>
      <c r="C1496" s="1">
        <v>43882</v>
      </c>
      <c r="D1496">
        <v>7.0278</v>
      </c>
      <c r="E1496" s="1">
        <v>43882</v>
      </c>
      <c r="F1496">
        <v>7.0278</v>
      </c>
    </row>
    <row r="1497" spans="1:6" x14ac:dyDescent="0.25">
      <c r="A1497" s="1">
        <v>43734</v>
      </c>
      <c r="B1497">
        <v>7.1245000000000003</v>
      </c>
      <c r="C1497" s="1">
        <v>43885</v>
      </c>
      <c r="D1497">
        <v>7.0304000000000002</v>
      </c>
      <c r="E1497" s="1">
        <v>43885</v>
      </c>
      <c r="F1497">
        <v>7.0304000000000002</v>
      </c>
    </row>
    <row r="1498" spans="1:6" x14ac:dyDescent="0.25">
      <c r="A1498" s="1">
        <v>43735</v>
      </c>
      <c r="B1498">
        <v>7.1382000000000003</v>
      </c>
      <c r="C1498" s="1">
        <v>43886</v>
      </c>
      <c r="D1498">
        <v>7.0134999999999996</v>
      </c>
      <c r="E1498" s="1">
        <v>43886</v>
      </c>
      <c r="F1498">
        <v>7.0134999999999996</v>
      </c>
    </row>
    <row r="1499" spans="1:6" x14ac:dyDescent="0.25">
      <c r="A1499" s="1">
        <v>43738</v>
      </c>
      <c r="B1499">
        <v>7.1413000000000002</v>
      </c>
      <c r="C1499" s="1">
        <v>43887</v>
      </c>
      <c r="D1499">
        <v>7.0228999999999999</v>
      </c>
      <c r="E1499" s="1">
        <v>43887</v>
      </c>
      <c r="F1499">
        <v>7.0228999999999999</v>
      </c>
    </row>
    <row r="1500" spans="1:6" x14ac:dyDescent="0.25">
      <c r="A1500" s="1">
        <v>43739</v>
      </c>
      <c r="B1500">
        <v>7.1470000000000002</v>
      </c>
      <c r="C1500" s="1">
        <v>43888</v>
      </c>
      <c r="D1500">
        <v>7.0044000000000004</v>
      </c>
      <c r="E1500" s="1">
        <v>43888</v>
      </c>
      <c r="F1500">
        <v>7.0044000000000004</v>
      </c>
    </row>
    <row r="1501" spans="1:6" x14ac:dyDescent="0.25">
      <c r="A1501" s="1">
        <v>43740</v>
      </c>
      <c r="B1501">
        <v>7.1482999999999999</v>
      </c>
      <c r="C1501" s="1">
        <v>43889</v>
      </c>
      <c r="D1501">
        <v>6.992</v>
      </c>
      <c r="E1501" s="1">
        <v>43889</v>
      </c>
      <c r="F1501">
        <v>6.992</v>
      </c>
    </row>
    <row r="1502" spans="1:6" x14ac:dyDescent="0.25">
      <c r="A1502" s="1">
        <v>43741</v>
      </c>
      <c r="B1502">
        <v>7.1284000000000001</v>
      </c>
      <c r="C1502" s="1">
        <v>43892</v>
      </c>
      <c r="D1502">
        <v>6.9608999999999996</v>
      </c>
      <c r="E1502" s="1">
        <v>43892</v>
      </c>
      <c r="F1502">
        <v>6.9608999999999996</v>
      </c>
    </row>
    <row r="1503" spans="1:6" x14ac:dyDescent="0.25">
      <c r="A1503" s="1">
        <v>43742</v>
      </c>
      <c r="B1503">
        <v>7.1125999999999996</v>
      </c>
      <c r="C1503" s="1">
        <v>43893</v>
      </c>
      <c r="D1503">
        <v>6.9676</v>
      </c>
      <c r="E1503" s="1">
        <v>43893</v>
      </c>
      <c r="F1503">
        <v>6.9676</v>
      </c>
    </row>
    <row r="1504" spans="1:6" x14ac:dyDescent="0.25">
      <c r="A1504" s="1">
        <v>43745</v>
      </c>
      <c r="B1504">
        <v>7.1345000000000001</v>
      </c>
      <c r="C1504" s="1">
        <v>43894</v>
      </c>
      <c r="D1504">
        <v>6.9245000000000001</v>
      </c>
      <c r="E1504" s="1">
        <v>43894</v>
      </c>
      <c r="F1504">
        <v>6.9245000000000001</v>
      </c>
    </row>
    <row r="1505" spans="1:6" x14ac:dyDescent="0.25">
      <c r="A1505" s="1">
        <v>43746</v>
      </c>
      <c r="B1505">
        <v>7.1642000000000001</v>
      </c>
      <c r="C1505" s="1">
        <v>43895</v>
      </c>
      <c r="D1505">
        <v>6.9360999999999997</v>
      </c>
      <c r="E1505" s="1">
        <v>43895</v>
      </c>
      <c r="F1505">
        <v>6.9360999999999997</v>
      </c>
    </row>
    <row r="1506" spans="1:6" x14ac:dyDescent="0.25">
      <c r="A1506" s="1">
        <v>43747</v>
      </c>
      <c r="B1506">
        <v>7.1379999999999999</v>
      </c>
      <c r="C1506" s="1">
        <v>43896</v>
      </c>
      <c r="D1506">
        <v>6.9314</v>
      </c>
      <c r="E1506" s="1">
        <v>43896</v>
      </c>
      <c r="F1506">
        <v>6.9314</v>
      </c>
    </row>
    <row r="1507" spans="1:6" x14ac:dyDescent="0.25">
      <c r="A1507" s="1">
        <v>43748</v>
      </c>
      <c r="B1507">
        <v>7.1043000000000003</v>
      </c>
      <c r="C1507" s="1">
        <v>43899</v>
      </c>
      <c r="D1507">
        <v>6.9466000000000001</v>
      </c>
      <c r="E1507" s="1">
        <v>43899</v>
      </c>
      <c r="F1507">
        <v>6.9466000000000001</v>
      </c>
    </row>
    <row r="1508" spans="1:6" x14ac:dyDescent="0.25">
      <c r="A1508" s="1">
        <v>43749</v>
      </c>
      <c r="B1508">
        <v>7.0811000000000002</v>
      </c>
      <c r="C1508" s="1">
        <v>43900</v>
      </c>
      <c r="D1508">
        <v>6.9581</v>
      </c>
      <c r="E1508" s="1">
        <v>43900</v>
      </c>
      <c r="F1508">
        <v>6.9581</v>
      </c>
    </row>
    <row r="1509" spans="1:6" x14ac:dyDescent="0.25">
      <c r="A1509" s="1">
        <v>43752</v>
      </c>
      <c r="B1509">
        <v>7.0693000000000001</v>
      </c>
      <c r="C1509" s="1">
        <v>43901</v>
      </c>
      <c r="D1509">
        <v>6.9606000000000003</v>
      </c>
      <c r="E1509" s="1">
        <v>43901</v>
      </c>
      <c r="F1509">
        <v>6.9606000000000003</v>
      </c>
    </row>
    <row r="1510" spans="1:6" x14ac:dyDescent="0.25">
      <c r="A1510" s="1">
        <v>43753</v>
      </c>
      <c r="B1510">
        <v>7.0843999999999996</v>
      </c>
      <c r="C1510" s="1">
        <v>43902</v>
      </c>
      <c r="D1510">
        <v>7.0293999999999999</v>
      </c>
      <c r="E1510" s="1">
        <v>43902</v>
      </c>
      <c r="F1510">
        <v>7.0293999999999999</v>
      </c>
    </row>
    <row r="1511" spans="1:6" x14ac:dyDescent="0.25">
      <c r="A1511" s="1">
        <v>43754</v>
      </c>
      <c r="B1511">
        <v>7.0998000000000001</v>
      </c>
      <c r="C1511" s="1">
        <v>43903</v>
      </c>
      <c r="D1511">
        <v>7.0086000000000004</v>
      </c>
      <c r="E1511" s="1">
        <v>43903</v>
      </c>
      <c r="F1511">
        <v>7.0086000000000004</v>
      </c>
    </row>
    <row r="1512" spans="1:6" x14ac:dyDescent="0.25">
      <c r="A1512" s="1">
        <v>43755</v>
      </c>
      <c r="B1512">
        <v>7.0811999999999999</v>
      </c>
      <c r="C1512" s="1">
        <v>43906</v>
      </c>
      <c r="D1512">
        <v>6.9934000000000003</v>
      </c>
      <c r="E1512" s="1">
        <v>43906</v>
      </c>
      <c r="F1512">
        <v>6.9934000000000003</v>
      </c>
    </row>
    <row r="1513" spans="1:6" x14ac:dyDescent="0.25">
      <c r="A1513" s="1">
        <v>43756</v>
      </c>
      <c r="B1513">
        <v>7.0715000000000003</v>
      </c>
      <c r="C1513" s="1">
        <v>43907</v>
      </c>
      <c r="D1513">
        <v>7.0057</v>
      </c>
      <c r="E1513" s="1">
        <v>43907</v>
      </c>
      <c r="F1513">
        <v>7.0057</v>
      </c>
    </row>
    <row r="1514" spans="1:6" x14ac:dyDescent="0.25">
      <c r="A1514" s="1">
        <v>43759</v>
      </c>
      <c r="B1514">
        <v>7.0698999999999996</v>
      </c>
      <c r="C1514" s="1">
        <v>43908</v>
      </c>
      <c r="D1514">
        <v>7.0475000000000003</v>
      </c>
      <c r="E1514" s="1">
        <v>43908</v>
      </c>
      <c r="F1514">
        <v>7.0475000000000003</v>
      </c>
    </row>
    <row r="1515" spans="1:6" x14ac:dyDescent="0.25">
      <c r="A1515" s="1">
        <v>43760</v>
      </c>
      <c r="B1515">
        <v>7.0758999999999999</v>
      </c>
      <c r="C1515" s="1">
        <v>43909</v>
      </c>
      <c r="D1515">
        <v>7.1086</v>
      </c>
      <c r="E1515" s="1">
        <v>43909</v>
      </c>
      <c r="F1515">
        <v>7.1086</v>
      </c>
    </row>
    <row r="1516" spans="1:6" x14ac:dyDescent="0.25">
      <c r="A1516" s="1">
        <v>43761</v>
      </c>
      <c r="B1516">
        <v>7.0610999999999997</v>
      </c>
      <c r="C1516" s="1">
        <v>43910</v>
      </c>
      <c r="D1516">
        <v>7.0960000000000001</v>
      </c>
      <c r="E1516" s="1">
        <v>43910</v>
      </c>
      <c r="F1516">
        <v>7.0960000000000001</v>
      </c>
    </row>
    <row r="1517" spans="1:6" x14ac:dyDescent="0.25">
      <c r="A1517" s="1">
        <v>43762</v>
      </c>
      <c r="B1517">
        <v>7.0731000000000002</v>
      </c>
      <c r="C1517" s="1">
        <v>43913</v>
      </c>
      <c r="D1517">
        <v>7.0885999999999996</v>
      </c>
      <c r="E1517" s="1">
        <v>43913</v>
      </c>
      <c r="F1517">
        <v>7.0885999999999996</v>
      </c>
    </row>
    <row r="1518" spans="1:6" x14ac:dyDescent="0.25">
      <c r="A1518" s="1">
        <v>43763</v>
      </c>
      <c r="B1518">
        <v>7.0510999999999999</v>
      </c>
      <c r="C1518" s="1">
        <v>43914</v>
      </c>
      <c r="D1518">
        <v>7.0631000000000004</v>
      </c>
      <c r="E1518" s="1">
        <v>43914</v>
      </c>
      <c r="F1518">
        <v>7.0631000000000004</v>
      </c>
    </row>
    <row r="1519" spans="1:6" x14ac:dyDescent="0.25">
      <c r="A1519" s="1">
        <v>43766</v>
      </c>
      <c r="B1519">
        <v>7.0641999999999996</v>
      </c>
      <c r="C1519" s="1">
        <v>43915</v>
      </c>
      <c r="D1519">
        <v>7.1147999999999998</v>
      </c>
      <c r="E1519" s="1">
        <v>43915</v>
      </c>
      <c r="F1519">
        <v>7.1147999999999998</v>
      </c>
    </row>
    <row r="1520" spans="1:6" x14ac:dyDescent="0.25">
      <c r="A1520" s="1">
        <v>43767</v>
      </c>
      <c r="B1520">
        <v>7.0655999999999999</v>
      </c>
      <c r="C1520" s="1">
        <v>43916</v>
      </c>
      <c r="D1520">
        <v>7.0747</v>
      </c>
      <c r="E1520" s="1">
        <v>43916</v>
      </c>
      <c r="F1520">
        <v>7.0747</v>
      </c>
    </row>
    <row r="1521" spans="1:6" x14ac:dyDescent="0.25">
      <c r="A1521" s="1">
        <v>43768</v>
      </c>
      <c r="B1521">
        <v>7.0464000000000002</v>
      </c>
      <c r="C1521" s="1">
        <v>43917</v>
      </c>
      <c r="D1521">
        <v>7.0960000000000001</v>
      </c>
      <c r="E1521" s="1">
        <v>43917</v>
      </c>
      <c r="F1521">
        <v>7.0960000000000001</v>
      </c>
    </row>
    <row r="1522" spans="1:6" x14ac:dyDescent="0.25">
      <c r="A1522" s="1">
        <v>43769</v>
      </c>
      <c r="B1522">
        <v>7.0465</v>
      </c>
      <c r="C1522" s="1">
        <v>43920</v>
      </c>
      <c r="D1522">
        <v>7.1002999999999998</v>
      </c>
      <c r="E1522" s="1">
        <v>43920</v>
      </c>
      <c r="F1522">
        <v>7.1002999999999998</v>
      </c>
    </row>
    <row r="1523" spans="1:6" x14ac:dyDescent="0.25">
      <c r="A1523" s="1">
        <v>43770</v>
      </c>
      <c r="B1523">
        <v>7.0419</v>
      </c>
      <c r="C1523" s="1">
        <v>43921</v>
      </c>
      <c r="D1523">
        <v>7.0824999999999996</v>
      </c>
      <c r="E1523" s="1">
        <v>43921</v>
      </c>
      <c r="F1523">
        <v>7.0824999999999996</v>
      </c>
    </row>
    <row r="1524" spans="1:6" x14ac:dyDescent="0.25">
      <c r="A1524" s="1">
        <v>43773</v>
      </c>
      <c r="B1524">
        <v>7.0330000000000004</v>
      </c>
      <c r="C1524" s="1">
        <v>43922</v>
      </c>
      <c r="D1524">
        <v>7.1</v>
      </c>
      <c r="E1524" s="1">
        <v>43922</v>
      </c>
      <c r="F1524">
        <v>7.1</v>
      </c>
    </row>
    <row r="1525" spans="1:6" x14ac:dyDescent="0.25">
      <c r="A1525" s="1">
        <v>43774</v>
      </c>
      <c r="B1525">
        <v>7.0026000000000002</v>
      </c>
      <c r="C1525" s="1">
        <v>43923</v>
      </c>
      <c r="D1525">
        <v>7.0857999999999999</v>
      </c>
      <c r="E1525" s="1">
        <v>43923</v>
      </c>
      <c r="F1525">
        <v>7.0857999999999999</v>
      </c>
    </row>
    <row r="1526" spans="1:6" x14ac:dyDescent="0.25">
      <c r="A1526" s="1">
        <v>43775</v>
      </c>
      <c r="B1526">
        <v>7.0128000000000004</v>
      </c>
      <c r="C1526" s="1">
        <v>43924</v>
      </c>
      <c r="D1526">
        <v>7.0913000000000004</v>
      </c>
      <c r="E1526" s="1">
        <v>43924</v>
      </c>
      <c r="F1526">
        <v>7.0913000000000004</v>
      </c>
    </row>
    <row r="1527" spans="1:6" x14ac:dyDescent="0.25">
      <c r="A1527" s="1">
        <v>43776</v>
      </c>
      <c r="B1527">
        <v>6.9711999999999996</v>
      </c>
      <c r="C1527" s="1">
        <v>43928</v>
      </c>
      <c r="D1527">
        <v>7.0457000000000001</v>
      </c>
      <c r="E1527" s="1">
        <v>43928</v>
      </c>
      <c r="F1527">
        <v>7.0457000000000001</v>
      </c>
    </row>
    <row r="1528" spans="1:6" x14ac:dyDescent="0.25">
      <c r="A1528" s="1">
        <v>43777</v>
      </c>
      <c r="B1528">
        <v>6.9863999999999997</v>
      </c>
      <c r="C1528" s="1">
        <v>43929</v>
      </c>
      <c r="D1528">
        <v>7.0658000000000003</v>
      </c>
      <c r="E1528" s="1">
        <v>43929</v>
      </c>
      <c r="F1528">
        <v>7.0658000000000003</v>
      </c>
    </row>
    <row r="1529" spans="1:6" x14ac:dyDescent="0.25">
      <c r="A1529" s="1">
        <v>43780</v>
      </c>
      <c r="B1529">
        <v>7.0076000000000001</v>
      </c>
      <c r="C1529" s="1">
        <v>43930</v>
      </c>
      <c r="D1529">
        <v>7.0429000000000004</v>
      </c>
      <c r="E1529" s="1">
        <v>43930</v>
      </c>
      <c r="F1529">
        <v>7.0429000000000004</v>
      </c>
    </row>
    <row r="1530" spans="1:6" x14ac:dyDescent="0.25">
      <c r="A1530" s="1">
        <v>43781</v>
      </c>
      <c r="B1530">
        <v>7.0242000000000004</v>
      </c>
      <c r="C1530" s="1">
        <v>43931</v>
      </c>
      <c r="D1530">
        <v>7.0359999999999996</v>
      </c>
      <c r="E1530" s="1">
        <v>43931</v>
      </c>
      <c r="F1530">
        <v>7.0359999999999996</v>
      </c>
    </row>
    <row r="1531" spans="1:6" x14ac:dyDescent="0.25">
      <c r="A1531" s="1">
        <v>43782</v>
      </c>
      <c r="B1531">
        <v>7.0298999999999996</v>
      </c>
      <c r="C1531" s="1">
        <v>43934</v>
      </c>
      <c r="D1531">
        <v>7.0515999999999996</v>
      </c>
      <c r="E1531" s="1">
        <v>43934</v>
      </c>
      <c r="F1531">
        <v>7.0515999999999996</v>
      </c>
    </row>
    <row r="1532" spans="1:6" x14ac:dyDescent="0.25">
      <c r="A1532" s="1">
        <v>43783</v>
      </c>
      <c r="B1532">
        <v>7.0186999999999999</v>
      </c>
      <c r="C1532" s="1">
        <v>43935</v>
      </c>
      <c r="D1532">
        <v>7.0511999999999997</v>
      </c>
      <c r="E1532" s="1">
        <v>43935</v>
      </c>
      <c r="F1532">
        <v>7.0511999999999997</v>
      </c>
    </row>
    <row r="1533" spans="1:6" x14ac:dyDescent="0.25">
      <c r="A1533" s="1">
        <v>43784</v>
      </c>
      <c r="B1533">
        <v>7.0064000000000002</v>
      </c>
      <c r="C1533" s="1">
        <v>43936</v>
      </c>
      <c r="D1533">
        <v>7.0675999999999997</v>
      </c>
      <c r="E1533" s="1">
        <v>43936</v>
      </c>
      <c r="F1533">
        <v>7.0675999999999997</v>
      </c>
    </row>
    <row r="1534" spans="1:6" x14ac:dyDescent="0.25">
      <c r="A1534" s="1">
        <v>43787</v>
      </c>
      <c r="B1534">
        <v>7.0259</v>
      </c>
      <c r="C1534" s="1">
        <v>43937</v>
      </c>
      <c r="D1534">
        <v>7.0814000000000004</v>
      </c>
      <c r="E1534" s="1">
        <v>43937</v>
      </c>
      <c r="F1534">
        <v>7.0814000000000004</v>
      </c>
    </row>
    <row r="1535" spans="1:6" x14ac:dyDescent="0.25">
      <c r="A1535" s="1">
        <v>43788</v>
      </c>
      <c r="B1535">
        <v>7.0274999999999999</v>
      </c>
      <c r="C1535" s="1">
        <v>43938</v>
      </c>
      <c r="D1535">
        <v>7.0736999999999997</v>
      </c>
      <c r="E1535" s="1">
        <v>43938</v>
      </c>
      <c r="F1535">
        <v>7.0736999999999997</v>
      </c>
    </row>
    <row r="1536" spans="1:6" x14ac:dyDescent="0.25">
      <c r="A1536" s="1">
        <v>43789</v>
      </c>
      <c r="B1536">
        <v>7.0404999999999998</v>
      </c>
      <c r="C1536" s="1">
        <v>43941</v>
      </c>
      <c r="D1536">
        <v>7.0734000000000004</v>
      </c>
      <c r="E1536" s="1">
        <v>43941</v>
      </c>
      <c r="F1536">
        <v>7.0734000000000004</v>
      </c>
    </row>
    <row r="1537" spans="1:6" x14ac:dyDescent="0.25">
      <c r="A1537" s="1">
        <v>43790</v>
      </c>
      <c r="B1537">
        <v>7.0324</v>
      </c>
      <c r="C1537" s="1">
        <v>43942</v>
      </c>
      <c r="D1537">
        <v>7.0919999999999996</v>
      </c>
      <c r="E1537" s="1">
        <v>43942</v>
      </c>
      <c r="F1537">
        <v>7.0919999999999996</v>
      </c>
    </row>
    <row r="1538" spans="1:6" x14ac:dyDescent="0.25">
      <c r="A1538" s="1">
        <v>43791</v>
      </c>
      <c r="B1538">
        <v>7.0434999999999999</v>
      </c>
      <c r="C1538" s="1">
        <v>43943</v>
      </c>
      <c r="D1538">
        <v>7.0841000000000003</v>
      </c>
      <c r="E1538" s="1">
        <v>43943</v>
      </c>
      <c r="F1538">
        <v>7.0841000000000003</v>
      </c>
    </row>
    <row r="1539" spans="1:6" x14ac:dyDescent="0.25">
      <c r="A1539" s="1">
        <v>43794</v>
      </c>
      <c r="B1539">
        <v>7.0312999999999999</v>
      </c>
      <c r="C1539" s="1">
        <v>43944</v>
      </c>
      <c r="D1539">
        <v>7.0667</v>
      </c>
      <c r="E1539" s="1">
        <v>43944</v>
      </c>
      <c r="F1539">
        <v>7.0667</v>
      </c>
    </row>
    <row r="1540" spans="1:6" x14ac:dyDescent="0.25">
      <c r="A1540" s="1">
        <v>43795</v>
      </c>
      <c r="B1540">
        <v>7.0145</v>
      </c>
      <c r="C1540" s="1">
        <v>43945</v>
      </c>
      <c r="D1540">
        <v>7.0819000000000001</v>
      </c>
      <c r="E1540" s="1">
        <v>43945</v>
      </c>
      <c r="F1540">
        <v>7.0819000000000001</v>
      </c>
    </row>
    <row r="1541" spans="1:6" x14ac:dyDescent="0.25">
      <c r="A1541" s="1">
        <v>43796</v>
      </c>
      <c r="B1541">
        <v>7.0160999999999998</v>
      </c>
      <c r="C1541" s="1">
        <v>43948</v>
      </c>
      <c r="D1541">
        <v>7.0872999999999999</v>
      </c>
      <c r="E1541" s="1">
        <v>43948</v>
      </c>
      <c r="F1541">
        <v>7.0872999999999999</v>
      </c>
    </row>
    <row r="1542" spans="1:6" x14ac:dyDescent="0.25">
      <c r="A1542" s="1">
        <v>43797</v>
      </c>
      <c r="B1542">
        <v>7.0312999999999999</v>
      </c>
      <c r="C1542" s="1">
        <v>43949</v>
      </c>
      <c r="D1542">
        <v>7.0796000000000001</v>
      </c>
      <c r="E1542" s="1">
        <v>43949</v>
      </c>
      <c r="F1542">
        <v>7.0796000000000001</v>
      </c>
    </row>
    <row r="1543" spans="1:6" x14ac:dyDescent="0.25">
      <c r="A1543" s="1">
        <v>43798</v>
      </c>
      <c r="B1543">
        <v>7.0308999999999999</v>
      </c>
      <c r="C1543" s="1">
        <v>43950</v>
      </c>
      <c r="D1543">
        <v>7.0768000000000004</v>
      </c>
      <c r="E1543" s="1">
        <v>43950</v>
      </c>
      <c r="F1543">
        <v>7.0768000000000004</v>
      </c>
    </row>
    <row r="1544" spans="1:6" x14ac:dyDescent="0.25">
      <c r="A1544" s="1">
        <v>43801</v>
      </c>
      <c r="B1544">
        <v>7.0435999999999996</v>
      </c>
      <c r="C1544" s="1">
        <v>43951</v>
      </c>
      <c r="D1544">
        <v>7.0632999999999999</v>
      </c>
      <c r="E1544" s="1">
        <v>43951</v>
      </c>
      <c r="F1544">
        <v>7.0632999999999999</v>
      </c>
    </row>
    <row r="1545" spans="1:6" x14ac:dyDescent="0.25">
      <c r="A1545" s="1">
        <v>43802</v>
      </c>
      <c r="B1545">
        <v>7.0697000000000001</v>
      </c>
      <c r="C1545" s="1">
        <v>43957</v>
      </c>
      <c r="D1545">
        <v>7.1045999999999996</v>
      </c>
      <c r="E1545" s="1">
        <v>43957</v>
      </c>
      <c r="F1545">
        <v>7.1045999999999996</v>
      </c>
    </row>
    <row r="1546" spans="1:6" x14ac:dyDescent="0.25">
      <c r="A1546" s="1">
        <v>43803</v>
      </c>
      <c r="B1546">
        <v>7.0525000000000002</v>
      </c>
      <c r="C1546" s="1">
        <v>43958</v>
      </c>
      <c r="D1546">
        <v>7.0842000000000001</v>
      </c>
      <c r="E1546" s="1">
        <v>43958</v>
      </c>
      <c r="F1546">
        <v>7.0842000000000001</v>
      </c>
    </row>
    <row r="1547" spans="1:6" x14ac:dyDescent="0.25">
      <c r="A1547" s="1">
        <v>43804</v>
      </c>
      <c r="B1547">
        <v>7.0411000000000001</v>
      </c>
      <c r="C1547" s="1">
        <v>43959</v>
      </c>
      <c r="D1547">
        <v>7.0742000000000003</v>
      </c>
      <c r="E1547" s="1">
        <v>43959</v>
      </c>
      <c r="F1547">
        <v>7.0742000000000003</v>
      </c>
    </row>
    <row r="1548" spans="1:6" x14ac:dyDescent="0.25">
      <c r="A1548" s="1">
        <v>43805</v>
      </c>
      <c r="B1548">
        <v>7.0246000000000004</v>
      </c>
      <c r="C1548" s="1">
        <v>43962</v>
      </c>
      <c r="D1548">
        <v>7.0987</v>
      </c>
      <c r="E1548" s="1">
        <v>43962</v>
      </c>
      <c r="F1548">
        <v>7.0987</v>
      </c>
    </row>
    <row r="1549" spans="1:6" x14ac:dyDescent="0.25">
      <c r="A1549" s="1">
        <v>43808</v>
      </c>
      <c r="B1549">
        <v>7.0369000000000002</v>
      </c>
      <c r="C1549" s="1">
        <v>43963</v>
      </c>
      <c r="D1549">
        <v>7.0834999999999999</v>
      </c>
      <c r="E1549" s="1">
        <v>43963</v>
      </c>
      <c r="F1549">
        <v>7.0834999999999999</v>
      </c>
    </row>
    <row r="1550" spans="1:6" x14ac:dyDescent="0.25">
      <c r="A1550" s="1">
        <v>43809</v>
      </c>
      <c r="B1550">
        <v>7.0282</v>
      </c>
      <c r="C1550" s="1">
        <v>43964</v>
      </c>
      <c r="D1550">
        <v>7.0926</v>
      </c>
      <c r="E1550" s="1">
        <v>43964</v>
      </c>
      <c r="F1550">
        <v>7.0926</v>
      </c>
    </row>
    <row r="1551" spans="1:6" x14ac:dyDescent="0.25">
      <c r="A1551" s="1">
        <v>43810</v>
      </c>
      <c r="B1551">
        <v>7.0285000000000002</v>
      </c>
      <c r="C1551" s="1">
        <v>43965</v>
      </c>
      <c r="D1551">
        <v>7.0956999999999999</v>
      </c>
      <c r="E1551" s="1">
        <v>43965</v>
      </c>
      <c r="F1551">
        <v>7.0956999999999999</v>
      </c>
    </row>
    <row r="1552" spans="1:6" x14ac:dyDescent="0.25">
      <c r="A1552" s="1">
        <v>43811</v>
      </c>
      <c r="B1552">
        <v>6.9457000000000004</v>
      </c>
      <c r="C1552" s="1">
        <v>43966</v>
      </c>
      <c r="D1552">
        <v>7.1018999999999997</v>
      </c>
      <c r="E1552" s="1">
        <v>43966</v>
      </c>
      <c r="F1552">
        <v>7.1018999999999997</v>
      </c>
    </row>
    <row r="1553" spans="1:6" x14ac:dyDescent="0.25">
      <c r="A1553" s="1">
        <v>43812</v>
      </c>
      <c r="B1553">
        <v>7.0144000000000002</v>
      </c>
      <c r="C1553" s="1">
        <v>43969</v>
      </c>
      <c r="D1553">
        <v>7.1096000000000004</v>
      </c>
      <c r="E1553" s="1">
        <v>43969</v>
      </c>
      <c r="F1553">
        <v>7.1096000000000004</v>
      </c>
    </row>
    <row r="1554" spans="1:6" x14ac:dyDescent="0.25">
      <c r="A1554" s="1">
        <v>43815</v>
      </c>
      <c r="B1554">
        <v>6.9915000000000003</v>
      </c>
      <c r="C1554" s="1">
        <v>43970</v>
      </c>
      <c r="D1554">
        <v>7.0990000000000002</v>
      </c>
      <c r="E1554" s="1">
        <v>43970</v>
      </c>
      <c r="F1554">
        <v>7.0990000000000002</v>
      </c>
    </row>
    <row r="1555" spans="1:6" x14ac:dyDescent="0.25">
      <c r="A1555" s="1">
        <v>43816</v>
      </c>
      <c r="B1555">
        <v>6.9988000000000001</v>
      </c>
      <c r="C1555" s="1">
        <v>43971</v>
      </c>
      <c r="D1555">
        <v>7.0934999999999997</v>
      </c>
      <c r="E1555" s="1">
        <v>43971</v>
      </c>
      <c r="F1555">
        <v>7.0934999999999997</v>
      </c>
    </row>
    <row r="1556" spans="1:6" x14ac:dyDescent="0.25">
      <c r="A1556" s="1">
        <v>43817</v>
      </c>
      <c r="B1556">
        <v>7.0026000000000002</v>
      </c>
      <c r="C1556" s="1">
        <v>43972</v>
      </c>
      <c r="D1556">
        <v>7.1158000000000001</v>
      </c>
      <c r="E1556" s="1">
        <v>43972</v>
      </c>
      <c r="F1556">
        <v>7.1158000000000001</v>
      </c>
    </row>
    <row r="1557" spans="1:6" x14ac:dyDescent="0.25">
      <c r="A1557" s="1">
        <v>43818</v>
      </c>
      <c r="B1557">
        <v>6.9989999999999997</v>
      </c>
      <c r="C1557" s="1">
        <v>43973</v>
      </c>
      <c r="D1557">
        <v>7.1364000000000001</v>
      </c>
      <c r="E1557" s="1">
        <v>43973</v>
      </c>
      <c r="F1557">
        <v>7.1364000000000001</v>
      </c>
    </row>
    <row r="1558" spans="1:6" x14ac:dyDescent="0.25">
      <c r="A1558" s="1">
        <v>43819</v>
      </c>
      <c r="B1558">
        <v>7.0030999999999999</v>
      </c>
      <c r="C1558" s="1">
        <v>43976</v>
      </c>
      <c r="D1558">
        <v>7.1368</v>
      </c>
      <c r="E1558" s="1">
        <v>43976</v>
      </c>
      <c r="F1558">
        <v>7.1368</v>
      </c>
    </row>
    <row r="1559" spans="1:6" x14ac:dyDescent="0.25">
      <c r="A1559" s="1">
        <v>43822</v>
      </c>
      <c r="B1559">
        <v>7.0080999999999998</v>
      </c>
      <c r="C1559" s="1">
        <v>43977</v>
      </c>
      <c r="D1559">
        <v>7.1349999999999998</v>
      </c>
      <c r="E1559" s="1">
        <v>43977</v>
      </c>
      <c r="F1559">
        <v>7.1349999999999998</v>
      </c>
    </row>
    <row r="1560" spans="1:6" x14ac:dyDescent="0.25">
      <c r="A1560" s="1">
        <v>43823</v>
      </c>
      <c r="B1560">
        <v>7.0044000000000004</v>
      </c>
      <c r="C1560" s="1">
        <v>43978</v>
      </c>
      <c r="D1560">
        <v>7.1680000000000001</v>
      </c>
      <c r="E1560" s="1">
        <v>43978</v>
      </c>
      <c r="F1560">
        <v>7.1680000000000001</v>
      </c>
    </row>
    <row r="1561" spans="1:6" x14ac:dyDescent="0.25">
      <c r="A1561" s="1">
        <v>43824</v>
      </c>
      <c r="B1561">
        <v>6.9957000000000003</v>
      </c>
      <c r="C1561" s="1">
        <v>43979</v>
      </c>
      <c r="D1561">
        <v>7.1455000000000002</v>
      </c>
      <c r="E1561" s="1">
        <v>43979</v>
      </c>
      <c r="F1561">
        <v>7.1455000000000002</v>
      </c>
    </row>
    <row r="1562" spans="1:6" x14ac:dyDescent="0.25">
      <c r="A1562" s="1">
        <v>43825</v>
      </c>
      <c r="B1562">
        <v>6.9917999999999996</v>
      </c>
      <c r="C1562" s="1">
        <v>43980</v>
      </c>
      <c r="D1562">
        <v>7.1372</v>
      </c>
      <c r="E1562" s="1">
        <v>43980</v>
      </c>
      <c r="F1562">
        <v>7.1372</v>
      </c>
    </row>
    <row r="1563" spans="1:6" x14ac:dyDescent="0.25">
      <c r="A1563" s="1">
        <v>43826</v>
      </c>
      <c r="B1563">
        <v>6.9928999999999997</v>
      </c>
      <c r="C1563" s="1">
        <v>43983</v>
      </c>
      <c r="D1563">
        <v>7.1277999999999997</v>
      </c>
      <c r="E1563" s="1">
        <v>43983</v>
      </c>
      <c r="F1563">
        <v>7.1277999999999997</v>
      </c>
    </row>
    <row r="1564" spans="1:6" x14ac:dyDescent="0.25">
      <c r="A1564" s="1">
        <v>43829</v>
      </c>
      <c r="B1564">
        <v>6.9846000000000004</v>
      </c>
      <c r="C1564" s="1">
        <v>43984</v>
      </c>
      <c r="D1564">
        <v>7.1013999999999999</v>
      </c>
      <c r="E1564" s="1">
        <v>43984</v>
      </c>
      <c r="F1564">
        <v>7.1013999999999999</v>
      </c>
    </row>
    <row r="1565" spans="1:6" x14ac:dyDescent="0.25">
      <c r="A1565" s="1">
        <v>43830</v>
      </c>
      <c r="B1565">
        <v>6.9617000000000004</v>
      </c>
      <c r="C1565" s="1">
        <v>43985</v>
      </c>
      <c r="D1565">
        <v>7.1157000000000004</v>
      </c>
      <c r="E1565" s="1">
        <v>43985</v>
      </c>
      <c r="F1565">
        <v>7.1157000000000004</v>
      </c>
    </row>
    <row r="1566" spans="1:6" x14ac:dyDescent="0.25">
      <c r="A1566" s="1">
        <v>43831</v>
      </c>
      <c r="B1566">
        <v>6.9622999999999999</v>
      </c>
      <c r="C1566" s="1">
        <v>43986</v>
      </c>
      <c r="D1566">
        <v>7.1112000000000002</v>
      </c>
      <c r="E1566" s="1">
        <v>43986</v>
      </c>
      <c r="F1566">
        <v>7.1112000000000002</v>
      </c>
    </row>
    <row r="1567" spans="1:6" x14ac:dyDescent="0.25">
      <c r="A1567" s="1">
        <v>43832</v>
      </c>
      <c r="B1567">
        <v>6.9592000000000001</v>
      </c>
      <c r="C1567" s="1">
        <v>43987</v>
      </c>
      <c r="D1567">
        <v>7.0834999999999999</v>
      </c>
      <c r="E1567" s="1">
        <v>43987</v>
      </c>
      <c r="F1567">
        <v>7.0834999999999999</v>
      </c>
    </row>
    <row r="1568" spans="1:6" x14ac:dyDescent="0.25">
      <c r="A1568" s="1">
        <v>43833</v>
      </c>
      <c r="B1568">
        <v>6.9663000000000004</v>
      </c>
      <c r="C1568" s="1">
        <v>43990</v>
      </c>
      <c r="D1568">
        <v>7.0716000000000001</v>
      </c>
      <c r="E1568" s="1">
        <v>43990</v>
      </c>
      <c r="F1568">
        <v>7.0716000000000001</v>
      </c>
    </row>
    <row r="1569" spans="1:6" x14ac:dyDescent="0.25">
      <c r="A1569" s="1">
        <v>43836</v>
      </c>
      <c r="B1569">
        <v>6.9692999999999996</v>
      </c>
      <c r="C1569" s="1">
        <v>43991</v>
      </c>
      <c r="D1569">
        <v>7.0773999999999999</v>
      </c>
      <c r="E1569" s="1">
        <v>43991</v>
      </c>
      <c r="F1569">
        <v>7.0773999999999999</v>
      </c>
    </row>
    <row r="1570" spans="1:6" x14ac:dyDescent="0.25">
      <c r="A1570" s="1">
        <v>43837</v>
      </c>
      <c r="B1570">
        <v>6.9427000000000003</v>
      </c>
      <c r="C1570" s="1">
        <v>43992</v>
      </c>
      <c r="D1570">
        <v>7.0609999999999999</v>
      </c>
      <c r="E1570" s="1">
        <v>43992</v>
      </c>
      <c r="F1570">
        <v>7.0609999999999999</v>
      </c>
    </row>
    <row r="1571" spans="1:6" x14ac:dyDescent="0.25">
      <c r="A1571" s="1">
        <v>43838</v>
      </c>
      <c r="B1571">
        <v>6.9367999999999999</v>
      </c>
      <c r="C1571" s="1">
        <v>43993</v>
      </c>
      <c r="D1571">
        <v>7.0650000000000004</v>
      </c>
      <c r="E1571" s="1">
        <v>43993</v>
      </c>
      <c r="F1571">
        <v>7.0650000000000004</v>
      </c>
    </row>
    <row r="1572" spans="1:6" x14ac:dyDescent="0.25">
      <c r="A1572" s="1">
        <v>43839</v>
      </c>
      <c r="B1572">
        <v>6.9249000000000001</v>
      </c>
      <c r="C1572" s="1">
        <v>43994</v>
      </c>
      <c r="D1572">
        <v>7.0842000000000001</v>
      </c>
      <c r="E1572" s="1">
        <v>43994</v>
      </c>
      <c r="F1572">
        <v>7.0842000000000001</v>
      </c>
    </row>
    <row r="1573" spans="1:6" x14ac:dyDescent="0.25">
      <c r="A1573" s="1">
        <v>43840</v>
      </c>
      <c r="B1573">
        <v>6.915</v>
      </c>
      <c r="C1573" s="1">
        <v>43997</v>
      </c>
      <c r="D1573">
        <v>7.0907999999999998</v>
      </c>
      <c r="E1573" s="1">
        <v>43997</v>
      </c>
      <c r="F1573">
        <v>7.0907999999999998</v>
      </c>
    </row>
    <row r="1574" spans="1:6" x14ac:dyDescent="0.25">
      <c r="A1574" s="1">
        <v>43843</v>
      </c>
      <c r="B1574">
        <v>6.8822999999999999</v>
      </c>
      <c r="C1574" s="1">
        <v>43998</v>
      </c>
      <c r="D1574">
        <v>7.0861999999999998</v>
      </c>
      <c r="E1574" s="1">
        <v>43998</v>
      </c>
      <c r="F1574">
        <v>7.0861999999999998</v>
      </c>
    </row>
    <row r="1575" spans="1:6" x14ac:dyDescent="0.25">
      <c r="A1575" s="1">
        <v>43844</v>
      </c>
      <c r="B1575">
        <v>6.8894000000000002</v>
      </c>
      <c r="C1575" s="1">
        <v>43999</v>
      </c>
      <c r="D1575">
        <v>7.0854999999999997</v>
      </c>
      <c r="E1575" s="1">
        <v>43999</v>
      </c>
      <c r="F1575">
        <v>7.0854999999999997</v>
      </c>
    </row>
    <row r="1576" spans="1:6" x14ac:dyDescent="0.25">
      <c r="A1576" s="1">
        <v>43845</v>
      </c>
      <c r="B1576">
        <v>6.8922999999999996</v>
      </c>
      <c r="C1576" s="1">
        <v>44000</v>
      </c>
      <c r="D1576">
        <v>7.0892999999999997</v>
      </c>
      <c r="E1576" s="1">
        <v>44000</v>
      </c>
      <c r="F1576">
        <v>7.0892999999999997</v>
      </c>
    </row>
    <row r="1577" spans="1:6" x14ac:dyDescent="0.25">
      <c r="A1577" s="1">
        <v>43846</v>
      </c>
      <c r="B1577">
        <v>6.8765999999999998</v>
      </c>
      <c r="C1577" s="1">
        <v>44001</v>
      </c>
      <c r="D1577">
        <v>7.0709999999999997</v>
      </c>
      <c r="E1577" s="1">
        <v>44001</v>
      </c>
      <c r="F1577">
        <v>7.0709999999999997</v>
      </c>
    </row>
    <row r="1578" spans="1:6" x14ac:dyDescent="0.25">
      <c r="A1578" s="1">
        <v>43847</v>
      </c>
      <c r="B1578">
        <v>6.8673999999999999</v>
      </c>
      <c r="C1578" s="1">
        <v>44004</v>
      </c>
      <c r="D1578">
        <v>7.0683999999999996</v>
      </c>
      <c r="E1578" s="1">
        <v>44004</v>
      </c>
      <c r="F1578">
        <v>7.0683999999999996</v>
      </c>
    </row>
    <row r="1579" spans="1:6" x14ac:dyDescent="0.25">
      <c r="A1579" s="1">
        <v>43850</v>
      </c>
      <c r="B1579">
        <v>6.8672000000000004</v>
      </c>
      <c r="C1579" s="1">
        <v>44005</v>
      </c>
      <c r="D1579">
        <v>7.0580999999999996</v>
      </c>
      <c r="E1579" s="1">
        <v>44005</v>
      </c>
      <c r="F1579">
        <v>7.0580999999999996</v>
      </c>
    </row>
    <row r="1580" spans="1:6" x14ac:dyDescent="0.25">
      <c r="A1580" s="1">
        <v>43851</v>
      </c>
      <c r="B1580">
        <v>6.9089</v>
      </c>
      <c r="C1580" s="1">
        <v>44006</v>
      </c>
      <c r="D1580">
        <v>7.0781999999999998</v>
      </c>
      <c r="E1580" s="1">
        <v>44006</v>
      </c>
      <c r="F1580">
        <v>7.0781999999999998</v>
      </c>
    </row>
    <row r="1581" spans="1:6" x14ac:dyDescent="0.25">
      <c r="A1581" s="1">
        <v>43852</v>
      </c>
      <c r="B1581">
        <v>6.9104999999999999</v>
      </c>
      <c r="C1581" s="1">
        <v>44011</v>
      </c>
      <c r="D1581">
        <v>7.0811000000000002</v>
      </c>
      <c r="E1581" s="1">
        <v>44011</v>
      </c>
      <c r="F1581">
        <v>7.0811000000000002</v>
      </c>
    </row>
    <row r="1582" spans="1:6" x14ac:dyDescent="0.25">
      <c r="A1582" s="1">
        <v>43853</v>
      </c>
      <c r="B1582">
        <v>6.9320000000000004</v>
      </c>
      <c r="C1582" s="1">
        <v>44012</v>
      </c>
      <c r="D1582">
        <v>7.0640000000000001</v>
      </c>
      <c r="E1582" s="1">
        <v>44012</v>
      </c>
      <c r="F1582">
        <v>7.0640000000000001</v>
      </c>
    </row>
    <row r="1583" spans="1:6" x14ac:dyDescent="0.25">
      <c r="A1583" s="1">
        <v>43854</v>
      </c>
      <c r="B1583">
        <v>6.9303999999999997</v>
      </c>
      <c r="C1583" s="1">
        <v>44013</v>
      </c>
      <c r="D1583">
        <v>7.0708000000000002</v>
      </c>
      <c r="E1583" s="1">
        <v>44013</v>
      </c>
      <c r="F1583">
        <v>7.0708000000000002</v>
      </c>
    </row>
    <row r="1584" spans="1:6" x14ac:dyDescent="0.25">
      <c r="A1584" s="1">
        <v>43857</v>
      </c>
      <c r="B1584">
        <v>6.9866000000000001</v>
      </c>
      <c r="C1584" s="1">
        <v>44014</v>
      </c>
      <c r="D1584">
        <v>7.0670000000000002</v>
      </c>
      <c r="E1584" s="1">
        <v>44014</v>
      </c>
      <c r="F1584">
        <v>7.0670000000000002</v>
      </c>
    </row>
    <row r="1585" spans="1:6" x14ac:dyDescent="0.25">
      <c r="A1585" s="1">
        <v>43858</v>
      </c>
      <c r="B1585">
        <v>6.9661</v>
      </c>
      <c r="C1585" s="1">
        <v>44015</v>
      </c>
      <c r="D1585">
        <v>7.0664999999999996</v>
      </c>
      <c r="E1585" s="1">
        <v>44015</v>
      </c>
      <c r="F1585">
        <v>7.0664999999999996</v>
      </c>
    </row>
    <row r="1586" spans="1:6" x14ac:dyDescent="0.25">
      <c r="A1586" s="1">
        <v>43859</v>
      </c>
      <c r="B1586">
        <v>6.9696999999999996</v>
      </c>
      <c r="C1586" s="1">
        <v>44018</v>
      </c>
      <c r="D1586">
        <v>7.0187999999999997</v>
      </c>
      <c r="E1586" s="1">
        <v>44018</v>
      </c>
      <c r="F1586">
        <v>7.0187999999999997</v>
      </c>
    </row>
    <row r="1587" spans="1:6" x14ac:dyDescent="0.25">
      <c r="A1587" s="1">
        <v>43860</v>
      </c>
      <c r="B1587">
        <v>6.9829999999999997</v>
      </c>
      <c r="C1587" s="1">
        <v>44019</v>
      </c>
      <c r="D1587">
        <v>7.0137999999999998</v>
      </c>
      <c r="E1587" s="1">
        <v>44019</v>
      </c>
      <c r="F1587">
        <v>7.0137999999999998</v>
      </c>
    </row>
    <row r="1588" spans="1:6" x14ac:dyDescent="0.25">
      <c r="A1588" s="1">
        <v>43861</v>
      </c>
      <c r="B1588">
        <v>6.9984000000000002</v>
      </c>
      <c r="C1588" s="1">
        <v>44020</v>
      </c>
      <c r="D1588">
        <v>7.0044000000000004</v>
      </c>
      <c r="E1588" s="1">
        <v>44020</v>
      </c>
      <c r="F1588">
        <v>7.0044000000000004</v>
      </c>
    </row>
    <row r="1589" spans="1:6" x14ac:dyDescent="0.25">
      <c r="A1589" s="1">
        <v>43864</v>
      </c>
      <c r="B1589">
        <v>7.0140000000000002</v>
      </c>
      <c r="C1589" s="1">
        <v>44021</v>
      </c>
      <c r="D1589">
        <v>6.9942000000000002</v>
      </c>
      <c r="E1589" s="1">
        <v>44021</v>
      </c>
      <c r="F1589">
        <v>6.9942000000000002</v>
      </c>
    </row>
    <row r="1590" spans="1:6" x14ac:dyDescent="0.25">
      <c r="A1590" s="1">
        <v>43865</v>
      </c>
      <c r="B1590">
        <v>6.9908000000000001</v>
      </c>
      <c r="C1590" s="1">
        <v>44022</v>
      </c>
      <c r="D1590">
        <v>7.0019</v>
      </c>
      <c r="E1590" s="1">
        <v>44022</v>
      </c>
      <c r="F1590">
        <v>7.0019</v>
      </c>
    </row>
    <row r="1591" spans="1:6" x14ac:dyDescent="0.25">
      <c r="A1591" s="1">
        <v>43866</v>
      </c>
      <c r="B1591">
        <v>6.9753999999999996</v>
      </c>
      <c r="C1591" s="1">
        <v>44025</v>
      </c>
      <c r="D1591">
        <v>6.9973999999999998</v>
      </c>
      <c r="E1591" s="1">
        <v>44025</v>
      </c>
      <c r="F1591">
        <v>6.9973999999999998</v>
      </c>
    </row>
    <row r="1592" spans="1:6" x14ac:dyDescent="0.25">
      <c r="A1592" s="1">
        <v>43867</v>
      </c>
      <c r="B1592">
        <v>6.9782000000000002</v>
      </c>
      <c r="C1592" s="1">
        <v>44026</v>
      </c>
      <c r="D1592">
        <v>7.0057999999999998</v>
      </c>
      <c r="E1592" s="1">
        <v>44026</v>
      </c>
      <c r="F1592">
        <v>7.0057999999999998</v>
      </c>
    </row>
    <row r="1593" spans="1:6" x14ac:dyDescent="0.25">
      <c r="A1593" s="1">
        <v>43868</v>
      </c>
      <c r="B1593">
        <v>7.0069999999999997</v>
      </c>
      <c r="C1593" s="1">
        <v>44027</v>
      </c>
      <c r="D1593">
        <v>6.9889000000000001</v>
      </c>
      <c r="E1593" s="1">
        <v>44027</v>
      </c>
      <c r="F1593">
        <v>6.9889000000000001</v>
      </c>
    </row>
    <row r="1594" spans="1:6" x14ac:dyDescent="0.25">
      <c r="A1594" s="1">
        <v>43871</v>
      </c>
      <c r="B1594">
        <v>6.9847000000000001</v>
      </c>
      <c r="C1594" s="1">
        <v>44028</v>
      </c>
      <c r="D1594">
        <v>6.9901999999999997</v>
      </c>
      <c r="E1594" s="1">
        <v>44028</v>
      </c>
      <c r="F1594">
        <v>6.9901999999999997</v>
      </c>
    </row>
    <row r="1595" spans="1:6" x14ac:dyDescent="0.25">
      <c r="A1595" s="1">
        <v>43872</v>
      </c>
      <c r="B1595">
        <v>6.9707999999999997</v>
      </c>
      <c r="C1595" s="1">
        <v>44029</v>
      </c>
      <c r="D1595">
        <v>6.9923999999999999</v>
      </c>
      <c r="E1595" s="1">
        <v>44029</v>
      </c>
      <c r="F1595">
        <v>6.9923999999999999</v>
      </c>
    </row>
    <row r="1596" spans="1:6" x14ac:dyDescent="0.25">
      <c r="A1596" s="1">
        <v>43873</v>
      </c>
      <c r="B1596">
        <v>6.9741999999999997</v>
      </c>
      <c r="C1596" s="1">
        <v>44032</v>
      </c>
      <c r="D1596">
        <v>6.9836</v>
      </c>
      <c r="E1596" s="1">
        <v>44032</v>
      </c>
      <c r="F1596">
        <v>6.9836</v>
      </c>
    </row>
    <row r="1597" spans="1:6" x14ac:dyDescent="0.25">
      <c r="A1597" s="1">
        <v>43874</v>
      </c>
      <c r="B1597">
        <v>6.9890999999999996</v>
      </c>
      <c r="C1597" s="1">
        <v>44033</v>
      </c>
      <c r="D1597">
        <v>6.9810999999999996</v>
      </c>
      <c r="E1597" s="1">
        <v>44033</v>
      </c>
      <c r="F1597">
        <v>6.9810999999999996</v>
      </c>
    </row>
    <row r="1598" spans="1:6" x14ac:dyDescent="0.25">
      <c r="A1598" s="1">
        <v>43875</v>
      </c>
      <c r="B1598">
        <v>6.9928999999999997</v>
      </c>
      <c r="C1598" s="1">
        <v>44034</v>
      </c>
      <c r="D1598">
        <v>7.0002000000000004</v>
      </c>
      <c r="E1598" s="1">
        <v>44034</v>
      </c>
      <c r="F1598">
        <v>7.0002000000000004</v>
      </c>
    </row>
    <row r="1599" spans="1:6" x14ac:dyDescent="0.25">
      <c r="A1599" s="1">
        <v>43878</v>
      </c>
      <c r="B1599">
        <v>6.9850000000000003</v>
      </c>
      <c r="C1599" s="1">
        <v>44035</v>
      </c>
      <c r="D1599">
        <v>7.0041000000000002</v>
      </c>
      <c r="E1599" s="1">
        <v>44035</v>
      </c>
      <c r="F1599">
        <v>7.0041000000000002</v>
      </c>
    </row>
    <row r="1600" spans="1:6" x14ac:dyDescent="0.25">
      <c r="A1600" s="1">
        <v>43879</v>
      </c>
      <c r="B1600">
        <v>7.0072000000000001</v>
      </c>
      <c r="C1600" s="1">
        <v>44036</v>
      </c>
      <c r="D1600">
        <v>7.0183999999999997</v>
      </c>
      <c r="E1600" s="1">
        <v>44036</v>
      </c>
      <c r="F1600">
        <v>7.0183999999999997</v>
      </c>
    </row>
    <row r="1601" spans="1:6" x14ac:dyDescent="0.25">
      <c r="A1601" s="1">
        <v>43880</v>
      </c>
      <c r="B1601">
        <v>7.0132000000000003</v>
      </c>
      <c r="C1601" s="1">
        <v>44039</v>
      </c>
      <c r="D1601">
        <v>6.9964000000000004</v>
      </c>
      <c r="E1601" s="1">
        <v>44039</v>
      </c>
      <c r="F1601">
        <v>6.9964000000000004</v>
      </c>
    </row>
    <row r="1602" spans="1:6" x14ac:dyDescent="0.25">
      <c r="A1602" s="1">
        <v>43881</v>
      </c>
      <c r="B1602">
        <v>7.0461999999999998</v>
      </c>
      <c r="C1602" s="1">
        <v>44040</v>
      </c>
      <c r="D1602">
        <v>7.0007999999999999</v>
      </c>
      <c r="E1602" s="1">
        <v>44040</v>
      </c>
      <c r="F1602">
        <v>7.0007999999999999</v>
      </c>
    </row>
    <row r="1603" spans="1:6" x14ac:dyDescent="0.25">
      <c r="A1603" s="1">
        <v>43882</v>
      </c>
      <c r="B1603">
        <v>7.0366</v>
      </c>
      <c r="C1603" s="1">
        <v>44041</v>
      </c>
      <c r="D1603">
        <v>7.0015999999999998</v>
      </c>
      <c r="E1603" s="1">
        <v>44041</v>
      </c>
      <c r="F1603">
        <v>7.0015999999999998</v>
      </c>
    </row>
    <row r="1604" spans="1:6" x14ac:dyDescent="0.25">
      <c r="A1604" s="1">
        <v>43885</v>
      </c>
      <c r="B1604">
        <v>7.0358999999999998</v>
      </c>
      <c r="C1604" s="1">
        <v>44042</v>
      </c>
      <c r="D1604">
        <v>7.0087999999999999</v>
      </c>
      <c r="E1604" s="1">
        <v>44042</v>
      </c>
      <c r="F1604">
        <v>7.0087999999999999</v>
      </c>
    </row>
    <row r="1605" spans="1:6" x14ac:dyDescent="0.25">
      <c r="A1605" s="1">
        <v>43886</v>
      </c>
      <c r="B1605">
        <v>7.0255999999999998</v>
      </c>
      <c r="C1605" s="1">
        <v>44043</v>
      </c>
      <c r="D1605">
        <v>6.9752000000000001</v>
      </c>
      <c r="E1605" s="1">
        <v>44043</v>
      </c>
      <c r="F1605">
        <v>6.9752000000000001</v>
      </c>
    </row>
    <row r="1606" spans="1:6" x14ac:dyDescent="0.25">
      <c r="A1606" s="1">
        <v>43887</v>
      </c>
      <c r="B1606">
        <v>7.0213000000000001</v>
      </c>
      <c r="C1606" s="1">
        <v>44046</v>
      </c>
      <c r="D1606">
        <v>6.9809000000000001</v>
      </c>
      <c r="E1606" s="1">
        <v>44046</v>
      </c>
      <c r="F1606">
        <v>6.9809000000000001</v>
      </c>
    </row>
    <row r="1607" spans="1:6" x14ac:dyDescent="0.25">
      <c r="A1607" s="1">
        <v>43888</v>
      </c>
      <c r="B1607">
        <v>7.0084</v>
      </c>
      <c r="C1607" s="1">
        <v>44047</v>
      </c>
      <c r="D1607">
        <v>6.9733999999999998</v>
      </c>
      <c r="E1607" s="1">
        <v>44047</v>
      </c>
      <c r="F1607">
        <v>6.9733999999999998</v>
      </c>
    </row>
    <row r="1608" spans="1:6" x14ac:dyDescent="0.25">
      <c r="A1608" s="1">
        <v>43889</v>
      </c>
      <c r="B1608">
        <v>6.9798</v>
      </c>
      <c r="C1608" s="1">
        <v>44048</v>
      </c>
      <c r="D1608">
        <v>6.9366000000000003</v>
      </c>
      <c r="E1608" s="1">
        <v>44048</v>
      </c>
      <c r="F1608">
        <v>6.9366000000000003</v>
      </c>
    </row>
    <row r="1609" spans="1:6" x14ac:dyDescent="0.25">
      <c r="A1609" s="1">
        <v>43892</v>
      </c>
      <c r="B1609">
        <v>6.9631999999999996</v>
      </c>
      <c r="C1609" s="1">
        <v>44049</v>
      </c>
      <c r="D1609">
        <v>6.9535</v>
      </c>
      <c r="E1609" s="1">
        <v>44049</v>
      </c>
      <c r="F1609">
        <v>6.9535</v>
      </c>
    </row>
    <row r="1610" spans="1:6" x14ac:dyDescent="0.25">
      <c r="A1610" s="1">
        <v>43893</v>
      </c>
      <c r="B1610">
        <v>6.9489999999999998</v>
      </c>
      <c r="C1610" s="1">
        <v>44050</v>
      </c>
      <c r="D1610">
        <v>6.968</v>
      </c>
      <c r="E1610" s="1">
        <v>44050</v>
      </c>
      <c r="F1610">
        <v>6.968</v>
      </c>
    </row>
    <row r="1611" spans="1:6" x14ac:dyDescent="0.25">
      <c r="A1611" s="1">
        <v>43894</v>
      </c>
      <c r="B1611">
        <v>6.9230999999999998</v>
      </c>
      <c r="C1611" s="1">
        <v>44053</v>
      </c>
      <c r="D1611">
        <v>6.9619</v>
      </c>
      <c r="E1611" s="1">
        <v>44053</v>
      </c>
      <c r="F1611">
        <v>6.9619</v>
      </c>
    </row>
    <row r="1612" spans="1:6" x14ac:dyDescent="0.25">
      <c r="A1612" s="1">
        <v>43895</v>
      </c>
      <c r="B1612">
        <v>6.9412000000000003</v>
      </c>
      <c r="C1612" s="1">
        <v>44054</v>
      </c>
      <c r="D1612">
        <v>6.9462999999999999</v>
      </c>
      <c r="E1612" s="1">
        <v>44054</v>
      </c>
      <c r="F1612">
        <v>6.9462999999999999</v>
      </c>
    </row>
    <row r="1613" spans="1:6" x14ac:dyDescent="0.25">
      <c r="A1613" s="1">
        <v>43896</v>
      </c>
      <c r="B1613">
        <v>6.9324000000000003</v>
      </c>
      <c r="C1613" s="1">
        <v>44055</v>
      </c>
      <c r="D1613">
        <v>6.9371999999999998</v>
      </c>
      <c r="E1613" s="1">
        <v>44055</v>
      </c>
      <c r="F1613">
        <v>6.9371999999999998</v>
      </c>
    </row>
    <row r="1614" spans="1:6" x14ac:dyDescent="0.25">
      <c r="A1614" s="1">
        <v>43899</v>
      </c>
      <c r="B1614">
        <v>6.9528999999999996</v>
      </c>
      <c r="C1614" s="1">
        <v>44056</v>
      </c>
      <c r="D1614">
        <v>6.9451000000000001</v>
      </c>
      <c r="E1614" s="1">
        <v>44056</v>
      </c>
      <c r="F1614">
        <v>6.9451000000000001</v>
      </c>
    </row>
    <row r="1615" spans="1:6" x14ac:dyDescent="0.25">
      <c r="A1615" s="1">
        <v>43900</v>
      </c>
      <c r="B1615">
        <v>6.9638</v>
      </c>
      <c r="C1615" s="1">
        <v>44057</v>
      </c>
      <c r="D1615">
        <v>6.9503000000000004</v>
      </c>
      <c r="E1615" s="1">
        <v>44057</v>
      </c>
      <c r="F1615">
        <v>6.9503000000000004</v>
      </c>
    </row>
    <row r="1616" spans="1:6" x14ac:dyDescent="0.25">
      <c r="A1616" s="1">
        <v>43901</v>
      </c>
      <c r="B1616">
        <v>6.9687999999999999</v>
      </c>
      <c r="C1616" s="1">
        <v>44060</v>
      </c>
      <c r="D1616">
        <v>6.9329000000000001</v>
      </c>
      <c r="E1616" s="1">
        <v>44060</v>
      </c>
      <c r="F1616">
        <v>6.9329000000000001</v>
      </c>
    </row>
    <row r="1617" spans="1:6" x14ac:dyDescent="0.25">
      <c r="A1617" s="1">
        <v>43902</v>
      </c>
      <c r="B1617">
        <v>7.0278999999999998</v>
      </c>
      <c r="C1617" s="1">
        <v>44061</v>
      </c>
      <c r="D1617">
        <v>6.9218000000000002</v>
      </c>
      <c r="E1617" s="1">
        <v>44061</v>
      </c>
      <c r="F1617">
        <v>6.9218000000000002</v>
      </c>
    </row>
    <row r="1618" spans="1:6" x14ac:dyDescent="0.25">
      <c r="A1618" s="1">
        <v>43903</v>
      </c>
      <c r="B1618">
        <v>7.0225</v>
      </c>
      <c r="C1618" s="1">
        <v>44062</v>
      </c>
      <c r="D1618">
        <v>6.9207000000000001</v>
      </c>
      <c r="E1618" s="1">
        <v>44062</v>
      </c>
      <c r="F1618">
        <v>6.9207000000000001</v>
      </c>
    </row>
    <row r="1619" spans="1:6" x14ac:dyDescent="0.25">
      <c r="A1619" s="1">
        <v>43906</v>
      </c>
      <c r="B1619">
        <v>7.0126999999999997</v>
      </c>
      <c r="C1619" s="1">
        <v>44063</v>
      </c>
      <c r="D1619">
        <v>6.9157999999999999</v>
      </c>
      <c r="E1619" s="1">
        <v>44063</v>
      </c>
      <c r="F1619">
        <v>6.9157999999999999</v>
      </c>
    </row>
    <row r="1620" spans="1:6" x14ac:dyDescent="0.25">
      <c r="A1620" s="1">
        <v>43907</v>
      </c>
      <c r="B1620">
        <v>7.0316999999999998</v>
      </c>
      <c r="C1620" s="1">
        <v>44064</v>
      </c>
      <c r="D1620">
        <v>6.9194000000000004</v>
      </c>
      <c r="E1620" s="1">
        <v>44064</v>
      </c>
      <c r="F1620">
        <v>6.9194000000000004</v>
      </c>
    </row>
    <row r="1621" spans="1:6" x14ac:dyDescent="0.25">
      <c r="A1621" s="1">
        <v>43908</v>
      </c>
      <c r="B1621">
        <v>7.0744999999999996</v>
      </c>
      <c r="C1621" s="1">
        <v>44067</v>
      </c>
      <c r="D1621">
        <v>6.9196</v>
      </c>
      <c r="E1621" s="1">
        <v>44067</v>
      </c>
      <c r="F1621">
        <v>6.9196</v>
      </c>
    </row>
    <row r="1622" spans="1:6" x14ac:dyDescent="0.25">
      <c r="A1622" s="1">
        <v>43909</v>
      </c>
      <c r="B1622">
        <v>7.1544999999999996</v>
      </c>
      <c r="C1622" s="1">
        <v>44068</v>
      </c>
      <c r="D1622">
        <v>6.9127999999999998</v>
      </c>
      <c r="E1622" s="1">
        <v>44068</v>
      </c>
      <c r="F1622">
        <v>6.9127999999999998</v>
      </c>
    </row>
    <row r="1623" spans="1:6" x14ac:dyDescent="0.25">
      <c r="A1623" s="1">
        <v>43910</v>
      </c>
      <c r="B1623">
        <v>7.1227</v>
      </c>
      <c r="C1623" s="1">
        <v>44069</v>
      </c>
      <c r="D1623">
        <v>6.8860000000000001</v>
      </c>
      <c r="E1623" s="1">
        <v>44069</v>
      </c>
      <c r="F1623">
        <v>6.8860000000000001</v>
      </c>
    </row>
    <row r="1624" spans="1:6" x14ac:dyDescent="0.25">
      <c r="A1624" s="1">
        <v>43913</v>
      </c>
      <c r="B1624">
        <v>7.1212999999999997</v>
      </c>
      <c r="C1624" s="1">
        <v>44070</v>
      </c>
      <c r="D1624">
        <v>6.8940999999999999</v>
      </c>
      <c r="E1624" s="1">
        <v>44070</v>
      </c>
      <c r="F1624">
        <v>6.8940999999999999</v>
      </c>
    </row>
    <row r="1625" spans="1:6" x14ac:dyDescent="0.25">
      <c r="A1625" s="1">
        <v>43914</v>
      </c>
      <c r="B1625">
        <v>7.0857999999999999</v>
      </c>
      <c r="C1625" s="1">
        <v>44071</v>
      </c>
      <c r="D1625">
        <v>6.8654000000000002</v>
      </c>
      <c r="E1625" s="1">
        <v>44071</v>
      </c>
      <c r="F1625">
        <v>6.8654000000000002</v>
      </c>
    </row>
    <row r="1626" spans="1:6" x14ac:dyDescent="0.25">
      <c r="A1626" s="1">
        <v>43915</v>
      </c>
      <c r="B1626">
        <v>7.1268000000000002</v>
      </c>
      <c r="C1626" s="1">
        <v>44074</v>
      </c>
      <c r="D1626">
        <v>6.8484999999999996</v>
      </c>
      <c r="E1626" s="1">
        <v>44074</v>
      </c>
      <c r="F1626">
        <v>6.8484999999999996</v>
      </c>
    </row>
    <row r="1627" spans="1:6" x14ac:dyDescent="0.25">
      <c r="A1627" s="1">
        <v>43916</v>
      </c>
      <c r="B1627">
        <v>7.0814000000000004</v>
      </c>
      <c r="C1627" s="1">
        <v>44075</v>
      </c>
      <c r="D1627">
        <v>6.8281000000000001</v>
      </c>
      <c r="E1627" s="1">
        <v>44075</v>
      </c>
      <c r="F1627">
        <v>6.8281000000000001</v>
      </c>
    </row>
    <row r="1628" spans="1:6" x14ac:dyDescent="0.25">
      <c r="A1628" s="1">
        <v>43917</v>
      </c>
      <c r="B1628">
        <v>7.0883000000000003</v>
      </c>
      <c r="C1628" s="1">
        <v>44076</v>
      </c>
      <c r="D1628">
        <v>6.8383000000000003</v>
      </c>
      <c r="E1628" s="1">
        <v>44076</v>
      </c>
      <c r="F1628">
        <v>6.8383000000000003</v>
      </c>
    </row>
    <row r="1629" spans="1:6" x14ac:dyDescent="0.25">
      <c r="A1629" s="1">
        <v>43920</v>
      </c>
      <c r="B1629">
        <v>7.1142000000000003</v>
      </c>
      <c r="C1629" s="1">
        <v>44077</v>
      </c>
      <c r="D1629">
        <v>6.8487999999999998</v>
      </c>
      <c r="E1629" s="1">
        <v>44077</v>
      </c>
      <c r="F1629">
        <v>6.8487999999999998</v>
      </c>
    </row>
    <row r="1630" spans="1:6" x14ac:dyDescent="0.25">
      <c r="A1630" s="1">
        <v>43921</v>
      </c>
      <c r="B1630">
        <v>7.0938999999999997</v>
      </c>
      <c r="C1630" s="1">
        <v>44078</v>
      </c>
      <c r="D1630">
        <v>6.8425000000000002</v>
      </c>
      <c r="E1630" s="1">
        <v>44078</v>
      </c>
      <c r="F1630">
        <v>6.8425000000000002</v>
      </c>
    </row>
    <row r="1631" spans="1:6" x14ac:dyDescent="0.25">
      <c r="A1631" s="1">
        <v>43922</v>
      </c>
      <c r="B1631">
        <v>7.1227</v>
      </c>
      <c r="C1631" s="1">
        <v>44081</v>
      </c>
      <c r="D1631">
        <v>6.8304999999999998</v>
      </c>
      <c r="E1631" s="1">
        <v>44081</v>
      </c>
      <c r="F1631">
        <v>6.8304999999999998</v>
      </c>
    </row>
    <row r="1632" spans="1:6" x14ac:dyDescent="0.25">
      <c r="A1632" s="1">
        <v>43923</v>
      </c>
      <c r="B1632">
        <v>7.0933999999999999</v>
      </c>
      <c r="C1632" s="1">
        <v>44082</v>
      </c>
      <c r="D1632">
        <v>6.8464</v>
      </c>
      <c r="E1632" s="1">
        <v>44082</v>
      </c>
      <c r="F1632">
        <v>6.8464</v>
      </c>
    </row>
    <row r="1633" spans="1:6" x14ac:dyDescent="0.25">
      <c r="A1633" s="1">
        <v>43924</v>
      </c>
      <c r="B1633">
        <v>7.1111000000000004</v>
      </c>
      <c r="C1633" s="1">
        <v>44083</v>
      </c>
      <c r="D1633">
        <v>6.8333000000000004</v>
      </c>
      <c r="E1633" s="1">
        <v>44083</v>
      </c>
      <c r="F1633">
        <v>6.8333000000000004</v>
      </c>
    </row>
    <row r="1634" spans="1:6" x14ac:dyDescent="0.25">
      <c r="A1634" s="1">
        <v>43927</v>
      </c>
      <c r="B1634">
        <v>7.1069000000000004</v>
      </c>
      <c r="C1634" s="1">
        <v>44084</v>
      </c>
      <c r="D1634">
        <v>6.8342999999999998</v>
      </c>
      <c r="E1634" s="1">
        <v>44084</v>
      </c>
      <c r="F1634">
        <v>6.8342999999999998</v>
      </c>
    </row>
    <row r="1635" spans="1:6" x14ac:dyDescent="0.25">
      <c r="A1635" s="1">
        <v>43928</v>
      </c>
      <c r="B1635">
        <v>7.0670999999999999</v>
      </c>
      <c r="C1635" s="1">
        <v>44085</v>
      </c>
      <c r="D1635">
        <v>6.8343999999999996</v>
      </c>
      <c r="E1635" s="1">
        <v>44085</v>
      </c>
      <c r="F1635">
        <v>6.8343999999999996</v>
      </c>
    </row>
    <row r="1636" spans="1:6" x14ac:dyDescent="0.25">
      <c r="A1636" s="1">
        <v>43929</v>
      </c>
      <c r="B1636">
        <v>7.0685000000000002</v>
      </c>
      <c r="C1636" s="1">
        <v>44088</v>
      </c>
      <c r="D1636">
        <v>6.8105000000000002</v>
      </c>
      <c r="E1636" s="1">
        <v>44088</v>
      </c>
      <c r="F1636">
        <v>6.8105000000000002</v>
      </c>
    </row>
    <row r="1637" spans="1:6" x14ac:dyDescent="0.25">
      <c r="A1637" s="1">
        <v>43930</v>
      </c>
      <c r="B1637">
        <v>7.0595999999999997</v>
      </c>
      <c r="C1637" s="1">
        <v>44089</v>
      </c>
      <c r="D1637">
        <v>6.7826000000000004</v>
      </c>
      <c r="E1637" s="1">
        <v>44089</v>
      </c>
      <c r="F1637">
        <v>6.7826000000000004</v>
      </c>
    </row>
    <row r="1638" spans="1:6" x14ac:dyDescent="0.25">
      <c r="A1638" s="1">
        <v>43931</v>
      </c>
      <c r="B1638">
        <v>7.0472999999999999</v>
      </c>
      <c r="C1638" s="1">
        <v>44090</v>
      </c>
      <c r="D1638">
        <v>6.7548000000000004</v>
      </c>
      <c r="E1638" s="1">
        <v>44090</v>
      </c>
      <c r="F1638">
        <v>6.7548000000000004</v>
      </c>
    </row>
    <row r="1639" spans="1:6" x14ac:dyDescent="0.25">
      <c r="A1639" s="1">
        <v>43934</v>
      </c>
      <c r="B1639">
        <v>7.0544000000000002</v>
      </c>
      <c r="C1639" s="1">
        <v>44091</v>
      </c>
      <c r="D1639">
        <v>6.7637999999999998</v>
      </c>
      <c r="E1639" s="1">
        <v>44091</v>
      </c>
      <c r="F1639">
        <v>6.7637999999999998</v>
      </c>
    </row>
    <row r="1640" spans="1:6" x14ac:dyDescent="0.25">
      <c r="A1640" s="1">
        <v>43935</v>
      </c>
      <c r="B1640">
        <v>7.0471000000000004</v>
      </c>
      <c r="C1640" s="1">
        <v>44092</v>
      </c>
      <c r="D1640">
        <v>6.7690999999999999</v>
      </c>
      <c r="E1640" s="1">
        <v>44092</v>
      </c>
      <c r="F1640">
        <v>6.7690999999999999</v>
      </c>
    </row>
    <row r="1641" spans="1:6" x14ac:dyDescent="0.25">
      <c r="A1641" s="1">
        <v>43936</v>
      </c>
      <c r="B1641">
        <v>7.0711000000000004</v>
      </c>
      <c r="C1641" s="1">
        <v>44095</v>
      </c>
      <c r="D1641">
        <v>6.8052999999999999</v>
      </c>
      <c r="E1641" s="1">
        <v>44095</v>
      </c>
      <c r="F1641">
        <v>6.8052999999999999</v>
      </c>
    </row>
    <row r="1642" spans="1:6" x14ac:dyDescent="0.25">
      <c r="A1642" s="1">
        <v>43937</v>
      </c>
      <c r="B1642">
        <v>7.0883000000000003</v>
      </c>
      <c r="C1642" s="1">
        <v>44096</v>
      </c>
      <c r="D1642">
        <v>6.7798999999999996</v>
      </c>
      <c r="E1642" s="1">
        <v>44096</v>
      </c>
      <c r="F1642">
        <v>6.7798999999999996</v>
      </c>
    </row>
    <row r="1643" spans="1:6" x14ac:dyDescent="0.25">
      <c r="A1643" s="1">
        <v>43938</v>
      </c>
      <c r="B1643">
        <v>7.0787000000000004</v>
      </c>
      <c r="C1643" s="1">
        <v>44097</v>
      </c>
      <c r="D1643">
        <v>6.8090999999999999</v>
      </c>
      <c r="E1643" s="1">
        <v>44097</v>
      </c>
      <c r="F1643">
        <v>6.8090999999999999</v>
      </c>
    </row>
    <row r="1644" spans="1:6" x14ac:dyDescent="0.25">
      <c r="A1644" s="1">
        <v>43941</v>
      </c>
      <c r="B1644">
        <v>7.0911</v>
      </c>
      <c r="C1644" s="1">
        <v>44098</v>
      </c>
      <c r="D1644">
        <v>6.8287000000000004</v>
      </c>
      <c r="E1644" s="1">
        <v>44098</v>
      </c>
      <c r="F1644">
        <v>6.8287000000000004</v>
      </c>
    </row>
    <row r="1645" spans="1:6" x14ac:dyDescent="0.25">
      <c r="A1645" s="1">
        <v>43942</v>
      </c>
      <c r="B1645">
        <v>7.1017999999999999</v>
      </c>
      <c r="C1645" s="1">
        <v>44099</v>
      </c>
      <c r="D1645">
        <v>6.8238000000000003</v>
      </c>
      <c r="E1645" s="1">
        <v>44099</v>
      </c>
      <c r="F1645">
        <v>6.8238000000000003</v>
      </c>
    </row>
    <row r="1646" spans="1:6" x14ac:dyDescent="0.25">
      <c r="A1646" s="1">
        <v>43943</v>
      </c>
      <c r="B1646">
        <v>7.1007999999999996</v>
      </c>
      <c r="C1646" s="1">
        <v>44102</v>
      </c>
      <c r="D1646">
        <v>6.8113000000000001</v>
      </c>
      <c r="E1646" s="1">
        <v>44102</v>
      </c>
      <c r="F1646">
        <v>6.8113000000000001</v>
      </c>
    </row>
    <row r="1647" spans="1:6" x14ac:dyDescent="0.25">
      <c r="A1647" s="1">
        <v>43944</v>
      </c>
      <c r="B1647">
        <v>7.0941000000000001</v>
      </c>
      <c r="C1647" s="1">
        <v>44103</v>
      </c>
      <c r="D1647">
        <v>6.8159000000000001</v>
      </c>
      <c r="E1647" s="1">
        <v>44103</v>
      </c>
      <c r="F1647">
        <v>6.8159000000000001</v>
      </c>
    </row>
    <row r="1648" spans="1:6" x14ac:dyDescent="0.25">
      <c r="A1648" s="1">
        <v>43945</v>
      </c>
      <c r="B1648">
        <v>7.0903999999999998</v>
      </c>
      <c r="C1648" s="1">
        <v>44104</v>
      </c>
      <c r="D1648">
        <v>6.7907999999999999</v>
      </c>
      <c r="E1648" s="1">
        <v>44104</v>
      </c>
      <c r="F1648">
        <v>6.7907999999999999</v>
      </c>
    </row>
    <row r="1649" spans="1:6" x14ac:dyDescent="0.25">
      <c r="A1649" s="1">
        <v>43948</v>
      </c>
      <c r="B1649">
        <v>7.0926</v>
      </c>
      <c r="C1649" s="1">
        <v>44113</v>
      </c>
      <c r="D1649">
        <v>6.6947000000000001</v>
      </c>
      <c r="E1649" s="1">
        <v>44113</v>
      </c>
      <c r="F1649">
        <v>6.6947000000000001</v>
      </c>
    </row>
    <row r="1650" spans="1:6" x14ac:dyDescent="0.25">
      <c r="A1650" s="1">
        <v>43949</v>
      </c>
      <c r="B1650">
        <v>7.0884</v>
      </c>
      <c r="C1650" s="1">
        <v>44116</v>
      </c>
      <c r="D1650">
        <v>6.7458999999999998</v>
      </c>
      <c r="E1650" s="1">
        <v>44116</v>
      </c>
      <c r="F1650">
        <v>6.7458999999999998</v>
      </c>
    </row>
    <row r="1651" spans="1:6" x14ac:dyDescent="0.25">
      <c r="A1651" s="1">
        <v>43950</v>
      </c>
      <c r="B1651">
        <v>7.0731000000000002</v>
      </c>
      <c r="C1651" s="1">
        <v>44117</v>
      </c>
      <c r="D1651">
        <v>6.7465999999999999</v>
      </c>
      <c r="E1651" s="1">
        <v>44117</v>
      </c>
      <c r="F1651">
        <v>6.7465999999999999</v>
      </c>
    </row>
    <row r="1652" spans="1:6" x14ac:dyDescent="0.25">
      <c r="A1652" s="1">
        <v>43951</v>
      </c>
      <c r="B1652">
        <v>7.0816999999999997</v>
      </c>
      <c r="C1652" s="1">
        <v>44118</v>
      </c>
      <c r="D1652">
        <v>6.7149999999999999</v>
      </c>
      <c r="E1652" s="1">
        <v>44118</v>
      </c>
      <c r="F1652">
        <v>6.7149999999999999</v>
      </c>
    </row>
    <row r="1653" spans="1:6" x14ac:dyDescent="0.25">
      <c r="A1653" s="1">
        <v>43952</v>
      </c>
      <c r="B1653">
        <v>7.1349</v>
      </c>
      <c r="C1653" s="1">
        <v>44119</v>
      </c>
      <c r="D1653">
        <v>6.7253999999999996</v>
      </c>
      <c r="E1653" s="1">
        <v>44119</v>
      </c>
      <c r="F1653">
        <v>6.7253999999999996</v>
      </c>
    </row>
    <row r="1654" spans="1:6" x14ac:dyDescent="0.25">
      <c r="A1654" s="1">
        <v>43955</v>
      </c>
      <c r="B1654">
        <v>7.1304999999999996</v>
      </c>
      <c r="C1654" s="1">
        <v>44120</v>
      </c>
      <c r="D1654">
        <v>6.6976000000000004</v>
      </c>
      <c r="E1654" s="1">
        <v>44120</v>
      </c>
      <c r="F1654">
        <v>6.6976000000000004</v>
      </c>
    </row>
    <row r="1655" spans="1:6" x14ac:dyDescent="0.25">
      <c r="A1655" s="1">
        <v>43956</v>
      </c>
      <c r="B1655">
        <v>7.1226000000000003</v>
      </c>
      <c r="C1655" s="1">
        <v>44123</v>
      </c>
      <c r="D1655">
        <v>6.6829999999999998</v>
      </c>
      <c r="E1655" s="1">
        <v>44123</v>
      </c>
      <c r="F1655">
        <v>6.6829999999999998</v>
      </c>
    </row>
    <row r="1656" spans="1:6" x14ac:dyDescent="0.25">
      <c r="A1656" s="1">
        <v>43957</v>
      </c>
      <c r="B1656">
        <v>7.1296999999999997</v>
      </c>
      <c r="C1656" s="1">
        <v>44124</v>
      </c>
      <c r="D1656">
        <v>6.6767000000000003</v>
      </c>
      <c r="E1656" s="1">
        <v>44124</v>
      </c>
      <c r="F1656">
        <v>6.6767000000000003</v>
      </c>
    </row>
    <row r="1657" spans="1:6" x14ac:dyDescent="0.25">
      <c r="A1657" s="1">
        <v>43958</v>
      </c>
      <c r="B1657">
        <v>7.0922000000000001</v>
      </c>
      <c r="C1657" s="1">
        <v>44125</v>
      </c>
      <c r="D1657">
        <v>6.6509999999999998</v>
      </c>
      <c r="E1657" s="1">
        <v>44125</v>
      </c>
      <c r="F1657">
        <v>6.6509999999999998</v>
      </c>
    </row>
    <row r="1658" spans="1:6" x14ac:dyDescent="0.25">
      <c r="A1658" s="1">
        <v>43959</v>
      </c>
      <c r="B1658">
        <v>7.0933999999999999</v>
      </c>
      <c r="C1658" s="1">
        <v>44126</v>
      </c>
      <c r="D1658">
        <v>6.6851000000000003</v>
      </c>
      <c r="E1658" s="1">
        <v>44126</v>
      </c>
      <c r="F1658">
        <v>6.6851000000000003</v>
      </c>
    </row>
    <row r="1659" spans="1:6" x14ac:dyDescent="0.25">
      <c r="A1659" s="1">
        <v>43962</v>
      </c>
      <c r="B1659">
        <v>7.1052</v>
      </c>
      <c r="C1659" s="1">
        <v>44127</v>
      </c>
      <c r="D1659">
        <v>6.6867000000000001</v>
      </c>
      <c r="E1659" s="1">
        <v>44127</v>
      </c>
      <c r="F1659">
        <v>6.6867000000000001</v>
      </c>
    </row>
    <row r="1660" spans="1:6" x14ac:dyDescent="0.25">
      <c r="A1660" s="1">
        <v>43963</v>
      </c>
      <c r="B1660">
        <v>7.1066000000000003</v>
      </c>
      <c r="C1660" s="1">
        <v>44130</v>
      </c>
      <c r="D1660">
        <v>6.7122000000000002</v>
      </c>
      <c r="E1660" s="1">
        <v>44130</v>
      </c>
      <c r="F1660">
        <v>6.7122000000000002</v>
      </c>
    </row>
    <row r="1661" spans="1:6" x14ac:dyDescent="0.25">
      <c r="A1661" s="1">
        <v>43964</v>
      </c>
      <c r="B1661">
        <v>7.1120999999999999</v>
      </c>
      <c r="C1661" s="1">
        <v>44131</v>
      </c>
      <c r="D1661">
        <v>6.7054999999999998</v>
      </c>
      <c r="E1661" s="1">
        <v>44131</v>
      </c>
      <c r="F1661">
        <v>6.7054999999999998</v>
      </c>
    </row>
    <row r="1662" spans="1:6" x14ac:dyDescent="0.25">
      <c r="A1662" s="1">
        <v>43965</v>
      </c>
      <c r="B1662">
        <v>7.11</v>
      </c>
      <c r="C1662" s="1">
        <v>44132</v>
      </c>
      <c r="D1662">
        <v>6.7290000000000001</v>
      </c>
      <c r="E1662" s="1">
        <v>44132</v>
      </c>
      <c r="F1662">
        <v>6.7290000000000001</v>
      </c>
    </row>
    <row r="1663" spans="1:6" x14ac:dyDescent="0.25">
      <c r="A1663" s="1">
        <v>43966</v>
      </c>
      <c r="B1663">
        <v>7.1338999999999997</v>
      </c>
      <c r="C1663" s="1">
        <v>44133</v>
      </c>
      <c r="D1663">
        <v>6.7149999999999999</v>
      </c>
      <c r="E1663" s="1">
        <v>44133</v>
      </c>
      <c r="F1663">
        <v>6.7149999999999999</v>
      </c>
    </row>
    <row r="1664" spans="1:6" x14ac:dyDescent="0.25">
      <c r="A1664" s="1">
        <v>43969</v>
      </c>
      <c r="B1664">
        <v>7.1185999999999998</v>
      </c>
      <c r="C1664" s="1">
        <v>44134</v>
      </c>
      <c r="D1664">
        <v>6.6914999999999996</v>
      </c>
      <c r="E1664" s="1">
        <v>44134</v>
      </c>
      <c r="F1664">
        <v>6.6914999999999996</v>
      </c>
    </row>
    <row r="1665" spans="1:6" x14ac:dyDescent="0.25">
      <c r="A1665" s="1">
        <v>43970</v>
      </c>
      <c r="B1665">
        <v>7.1181000000000001</v>
      </c>
      <c r="C1665" s="1">
        <v>44137</v>
      </c>
      <c r="D1665">
        <v>6.6909000000000001</v>
      </c>
      <c r="E1665" s="1">
        <v>44137</v>
      </c>
      <c r="F1665">
        <v>6.6909000000000001</v>
      </c>
    </row>
    <row r="1666" spans="1:6" x14ac:dyDescent="0.25">
      <c r="A1666" s="1">
        <v>43971</v>
      </c>
      <c r="B1666">
        <v>7.1041999999999996</v>
      </c>
      <c r="C1666" s="1">
        <v>44138</v>
      </c>
      <c r="D1666">
        <v>6.6776</v>
      </c>
      <c r="E1666" s="1">
        <v>44138</v>
      </c>
      <c r="F1666">
        <v>6.6776</v>
      </c>
    </row>
    <row r="1667" spans="1:6" x14ac:dyDescent="0.25">
      <c r="A1667" s="1">
        <v>43972</v>
      </c>
      <c r="B1667">
        <v>7.1325000000000003</v>
      </c>
      <c r="C1667" s="1">
        <v>44139</v>
      </c>
      <c r="D1667">
        <v>6.6524000000000001</v>
      </c>
      <c r="E1667" s="1">
        <v>44139</v>
      </c>
      <c r="F1667">
        <v>6.6524000000000001</v>
      </c>
    </row>
    <row r="1668" spans="1:6" x14ac:dyDescent="0.25">
      <c r="A1668" s="1">
        <v>43973</v>
      </c>
      <c r="B1668">
        <v>7.1485000000000003</v>
      </c>
      <c r="C1668" s="1">
        <v>44140</v>
      </c>
      <c r="D1668">
        <v>6.6064999999999996</v>
      </c>
      <c r="E1668" s="1">
        <v>44140</v>
      </c>
      <c r="F1668">
        <v>6.6064999999999996</v>
      </c>
    </row>
    <row r="1669" spans="1:6" x14ac:dyDescent="0.25">
      <c r="A1669" s="1">
        <v>43976</v>
      </c>
      <c r="B1669">
        <v>7.1479999999999997</v>
      </c>
      <c r="C1669" s="1">
        <v>44141</v>
      </c>
      <c r="D1669">
        <v>6.6124000000000001</v>
      </c>
      <c r="E1669" s="1">
        <v>44141</v>
      </c>
      <c r="F1669">
        <v>6.6124000000000001</v>
      </c>
    </row>
    <row r="1670" spans="1:6" x14ac:dyDescent="0.25">
      <c r="A1670" s="1">
        <v>43977</v>
      </c>
      <c r="B1670">
        <v>7.1445999999999996</v>
      </c>
      <c r="C1670" s="1">
        <v>44144</v>
      </c>
      <c r="D1670">
        <v>6.6295000000000002</v>
      </c>
      <c r="E1670" s="1">
        <v>44144</v>
      </c>
      <c r="F1670">
        <v>6.6295000000000002</v>
      </c>
    </row>
    <row r="1671" spans="1:6" x14ac:dyDescent="0.25">
      <c r="A1671" s="1">
        <v>43978</v>
      </c>
      <c r="B1671">
        <v>7.1763000000000003</v>
      </c>
      <c r="C1671" s="1">
        <v>44145</v>
      </c>
      <c r="D1671">
        <v>6.617</v>
      </c>
      <c r="E1671" s="1">
        <v>44145</v>
      </c>
      <c r="F1671">
        <v>6.617</v>
      </c>
    </row>
    <row r="1672" spans="1:6" x14ac:dyDescent="0.25">
      <c r="A1672" s="1">
        <v>43979</v>
      </c>
      <c r="B1672">
        <v>7.1729000000000003</v>
      </c>
      <c r="C1672" s="1">
        <v>44146</v>
      </c>
      <c r="D1672">
        <v>6.6310000000000002</v>
      </c>
      <c r="E1672" s="1">
        <v>44146</v>
      </c>
      <c r="F1672">
        <v>6.6310000000000002</v>
      </c>
    </row>
    <row r="1673" spans="1:6" x14ac:dyDescent="0.25">
      <c r="A1673" s="1">
        <v>43980</v>
      </c>
      <c r="B1673">
        <v>7.1332000000000004</v>
      </c>
      <c r="C1673" s="1">
        <v>44147</v>
      </c>
      <c r="D1673">
        <v>6.6130000000000004</v>
      </c>
      <c r="E1673" s="1">
        <v>44147</v>
      </c>
      <c r="F1673">
        <v>6.6130000000000004</v>
      </c>
    </row>
    <row r="1674" spans="1:6" x14ac:dyDescent="0.25">
      <c r="A1674" s="1">
        <v>43983</v>
      </c>
      <c r="B1674">
        <v>7.1265000000000001</v>
      </c>
      <c r="C1674" s="1">
        <v>44148</v>
      </c>
      <c r="D1674">
        <v>6.6064999999999996</v>
      </c>
      <c r="E1674" s="1">
        <v>44148</v>
      </c>
      <c r="F1674">
        <v>6.6064999999999996</v>
      </c>
    </row>
    <row r="1675" spans="1:6" x14ac:dyDescent="0.25">
      <c r="A1675" s="1">
        <v>43984</v>
      </c>
      <c r="B1675">
        <v>7.1067999999999998</v>
      </c>
      <c r="C1675" s="1">
        <v>44151</v>
      </c>
      <c r="D1675">
        <v>6.5848000000000004</v>
      </c>
      <c r="E1675" s="1">
        <v>44151</v>
      </c>
      <c r="F1675">
        <v>6.5848000000000004</v>
      </c>
    </row>
    <row r="1676" spans="1:6" x14ac:dyDescent="0.25">
      <c r="A1676" s="1">
        <v>43985</v>
      </c>
      <c r="B1676">
        <v>7.117</v>
      </c>
      <c r="C1676" s="1">
        <v>44152</v>
      </c>
      <c r="D1676">
        <v>6.5567000000000002</v>
      </c>
      <c r="E1676" s="1">
        <v>44152</v>
      </c>
      <c r="F1676">
        <v>6.5567000000000002</v>
      </c>
    </row>
    <row r="1677" spans="1:6" x14ac:dyDescent="0.25">
      <c r="A1677" s="1">
        <v>43986</v>
      </c>
      <c r="B1677">
        <v>7.1086</v>
      </c>
      <c r="C1677" s="1">
        <v>44153</v>
      </c>
      <c r="D1677">
        <v>6.5605000000000002</v>
      </c>
      <c r="E1677" s="1">
        <v>44153</v>
      </c>
      <c r="F1677">
        <v>6.5605000000000002</v>
      </c>
    </row>
    <row r="1678" spans="1:6" x14ac:dyDescent="0.25">
      <c r="A1678" s="1">
        <v>43987</v>
      </c>
      <c r="B1678">
        <v>7.0705</v>
      </c>
      <c r="C1678" s="1">
        <v>44154</v>
      </c>
      <c r="D1678">
        <v>6.5839999999999996</v>
      </c>
      <c r="E1678" s="1">
        <v>44154</v>
      </c>
      <c r="F1678">
        <v>6.5839999999999996</v>
      </c>
    </row>
    <row r="1679" spans="1:6" x14ac:dyDescent="0.25">
      <c r="A1679" s="1">
        <v>43990</v>
      </c>
      <c r="B1679">
        <v>7.0563000000000002</v>
      </c>
      <c r="C1679" s="1">
        <v>44155</v>
      </c>
      <c r="D1679">
        <v>6.5629999999999997</v>
      </c>
      <c r="E1679" s="1">
        <v>44155</v>
      </c>
      <c r="F1679">
        <v>6.5629999999999997</v>
      </c>
    </row>
    <row r="1680" spans="1:6" x14ac:dyDescent="0.25">
      <c r="A1680" s="1">
        <v>43991</v>
      </c>
      <c r="B1680">
        <v>7.0766</v>
      </c>
      <c r="C1680" s="1">
        <v>44158</v>
      </c>
      <c r="D1680">
        <v>6.5860000000000003</v>
      </c>
      <c r="E1680" s="1">
        <v>44158</v>
      </c>
      <c r="F1680">
        <v>6.5860000000000003</v>
      </c>
    </row>
    <row r="1681" spans="1:6" x14ac:dyDescent="0.25">
      <c r="A1681" s="1">
        <v>43992</v>
      </c>
      <c r="B1681">
        <v>7.0537999999999998</v>
      </c>
      <c r="C1681" s="1">
        <v>44159</v>
      </c>
      <c r="D1681">
        <v>6.5914999999999999</v>
      </c>
      <c r="E1681" s="1">
        <v>44159</v>
      </c>
      <c r="F1681">
        <v>6.5914999999999999</v>
      </c>
    </row>
    <row r="1682" spans="1:6" x14ac:dyDescent="0.25">
      <c r="A1682" s="1">
        <v>43993</v>
      </c>
      <c r="B1682">
        <v>7.0807000000000002</v>
      </c>
      <c r="C1682" s="1">
        <v>44160</v>
      </c>
      <c r="D1682">
        <v>6.5789999999999997</v>
      </c>
      <c r="E1682" s="1">
        <v>44160</v>
      </c>
      <c r="F1682">
        <v>6.5789999999999997</v>
      </c>
    </row>
    <row r="1683" spans="1:6" x14ac:dyDescent="0.25">
      <c r="A1683" s="1">
        <v>43994</v>
      </c>
      <c r="B1683">
        <v>7.0774999999999997</v>
      </c>
      <c r="C1683" s="1">
        <v>44161</v>
      </c>
      <c r="D1683">
        <v>6.5755999999999997</v>
      </c>
      <c r="E1683" s="1">
        <v>44161</v>
      </c>
      <c r="F1683">
        <v>6.5755999999999997</v>
      </c>
    </row>
    <row r="1684" spans="1:6" x14ac:dyDescent="0.25">
      <c r="A1684" s="1">
        <v>43997</v>
      </c>
      <c r="B1684">
        <v>7.0721999999999996</v>
      </c>
      <c r="C1684" s="1">
        <v>44162</v>
      </c>
      <c r="D1684">
        <v>6.5781000000000001</v>
      </c>
      <c r="E1684" s="1">
        <v>44162</v>
      </c>
      <c r="F1684">
        <v>6.5781000000000001</v>
      </c>
    </row>
    <row r="1685" spans="1:6" x14ac:dyDescent="0.25">
      <c r="A1685" s="1">
        <v>43998</v>
      </c>
      <c r="B1685">
        <v>7.0820999999999996</v>
      </c>
      <c r="C1685" s="1">
        <v>44165</v>
      </c>
      <c r="D1685">
        <v>6.5789</v>
      </c>
      <c r="E1685" s="1">
        <v>44165</v>
      </c>
      <c r="F1685">
        <v>6.5789</v>
      </c>
    </row>
    <row r="1686" spans="1:6" x14ac:dyDescent="0.25">
      <c r="A1686" s="1">
        <v>43999</v>
      </c>
      <c r="B1686">
        <v>7.0759999999999996</v>
      </c>
      <c r="C1686" s="1">
        <v>44166</v>
      </c>
      <c r="D1686">
        <v>6.5721999999999996</v>
      </c>
      <c r="E1686" s="1">
        <v>44166</v>
      </c>
      <c r="F1686">
        <v>6.5721999999999996</v>
      </c>
    </row>
    <row r="1687" spans="1:6" x14ac:dyDescent="0.25">
      <c r="A1687" s="1">
        <v>44000</v>
      </c>
      <c r="B1687">
        <v>7.0812999999999997</v>
      </c>
      <c r="C1687" s="1">
        <v>44167</v>
      </c>
      <c r="D1687">
        <v>6.5629999999999997</v>
      </c>
      <c r="E1687" s="1">
        <v>44167</v>
      </c>
      <c r="F1687">
        <v>6.5629999999999997</v>
      </c>
    </row>
    <row r="1688" spans="1:6" x14ac:dyDescent="0.25">
      <c r="A1688" s="1">
        <v>44001</v>
      </c>
      <c r="B1688">
        <v>7.0744999999999996</v>
      </c>
      <c r="C1688" s="1">
        <v>44168</v>
      </c>
      <c r="D1688">
        <v>6.5429000000000004</v>
      </c>
      <c r="E1688" s="1">
        <v>44168</v>
      </c>
      <c r="F1688">
        <v>6.5429000000000004</v>
      </c>
    </row>
    <row r="1689" spans="1:6" x14ac:dyDescent="0.25">
      <c r="A1689" s="1">
        <v>44004</v>
      </c>
      <c r="B1689">
        <v>7.0583</v>
      </c>
      <c r="C1689" s="1">
        <v>44169</v>
      </c>
      <c r="D1689">
        <v>6.5315000000000003</v>
      </c>
      <c r="E1689" s="1">
        <v>44169</v>
      </c>
      <c r="F1689">
        <v>6.5315000000000003</v>
      </c>
    </row>
    <row r="1690" spans="1:6" x14ac:dyDescent="0.25">
      <c r="A1690" s="1">
        <v>44005</v>
      </c>
      <c r="B1690">
        <v>7.0606</v>
      </c>
      <c r="C1690" s="1">
        <v>44172</v>
      </c>
      <c r="D1690">
        <v>6.5297000000000001</v>
      </c>
      <c r="E1690" s="1">
        <v>44172</v>
      </c>
      <c r="F1690">
        <v>6.5297000000000001</v>
      </c>
    </row>
    <row r="1691" spans="1:6" x14ac:dyDescent="0.25">
      <c r="A1691" s="1">
        <v>44006</v>
      </c>
      <c r="B1691">
        <v>7.0791000000000004</v>
      </c>
      <c r="C1691" s="1">
        <v>44173</v>
      </c>
      <c r="D1691">
        <v>6.5331000000000001</v>
      </c>
      <c r="E1691" s="1">
        <v>44173</v>
      </c>
      <c r="F1691">
        <v>6.5331000000000001</v>
      </c>
    </row>
    <row r="1692" spans="1:6" x14ac:dyDescent="0.25">
      <c r="A1692" s="1">
        <v>44007</v>
      </c>
      <c r="B1692">
        <v>7.0827</v>
      </c>
      <c r="C1692" s="1">
        <v>44174</v>
      </c>
      <c r="D1692">
        <v>6.5434999999999999</v>
      </c>
      <c r="E1692" s="1">
        <v>44174</v>
      </c>
      <c r="F1692">
        <v>6.5434999999999999</v>
      </c>
    </row>
    <row r="1693" spans="1:6" x14ac:dyDescent="0.25">
      <c r="A1693" s="1">
        <v>44008</v>
      </c>
      <c r="B1693">
        <v>7.0858999999999996</v>
      </c>
      <c r="C1693" s="1">
        <v>44175</v>
      </c>
      <c r="D1693">
        <v>6.5439999999999996</v>
      </c>
      <c r="E1693" s="1">
        <v>44175</v>
      </c>
      <c r="F1693">
        <v>6.5439999999999996</v>
      </c>
    </row>
    <row r="1694" spans="1:6" x14ac:dyDescent="0.25">
      <c r="A1694" s="1">
        <v>44011</v>
      </c>
      <c r="B1694">
        <v>7.0763999999999996</v>
      </c>
      <c r="C1694" s="1">
        <v>44176</v>
      </c>
      <c r="D1694">
        <v>6.5461999999999998</v>
      </c>
      <c r="E1694" s="1">
        <v>44176</v>
      </c>
      <c r="F1694">
        <v>6.5461999999999998</v>
      </c>
    </row>
    <row r="1695" spans="1:6" x14ac:dyDescent="0.25">
      <c r="A1695" s="1">
        <v>44012</v>
      </c>
      <c r="B1695">
        <v>7.0698999999999996</v>
      </c>
      <c r="C1695" s="1">
        <v>44179</v>
      </c>
      <c r="D1695">
        <v>6.5510000000000002</v>
      </c>
      <c r="E1695" s="1">
        <v>44179</v>
      </c>
      <c r="F1695">
        <v>6.5510000000000002</v>
      </c>
    </row>
    <row r="1696" spans="1:6" x14ac:dyDescent="0.25">
      <c r="A1696" s="1">
        <v>44013</v>
      </c>
      <c r="B1696">
        <v>7.0678999999999998</v>
      </c>
      <c r="C1696" s="1">
        <v>44180</v>
      </c>
      <c r="D1696">
        <v>6.5393999999999997</v>
      </c>
      <c r="E1696" s="1">
        <v>44180</v>
      </c>
      <c r="F1696">
        <v>6.5393999999999997</v>
      </c>
    </row>
    <row r="1697" spans="1:6" x14ac:dyDescent="0.25">
      <c r="A1697" s="1">
        <v>44014</v>
      </c>
      <c r="B1697">
        <v>7.0679999999999996</v>
      </c>
      <c r="C1697" s="1">
        <v>44181</v>
      </c>
      <c r="D1697">
        <v>6.5327999999999999</v>
      </c>
      <c r="E1697" s="1">
        <v>44181</v>
      </c>
      <c r="F1697">
        <v>6.5327999999999999</v>
      </c>
    </row>
    <row r="1698" spans="1:6" x14ac:dyDescent="0.25">
      <c r="A1698" s="1">
        <v>44015</v>
      </c>
      <c r="B1698">
        <v>7.0678000000000001</v>
      </c>
      <c r="C1698" s="1">
        <v>44182</v>
      </c>
      <c r="D1698">
        <v>6.5338000000000003</v>
      </c>
      <c r="E1698" s="1">
        <v>44182</v>
      </c>
      <c r="F1698">
        <v>6.5338000000000003</v>
      </c>
    </row>
    <row r="1699" spans="1:6" x14ac:dyDescent="0.25">
      <c r="A1699" s="1">
        <v>44018</v>
      </c>
      <c r="B1699">
        <v>7.0130999999999997</v>
      </c>
      <c r="C1699" s="1">
        <v>44183</v>
      </c>
      <c r="D1699">
        <v>6.54</v>
      </c>
      <c r="E1699" s="1">
        <v>44183</v>
      </c>
      <c r="F1699">
        <v>6.54</v>
      </c>
    </row>
    <row r="1700" spans="1:6" x14ac:dyDescent="0.25">
      <c r="A1700" s="1">
        <v>44019</v>
      </c>
      <c r="B1700">
        <v>7.0228999999999999</v>
      </c>
      <c r="C1700" s="1">
        <v>44186</v>
      </c>
      <c r="D1700">
        <v>6.5496999999999996</v>
      </c>
      <c r="E1700" s="1">
        <v>44186</v>
      </c>
      <c r="F1700">
        <v>6.5496999999999996</v>
      </c>
    </row>
    <row r="1701" spans="1:6" x14ac:dyDescent="0.25">
      <c r="A1701" s="1">
        <v>44020</v>
      </c>
      <c r="B1701">
        <v>6.9985999999999997</v>
      </c>
      <c r="C1701" s="1">
        <v>44187</v>
      </c>
      <c r="D1701">
        <v>6.5429000000000004</v>
      </c>
      <c r="E1701" s="1">
        <v>44187</v>
      </c>
      <c r="F1701">
        <v>6.5429000000000004</v>
      </c>
    </row>
    <row r="1702" spans="1:6" x14ac:dyDescent="0.25">
      <c r="A1702" s="1">
        <v>44021</v>
      </c>
      <c r="B1702">
        <v>6.9976000000000003</v>
      </c>
      <c r="C1702" s="1">
        <v>44188</v>
      </c>
      <c r="D1702">
        <v>6.5406000000000004</v>
      </c>
      <c r="E1702" s="1">
        <v>44188</v>
      </c>
      <c r="F1702">
        <v>6.5406000000000004</v>
      </c>
    </row>
    <row r="1703" spans="1:6" x14ac:dyDescent="0.25">
      <c r="A1703" s="1">
        <v>44022</v>
      </c>
      <c r="B1703">
        <v>7.0106999999999999</v>
      </c>
      <c r="C1703" s="1">
        <v>44189</v>
      </c>
      <c r="D1703">
        <v>6.53</v>
      </c>
      <c r="E1703" s="1">
        <v>44189</v>
      </c>
      <c r="F1703">
        <v>6.53</v>
      </c>
    </row>
    <row r="1704" spans="1:6" x14ac:dyDescent="0.25">
      <c r="A1704" s="1">
        <v>44025</v>
      </c>
      <c r="B1704">
        <v>7.0010000000000003</v>
      </c>
      <c r="C1704" s="1">
        <v>44190</v>
      </c>
      <c r="D1704">
        <v>6.5418000000000003</v>
      </c>
      <c r="E1704" s="1">
        <v>44190</v>
      </c>
      <c r="F1704">
        <v>6.5418000000000003</v>
      </c>
    </row>
    <row r="1705" spans="1:6" x14ac:dyDescent="0.25">
      <c r="A1705" s="1">
        <v>44026</v>
      </c>
      <c r="B1705">
        <v>7.0106000000000002</v>
      </c>
      <c r="C1705" s="1">
        <v>44193</v>
      </c>
      <c r="D1705">
        <v>6.5370999999999997</v>
      </c>
      <c r="E1705" s="1">
        <v>44193</v>
      </c>
      <c r="F1705">
        <v>6.5370999999999997</v>
      </c>
    </row>
    <row r="1706" spans="1:6" x14ac:dyDescent="0.25">
      <c r="A1706" s="1">
        <v>44027</v>
      </c>
      <c r="B1706">
        <v>6.9821999999999997</v>
      </c>
      <c r="C1706" s="1">
        <v>44194</v>
      </c>
      <c r="D1706">
        <v>6.5308000000000002</v>
      </c>
      <c r="E1706" s="1">
        <v>44194</v>
      </c>
      <c r="F1706">
        <v>6.5308000000000002</v>
      </c>
    </row>
    <row r="1707" spans="1:6" x14ac:dyDescent="0.25">
      <c r="A1707" s="1">
        <v>44028</v>
      </c>
      <c r="B1707">
        <v>6.9943</v>
      </c>
      <c r="C1707" s="1">
        <v>44195</v>
      </c>
      <c r="D1707">
        <v>6.5232000000000001</v>
      </c>
      <c r="E1707" s="1">
        <v>44195</v>
      </c>
      <c r="F1707">
        <v>6.5232000000000001</v>
      </c>
    </row>
    <row r="1708" spans="1:6" x14ac:dyDescent="0.25">
      <c r="A1708" s="1">
        <v>44029</v>
      </c>
      <c r="B1708">
        <v>6.9927999999999999</v>
      </c>
      <c r="C1708" s="1">
        <v>44196</v>
      </c>
      <c r="D1708">
        <v>6.5271999999999997</v>
      </c>
      <c r="E1708" s="1">
        <v>44196</v>
      </c>
      <c r="F1708">
        <v>6.5271999999999997</v>
      </c>
    </row>
    <row r="1709" spans="1:6" x14ac:dyDescent="0.25">
      <c r="A1709" s="1">
        <v>44032</v>
      </c>
      <c r="B1709">
        <v>6.9874999999999998</v>
      </c>
      <c r="C1709" s="1">
        <v>44200</v>
      </c>
      <c r="D1709">
        <v>6.4615</v>
      </c>
      <c r="E1709" s="1">
        <v>44200</v>
      </c>
      <c r="F1709">
        <v>6.4615</v>
      </c>
    </row>
    <row r="1710" spans="1:6" x14ac:dyDescent="0.25">
      <c r="A1710" s="1">
        <v>44033</v>
      </c>
      <c r="B1710">
        <v>6.9728000000000003</v>
      </c>
      <c r="C1710" s="1">
        <v>44201</v>
      </c>
      <c r="D1710">
        <v>6.4561000000000002</v>
      </c>
      <c r="E1710" s="1">
        <v>44201</v>
      </c>
      <c r="F1710">
        <v>6.4561000000000002</v>
      </c>
    </row>
    <row r="1711" spans="1:6" x14ac:dyDescent="0.25">
      <c r="A1711" s="1">
        <v>44034</v>
      </c>
      <c r="B1711">
        <v>7.0175999999999998</v>
      </c>
      <c r="C1711" s="1">
        <v>44202</v>
      </c>
      <c r="D1711">
        <v>6.4629000000000003</v>
      </c>
      <c r="E1711" s="1">
        <v>44202</v>
      </c>
      <c r="F1711">
        <v>6.4629000000000003</v>
      </c>
    </row>
    <row r="1712" spans="1:6" x14ac:dyDescent="0.25">
      <c r="A1712" s="1">
        <v>44035</v>
      </c>
      <c r="B1712">
        <v>7.0126999999999997</v>
      </c>
      <c r="C1712" s="1">
        <v>44203</v>
      </c>
      <c r="D1712">
        <v>6.4782999999999999</v>
      </c>
      <c r="E1712" s="1">
        <v>44203</v>
      </c>
      <c r="F1712">
        <v>6.4782999999999999</v>
      </c>
    </row>
    <row r="1713" spans="1:6" x14ac:dyDescent="0.25">
      <c r="A1713" s="1">
        <v>44036</v>
      </c>
      <c r="B1713">
        <v>7.0172999999999996</v>
      </c>
      <c r="C1713" s="1">
        <v>44204</v>
      </c>
      <c r="D1713">
        <v>6.4745999999999997</v>
      </c>
      <c r="E1713" s="1">
        <v>44204</v>
      </c>
      <c r="F1713">
        <v>6.4745999999999997</v>
      </c>
    </row>
    <row r="1714" spans="1:6" x14ac:dyDescent="0.25">
      <c r="A1714" s="1">
        <v>44039</v>
      </c>
      <c r="B1714">
        <v>7</v>
      </c>
      <c r="C1714" s="1">
        <v>44207</v>
      </c>
      <c r="D1714">
        <v>6.4813999999999998</v>
      </c>
      <c r="E1714" s="1">
        <v>44207</v>
      </c>
      <c r="F1714">
        <v>6.4813999999999998</v>
      </c>
    </row>
    <row r="1715" spans="1:6" x14ac:dyDescent="0.25">
      <c r="A1715" s="1">
        <v>44040</v>
      </c>
      <c r="B1715">
        <v>7.0050999999999997</v>
      </c>
      <c r="C1715" s="1">
        <v>44208</v>
      </c>
      <c r="D1715">
        <v>6.4635999999999996</v>
      </c>
      <c r="E1715" s="1">
        <v>44208</v>
      </c>
      <c r="F1715">
        <v>6.4635999999999996</v>
      </c>
    </row>
    <row r="1716" spans="1:6" x14ac:dyDescent="0.25">
      <c r="A1716" s="1">
        <v>44041</v>
      </c>
      <c r="B1716">
        <v>6.9992999999999999</v>
      </c>
      <c r="C1716" s="1">
        <v>44209</v>
      </c>
      <c r="D1716">
        <v>6.4683000000000002</v>
      </c>
      <c r="E1716" s="1">
        <v>44209</v>
      </c>
      <c r="F1716">
        <v>6.4683000000000002</v>
      </c>
    </row>
    <row r="1717" spans="1:6" x14ac:dyDescent="0.25">
      <c r="A1717" s="1">
        <v>44042</v>
      </c>
      <c r="B1717">
        <v>7.0031999999999996</v>
      </c>
      <c r="C1717" s="1">
        <v>44210</v>
      </c>
      <c r="D1717">
        <v>6.4744999999999999</v>
      </c>
      <c r="E1717" s="1">
        <v>44210</v>
      </c>
      <c r="F1717">
        <v>6.4744999999999999</v>
      </c>
    </row>
    <row r="1718" spans="1:6" x14ac:dyDescent="0.25">
      <c r="A1718" s="1">
        <v>44043</v>
      </c>
      <c r="B1718">
        <v>6.9892000000000003</v>
      </c>
      <c r="C1718" s="1">
        <v>44211</v>
      </c>
      <c r="D1718">
        <v>6.4809000000000001</v>
      </c>
      <c r="E1718" s="1">
        <v>44211</v>
      </c>
      <c r="F1718">
        <v>6.4809000000000001</v>
      </c>
    </row>
    <row r="1719" spans="1:6" x14ac:dyDescent="0.25">
      <c r="A1719" s="1">
        <v>44046</v>
      </c>
      <c r="B1719">
        <v>6.9823000000000004</v>
      </c>
      <c r="C1719" s="1">
        <v>44214</v>
      </c>
      <c r="D1719">
        <v>6.4924999999999997</v>
      </c>
      <c r="E1719" s="1">
        <v>44214</v>
      </c>
      <c r="F1719">
        <v>6.4924999999999997</v>
      </c>
    </row>
    <row r="1720" spans="1:6" x14ac:dyDescent="0.25">
      <c r="A1720" s="1">
        <v>44047</v>
      </c>
      <c r="B1720">
        <v>6.9745999999999997</v>
      </c>
      <c r="C1720" s="1">
        <v>44215</v>
      </c>
      <c r="D1720">
        <v>6.4790999999999999</v>
      </c>
      <c r="E1720" s="1">
        <v>44215</v>
      </c>
      <c r="F1720">
        <v>6.4790999999999999</v>
      </c>
    </row>
    <row r="1721" spans="1:6" x14ac:dyDescent="0.25">
      <c r="A1721" s="1">
        <v>44048</v>
      </c>
      <c r="B1721">
        <v>6.9433999999999996</v>
      </c>
      <c r="C1721" s="1">
        <v>44216</v>
      </c>
      <c r="D1721">
        <v>6.4656000000000002</v>
      </c>
      <c r="E1721" s="1">
        <v>44216</v>
      </c>
      <c r="F1721">
        <v>6.4656000000000002</v>
      </c>
    </row>
    <row r="1722" spans="1:6" x14ac:dyDescent="0.25">
      <c r="A1722" s="1">
        <v>44049</v>
      </c>
      <c r="B1722">
        <v>6.9438000000000004</v>
      </c>
      <c r="C1722" s="1">
        <v>44217</v>
      </c>
      <c r="D1722">
        <v>6.4619999999999997</v>
      </c>
      <c r="E1722" s="1">
        <v>44217</v>
      </c>
      <c r="F1722">
        <v>6.4619999999999997</v>
      </c>
    </row>
    <row r="1723" spans="1:6" x14ac:dyDescent="0.25">
      <c r="A1723" s="1">
        <v>44050</v>
      </c>
      <c r="B1723">
        <v>6.9695</v>
      </c>
      <c r="C1723" s="1">
        <v>44218</v>
      </c>
      <c r="D1723">
        <v>6.4814999999999996</v>
      </c>
      <c r="E1723" s="1">
        <v>44218</v>
      </c>
      <c r="F1723">
        <v>6.4814999999999996</v>
      </c>
    </row>
    <row r="1724" spans="1:6" x14ac:dyDescent="0.25">
      <c r="A1724" s="1">
        <v>44053</v>
      </c>
      <c r="B1724">
        <v>6.9610000000000003</v>
      </c>
      <c r="C1724" s="1">
        <v>44221</v>
      </c>
      <c r="D1724">
        <v>6.4801000000000002</v>
      </c>
      <c r="E1724" s="1">
        <v>44221</v>
      </c>
      <c r="F1724">
        <v>6.4801000000000002</v>
      </c>
    </row>
    <row r="1725" spans="1:6" x14ac:dyDescent="0.25">
      <c r="A1725" s="1">
        <v>44054</v>
      </c>
      <c r="B1725">
        <v>6.9414999999999996</v>
      </c>
      <c r="C1725" s="1">
        <v>44222</v>
      </c>
      <c r="D1725">
        <v>6.4650999999999996</v>
      </c>
      <c r="E1725" s="1">
        <v>44222</v>
      </c>
      <c r="F1725">
        <v>6.4650999999999996</v>
      </c>
    </row>
    <row r="1726" spans="1:6" x14ac:dyDescent="0.25">
      <c r="A1726" s="1">
        <v>44055</v>
      </c>
      <c r="B1726">
        <v>6.9333</v>
      </c>
      <c r="C1726" s="1">
        <v>44223</v>
      </c>
      <c r="D1726">
        <v>6.4836</v>
      </c>
      <c r="E1726" s="1">
        <v>44223</v>
      </c>
      <c r="F1726">
        <v>6.4836</v>
      </c>
    </row>
    <row r="1727" spans="1:6" x14ac:dyDescent="0.25">
      <c r="A1727" s="1">
        <v>44056</v>
      </c>
      <c r="B1727">
        <v>6.9480000000000004</v>
      </c>
      <c r="C1727" s="1">
        <v>44224</v>
      </c>
      <c r="D1727">
        <v>6.4494999999999996</v>
      </c>
      <c r="E1727" s="1">
        <v>44224</v>
      </c>
      <c r="F1727">
        <v>6.4494999999999996</v>
      </c>
    </row>
    <row r="1728" spans="1:6" x14ac:dyDescent="0.25">
      <c r="A1728" s="1">
        <v>44057</v>
      </c>
      <c r="B1728">
        <v>6.9443999999999999</v>
      </c>
      <c r="C1728" s="1">
        <v>44225</v>
      </c>
      <c r="D1728">
        <v>6.4291999999999998</v>
      </c>
      <c r="E1728" s="1">
        <v>44225</v>
      </c>
      <c r="F1728">
        <v>6.4291999999999998</v>
      </c>
    </row>
    <row r="1729" spans="1:6" x14ac:dyDescent="0.25">
      <c r="A1729" s="1">
        <v>44060</v>
      </c>
      <c r="B1729">
        <v>6.9324000000000003</v>
      </c>
      <c r="C1729" s="1">
        <v>44228</v>
      </c>
      <c r="D1729">
        <v>6.4679000000000002</v>
      </c>
      <c r="E1729" s="1">
        <v>44228</v>
      </c>
      <c r="F1729">
        <v>6.4679000000000002</v>
      </c>
    </row>
    <row r="1730" spans="1:6" x14ac:dyDescent="0.25">
      <c r="A1730" s="1">
        <v>44061</v>
      </c>
      <c r="B1730">
        <v>6.9059999999999997</v>
      </c>
      <c r="C1730" s="1">
        <v>44229</v>
      </c>
      <c r="D1730">
        <v>6.4573999999999998</v>
      </c>
      <c r="E1730" s="1">
        <v>44229</v>
      </c>
      <c r="F1730">
        <v>6.4573999999999998</v>
      </c>
    </row>
    <row r="1731" spans="1:6" x14ac:dyDescent="0.25">
      <c r="A1731" s="1">
        <v>44062</v>
      </c>
      <c r="B1731">
        <v>6.9219999999999997</v>
      </c>
      <c r="C1731" s="1">
        <v>44230</v>
      </c>
      <c r="D1731">
        <v>6.4619999999999997</v>
      </c>
      <c r="E1731" s="1">
        <v>44230</v>
      </c>
      <c r="F1731">
        <v>6.4619999999999997</v>
      </c>
    </row>
    <row r="1732" spans="1:6" x14ac:dyDescent="0.25">
      <c r="A1732" s="1">
        <v>44063</v>
      </c>
      <c r="B1732">
        <v>6.9070999999999998</v>
      </c>
      <c r="C1732" s="1">
        <v>44231</v>
      </c>
      <c r="D1732">
        <v>6.4718</v>
      </c>
      <c r="E1732" s="1">
        <v>44231</v>
      </c>
      <c r="F1732">
        <v>6.4718</v>
      </c>
    </row>
    <row r="1733" spans="1:6" x14ac:dyDescent="0.25">
      <c r="A1733" s="1">
        <v>44064</v>
      </c>
      <c r="B1733">
        <v>6.9207999999999998</v>
      </c>
      <c r="C1733" s="1">
        <v>44232</v>
      </c>
      <c r="D1733">
        <v>6.4656000000000002</v>
      </c>
      <c r="E1733" s="1">
        <v>44232</v>
      </c>
      <c r="F1733">
        <v>6.4656000000000002</v>
      </c>
    </row>
    <row r="1734" spans="1:6" x14ac:dyDescent="0.25">
      <c r="A1734" s="1">
        <v>44067</v>
      </c>
      <c r="B1734">
        <v>6.9122000000000003</v>
      </c>
      <c r="C1734" s="1">
        <v>44235</v>
      </c>
      <c r="D1734">
        <v>6.4484000000000004</v>
      </c>
      <c r="E1734" s="1">
        <v>44235</v>
      </c>
      <c r="F1734">
        <v>6.4484000000000004</v>
      </c>
    </row>
    <row r="1735" spans="1:6" x14ac:dyDescent="0.25">
      <c r="A1735" s="1">
        <v>44068</v>
      </c>
      <c r="B1735">
        <v>6.9042000000000003</v>
      </c>
      <c r="C1735" s="1">
        <v>44236</v>
      </c>
      <c r="D1735">
        <v>6.4352999999999998</v>
      </c>
      <c r="E1735" s="1">
        <v>44236</v>
      </c>
      <c r="F1735">
        <v>6.4352999999999998</v>
      </c>
    </row>
    <row r="1736" spans="1:6" x14ac:dyDescent="0.25">
      <c r="A1736" s="1">
        <v>44069</v>
      </c>
      <c r="B1736">
        <v>6.8807</v>
      </c>
      <c r="C1736" s="1">
        <v>44237</v>
      </c>
      <c r="D1736">
        <v>6.4583000000000004</v>
      </c>
      <c r="E1736" s="1">
        <v>44237</v>
      </c>
      <c r="F1736">
        <v>6.4583000000000004</v>
      </c>
    </row>
    <row r="1737" spans="1:6" x14ac:dyDescent="0.25">
      <c r="A1737" s="1">
        <v>44070</v>
      </c>
      <c r="B1737">
        <v>6.8887</v>
      </c>
      <c r="C1737" s="1">
        <v>44245</v>
      </c>
      <c r="D1737">
        <v>6.4878</v>
      </c>
      <c r="E1737" s="1">
        <v>44245</v>
      </c>
      <c r="F1737">
        <v>6.4878</v>
      </c>
    </row>
    <row r="1738" spans="1:6" x14ac:dyDescent="0.25">
      <c r="A1738" s="1">
        <v>44071</v>
      </c>
      <c r="B1738">
        <v>6.859</v>
      </c>
      <c r="C1738" s="1">
        <v>44246</v>
      </c>
      <c r="D1738">
        <v>6.4577</v>
      </c>
      <c r="E1738" s="1">
        <v>44246</v>
      </c>
      <c r="F1738">
        <v>6.4577</v>
      </c>
    </row>
    <row r="1739" spans="1:6" x14ac:dyDescent="0.25">
      <c r="A1739" s="1">
        <v>44074</v>
      </c>
      <c r="B1739">
        <v>6.8476999999999997</v>
      </c>
      <c r="C1739" s="1">
        <v>44249</v>
      </c>
      <c r="D1739">
        <v>6.4648000000000003</v>
      </c>
      <c r="E1739" s="1">
        <v>44249</v>
      </c>
      <c r="F1739">
        <v>6.4648000000000003</v>
      </c>
    </row>
    <row r="1740" spans="1:6" x14ac:dyDescent="0.25">
      <c r="A1740" s="1">
        <v>44075</v>
      </c>
      <c r="B1740">
        <v>6.8369999999999997</v>
      </c>
      <c r="C1740" s="1">
        <v>44250</v>
      </c>
      <c r="D1740">
        <v>6.4668000000000001</v>
      </c>
      <c r="E1740" s="1">
        <v>44250</v>
      </c>
      <c r="F1740">
        <v>6.4668000000000001</v>
      </c>
    </row>
    <row r="1741" spans="1:6" x14ac:dyDescent="0.25">
      <c r="A1741" s="1">
        <v>44076</v>
      </c>
      <c r="B1741">
        <v>6.8329000000000004</v>
      </c>
      <c r="C1741" s="1">
        <v>44251</v>
      </c>
      <c r="D1741">
        <v>6.4570999999999996</v>
      </c>
      <c r="E1741" s="1">
        <v>44251</v>
      </c>
      <c r="F1741">
        <v>6.4570999999999996</v>
      </c>
    </row>
    <row r="1742" spans="1:6" x14ac:dyDescent="0.25">
      <c r="A1742" s="1">
        <v>44077</v>
      </c>
      <c r="B1742">
        <v>6.8472</v>
      </c>
      <c r="C1742" s="1">
        <v>44252</v>
      </c>
      <c r="D1742">
        <v>6.4549000000000003</v>
      </c>
      <c r="E1742" s="1">
        <v>44252</v>
      </c>
      <c r="F1742">
        <v>6.4549000000000003</v>
      </c>
    </row>
    <row r="1743" spans="1:6" x14ac:dyDescent="0.25">
      <c r="A1743" s="1">
        <v>44078</v>
      </c>
      <c r="B1743">
        <v>6.8369</v>
      </c>
      <c r="C1743" s="1">
        <v>44253</v>
      </c>
      <c r="D1743">
        <v>6.4789000000000003</v>
      </c>
      <c r="E1743" s="1">
        <v>44253</v>
      </c>
      <c r="F1743">
        <v>6.4789000000000003</v>
      </c>
    </row>
    <row r="1744" spans="1:6" x14ac:dyDescent="0.25">
      <c r="A1744" s="1">
        <v>44081</v>
      </c>
      <c r="B1744">
        <v>6.8324999999999996</v>
      </c>
      <c r="C1744" s="1">
        <v>44256</v>
      </c>
      <c r="D1744">
        <v>6.4660000000000002</v>
      </c>
      <c r="E1744" s="1">
        <v>44256</v>
      </c>
      <c r="F1744">
        <v>6.4660000000000002</v>
      </c>
    </row>
    <row r="1745" spans="1:6" x14ac:dyDescent="0.25">
      <c r="A1745" s="1">
        <v>44082</v>
      </c>
      <c r="B1745">
        <v>6.8537999999999997</v>
      </c>
      <c r="C1745" s="1">
        <v>44257</v>
      </c>
      <c r="D1745">
        <v>6.4706000000000001</v>
      </c>
      <c r="E1745" s="1">
        <v>44257</v>
      </c>
      <c r="F1745">
        <v>6.4706000000000001</v>
      </c>
    </row>
    <row r="1746" spans="1:6" x14ac:dyDescent="0.25">
      <c r="A1746" s="1">
        <v>44083</v>
      </c>
      <c r="B1746">
        <v>6.8316999999999997</v>
      </c>
      <c r="C1746" s="1">
        <v>44258</v>
      </c>
      <c r="D1746">
        <v>6.4679000000000002</v>
      </c>
      <c r="E1746" s="1">
        <v>44258</v>
      </c>
      <c r="F1746">
        <v>6.4679000000000002</v>
      </c>
    </row>
    <row r="1747" spans="1:6" x14ac:dyDescent="0.25">
      <c r="A1747" s="1">
        <v>44084</v>
      </c>
      <c r="B1747">
        <v>6.8451000000000004</v>
      </c>
      <c r="C1747" s="1">
        <v>44259</v>
      </c>
      <c r="D1747">
        <v>6.4699</v>
      </c>
      <c r="E1747" s="1">
        <v>44259</v>
      </c>
      <c r="F1747">
        <v>6.4699</v>
      </c>
    </row>
    <row r="1748" spans="1:6" x14ac:dyDescent="0.25">
      <c r="A1748" s="1">
        <v>44085</v>
      </c>
      <c r="B1748">
        <v>6.8331</v>
      </c>
      <c r="C1748" s="1">
        <v>44260</v>
      </c>
      <c r="D1748">
        <v>6.4970999999999997</v>
      </c>
      <c r="E1748" s="1">
        <v>44260</v>
      </c>
      <c r="F1748">
        <v>6.4970999999999997</v>
      </c>
    </row>
    <row r="1749" spans="1:6" x14ac:dyDescent="0.25">
      <c r="A1749" s="1">
        <v>44088</v>
      </c>
      <c r="B1749">
        <v>6.8083999999999998</v>
      </c>
      <c r="C1749" s="1">
        <v>44263</v>
      </c>
      <c r="D1749">
        <v>6.5259999999999998</v>
      </c>
      <c r="E1749" s="1">
        <v>44263</v>
      </c>
      <c r="F1749">
        <v>6.5259999999999998</v>
      </c>
    </row>
    <row r="1750" spans="1:6" x14ac:dyDescent="0.25">
      <c r="A1750" s="1">
        <v>44089</v>
      </c>
      <c r="B1750">
        <v>6.7803000000000004</v>
      </c>
      <c r="C1750" s="1">
        <v>44264</v>
      </c>
      <c r="D1750">
        <v>6.5065</v>
      </c>
      <c r="E1750" s="1">
        <v>44264</v>
      </c>
      <c r="F1750">
        <v>6.5065</v>
      </c>
    </row>
    <row r="1751" spans="1:6" x14ac:dyDescent="0.25">
      <c r="A1751" s="1">
        <v>44090</v>
      </c>
      <c r="B1751">
        <v>6.7453000000000003</v>
      </c>
      <c r="C1751" s="1">
        <v>44265</v>
      </c>
      <c r="D1751">
        <v>6.5054999999999996</v>
      </c>
      <c r="E1751" s="1">
        <v>44265</v>
      </c>
      <c r="F1751">
        <v>6.5054999999999996</v>
      </c>
    </row>
    <row r="1752" spans="1:6" x14ac:dyDescent="0.25">
      <c r="A1752" s="1">
        <v>44091</v>
      </c>
      <c r="B1752">
        <v>6.7538999999999998</v>
      </c>
      <c r="C1752" s="1">
        <v>44266</v>
      </c>
      <c r="D1752">
        <v>6.4938000000000002</v>
      </c>
      <c r="E1752" s="1">
        <v>44266</v>
      </c>
      <c r="F1752">
        <v>6.4938000000000002</v>
      </c>
    </row>
    <row r="1753" spans="1:6" x14ac:dyDescent="0.25">
      <c r="A1753" s="1">
        <v>44092</v>
      </c>
      <c r="B1753">
        <v>6.7790999999999997</v>
      </c>
      <c r="C1753" s="1">
        <v>44267</v>
      </c>
      <c r="D1753">
        <v>6.5084999999999997</v>
      </c>
      <c r="E1753" s="1">
        <v>44267</v>
      </c>
      <c r="F1753">
        <v>6.5084999999999997</v>
      </c>
    </row>
    <row r="1754" spans="1:6" x14ac:dyDescent="0.25">
      <c r="A1754" s="1">
        <v>44095</v>
      </c>
      <c r="B1754">
        <v>6.7929000000000004</v>
      </c>
      <c r="C1754" s="1">
        <v>44270</v>
      </c>
      <c r="D1754">
        <v>6.5000999999999998</v>
      </c>
      <c r="E1754" s="1">
        <v>44270</v>
      </c>
      <c r="F1754">
        <v>6.5000999999999998</v>
      </c>
    </row>
    <row r="1755" spans="1:6" x14ac:dyDescent="0.25">
      <c r="A1755" s="1">
        <v>44096</v>
      </c>
      <c r="B1755">
        <v>6.7839999999999998</v>
      </c>
      <c r="C1755" s="1">
        <v>44271</v>
      </c>
      <c r="D1755">
        <v>6.5060000000000002</v>
      </c>
      <c r="E1755" s="1">
        <v>44271</v>
      </c>
      <c r="F1755">
        <v>6.5060000000000002</v>
      </c>
    </row>
    <row r="1756" spans="1:6" x14ac:dyDescent="0.25">
      <c r="A1756" s="1">
        <v>44097</v>
      </c>
      <c r="B1756">
        <v>6.8251999999999997</v>
      </c>
      <c r="C1756" s="1">
        <v>44272</v>
      </c>
      <c r="D1756">
        <v>6.5041000000000002</v>
      </c>
      <c r="E1756" s="1">
        <v>44272</v>
      </c>
      <c r="F1756">
        <v>6.5041000000000002</v>
      </c>
    </row>
    <row r="1757" spans="1:6" x14ac:dyDescent="0.25">
      <c r="A1757" s="1">
        <v>44098</v>
      </c>
      <c r="B1757">
        <v>6.8259999999999996</v>
      </c>
      <c r="C1757" s="1">
        <v>44273</v>
      </c>
      <c r="D1757">
        <v>6.5068999999999999</v>
      </c>
      <c r="E1757" s="1">
        <v>44273</v>
      </c>
      <c r="F1757">
        <v>6.5068999999999999</v>
      </c>
    </row>
    <row r="1758" spans="1:6" x14ac:dyDescent="0.25">
      <c r="A1758" s="1">
        <v>44099</v>
      </c>
      <c r="B1758">
        <v>6.8284000000000002</v>
      </c>
      <c r="C1758" s="1">
        <v>44274</v>
      </c>
      <c r="D1758">
        <v>6.5090000000000003</v>
      </c>
      <c r="E1758" s="1">
        <v>44274</v>
      </c>
      <c r="F1758">
        <v>6.5090000000000003</v>
      </c>
    </row>
    <row r="1759" spans="1:6" x14ac:dyDescent="0.25">
      <c r="A1759" s="1">
        <v>44102</v>
      </c>
      <c r="B1759">
        <v>6.8131000000000004</v>
      </c>
      <c r="C1759" s="1">
        <v>44277</v>
      </c>
      <c r="D1759">
        <v>6.5076999999999998</v>
      </c>
      <c r="E1759" s="1">
        <v>44277</v>
      </c>
      <c r="F1759">
        <v>6.5076999999999998</v>
      </c>
    </row>
    <row r="1760" spans="1:6" x14ac:dyDescent="0.25">
      <c r="A1760" s="1">
        <v>44103</v>
      </c>
      <c r="B1760">
        <v>6.8167</v>
      </c>
      <c r="C1760" s="1">
        <v>44278</v>
      </c>
      <c r="D1760">
        <v>6.5162000000000004</v>
      </c>
      <c r="E1760" s="1">
        <v>44278</v>
      </c>
      <c r="F1760">
        <v>6.5162000000000004</v>
      </c>
    </row>
    <row r="1761" spans="1:6" x14ac:dyDescent="0.25">
      <c r="A1761" s="1">
        <v>44104</v>
      </c>
      <c r="B1761">
        <v>6.7838000000000003</v>
      </c>
      <c r="C1761" s="1">
        <v>44279</v>
      </c>
      <c r="D1761">
        <v>6.5244999999999997</v>
      </c>
      <c r="E1761" s="1">
        <v>44279</v>
      </c>
      <c r="F1761">
        <v>6.5244999999999997</v>
      </c>
    </row>
    <row r="1762" spans="1:6" x14ac:dyDescent="0.25">
      <c r="A1762" s="1">
        <v>44105</v>
      </c>
      <c r="B1762">
        <v>6.7492000000000001</v>
      </c>
      <c r="C1762" s="1">
        <v>44280</v>
      </c>
      <c r="D1762">
        <v>6.5462999999999996</v>
      </c>
      <c r="E1762" s="1">
        <v>44280</v>
      </c>
      <c r="F1762">
        <v>6.5462999999999996</v>
      </c>
    </row>
    <row r="1763" spans="1:6" x14ac:dyDescent="0.25">
      <c r="A1763" s="1">
        <v>44106</v>
      </c>
      <c r="B1763">
        <v>6.7537000000000003</v>
      </c>
      <c r="C1763" s="1">
        <v>44281</v>
      </c>
      <c r="D1763">
        <v>6.5411000000000001</v>
      </c>
      <c r="E1763" s="1">
        <v>44281</v>
      </c>
      <c r="F1763">
        <v>6.5411000000000001</v>
      </c>
    </row>
    <row r="1764" spans="1:6" x14ac:dyDescent="0.25">
      <c r="A1764" s="1">
        <v>44109</v>
      </c>
      <c r="B1764">
        <v>6.7191999999999998</v>
      </c>
      <c r="C1764" s="1">
        <v>44284</v>
      </c>
      <c r="D1764">
        <v>6.5701000000000001</v>
      </c>
      <c r="E1764" s="1">
        <v>44284</v>
      </c>
      <c r="F1764">
        <v>6.5701000000000001</v>
      </c>
    </row>
    <row r="1765" spans="1:6" x14ac:dyDescent="0.25">
      <c r="A1765" s="1">
        <v>44110</v>
      </c>
      <c r="B1765">
        <v>6.7474999999999996</v>
      </c>
      <c r="C1765" s="1">
        <v>44285</v>
      </c>
      <c r="D1765">
        <v>6.5717999999999996</v>
      </c>
      <c r="E1765" s="1">
        <v>44285</v>
      </c>
      <c r="F1765">
        <v>6.5717999999999996</v>
      </c>
    </row>
    <row r="1766" spans="1:6" x14ac:dyDescent="0.25">
      <c r="A1766" s="1">
        <v>44111</v>
      </c>
      <c r="B1766">
        <v>6.7346000000000004</v>
      </c>
      <c r="C1766" s="1">
        <v>44286</v>
      </c>
      <c r="D1766">
        <v>6.5528000000000004</v>
      </c>
      <c r="E1766" s="1">
        <v>44286</v>
      </c>
      <c r="F1766">
        <v>6.5528000000000004</v>
      </c>
    </row>
    <row r="1767" spans="1:6" x14ac:dyDescent="0.25">
      <c r="A1767" s="1">
        <v>44112</v>
      </c>
      <c r="B1767">
        <v>6.7382</v>
      </c>
      <c r="C1767" s="1">
        <v>44287</v>
      </c>
      <c r="D1767">
        <v>6.5651999999999999</v>
      </c>
      <c r="E1767" s="1">
        <v>44287</v>
      </c>
      <c r="F1767">
        <v>6.5651999999999999</v>
      </c>
    </row>
    <row r="1768" spans="1:6" x14ac:dyDescent="0.25">
      <c r="A1768" s="1">
        <v>44113</v>
      </c>
      <c r="B1768">
        <v>6.6878000000000002</v>
      </c>
      <c r="C1768" s="1">
        <v>44288</v>
      </c>
      <c r="D1768">
        <v>6.5670000000000002</v>
      </c>
      <c r="E1768" s="1">
        <v>44288</v>
      </c>
      <c r="F1768">
        <v>6.5670000000000002</v>
      </c>
    </row>
    <row r="1769" spans="1:6" x14ac:dyDescent="0.25">
      <c r="A1769" s="1">
        <v>44116</v>
      </c>
      <c r="B1769">
        <v>6.7449000000000003</v>
      </c>
      <c r="C1769" s="1">
        <v>44292</v>
      </c>
      <c r="D1769">
        <v>6.5395000000000003</v>
      </c>
      <c r="E1769" s="1">
        <v>44292</v>
      </c>
      <c r="F1769">
        <v>6.5395000000000003</v>
      </c>
    </row>
    <row r="1770" spans="1:6" x14ac:dyDescent="0.25">
      <c r="A1770" s="1">
        <v>44117</v>
      </c>
      <c r="B1770">
        <v>6.7384000000000004</v>
      </c>
      <c r="C1770" s="1">
        <v>44293</v>
      </c>
      <c r="D1770">
        <v>6.5425000000000004</v>
      </c>
      <c r="E1770" s="1">
        <v>44293</v>
      </c>
      <c r="F1770">
        <v>6.5425000000000004</v>
      </c>
    </row>
    <row r="1771" spans="1:6" x14ac:dyDescent="0.25">
      <c r="A1771" s="1">
        <v>44118</v>
      </c>
      <c r="B1771">
        <v>6.7107999999999999</v>
      </c>
      <c r="C1771" s="1">
        <v>44294</v>
      </c>
      <c r="D1771">
        <v>6.5510999999999999</v>
      </c>
      <c r="E1771" s="1">
        <v>44294</v>
      </c>
      <c r="F1771">
        <v>6.5510999999999999</v>
      </c>
    </row>
    <row r="1772" spans="1:6" x14ac:dyDescent="0.25">
      <c r="A1772" s="1">
        <v>44119</v>
      </c>
      <c r="B1772">
        <v>6.7134</v>
      </c>
      <c r="C1772" s="1">
        <v>44295</v>
      </c>
      <c r="D1772">
        <v>6.5526</v>
      </c>
      <c r="E1772" s="1">
        <v>44295</v>
      </c>
      <c r="F1772">
        <v>6.5526</v>
      </c>
    </row>
    <row r="1773" spans="1:6" x14ac:dyDescent="0.25">
      <c r="A1773" s="1">
        <v>44120</v>
      </c>
      <c r="B1773">
        <v>6.6939000000000002</v>
      </c>
      <c r="C1773" s="1">
        <v>44298</v>
      </c>
      <c r="D1773">
        <v>6.5483000000000002</v>
      </c>
      <c r="E1773" s="1">
        <v>44298</v>
      </c>
      <c r="F1773">
        <v>6.5483000000000002</v>
      </c>
    </row>
    <row r="1774" spans="1:6" x14ac:dyDescent="0.25">
      <c r="A1774" s="1">
        <v>44123</v>
      </c>
      <c r="B1774">
        <v>6.6790000000000003</v>
      </c>
      <c r="C1774" s="1">
        <v>44299</v>
      </c>
      <c r="D1774">
        <v>6.5441000000000003</v>
      </c>
      <c r="E1774" s="1">
        <v>44299</v>
      </c>
      <c r="F1774">
        <v>6.5441000000000003</v>
      </c>
    </row>
    <row r="1775" spans="1:6" x14ac:dyDescent="0.25">
      <c r="A1775" s="1">
        <v>44124</v>
      </c>
      <c r="B1775">
        <v>6.6630000000000003</v>
      </c>
      <c r="C1775" s="1">
        <v>44300</v>
      </c>
      <c r="D1775">
        <v>6.5297000000000001</v>
      </c>
      <c r="E1775" s="1">
        <v>44300</v>
      </c>
      <c r="F1775">
        <v>6.5297000000000001</v>
      </c>
    </row>
    <row r="1776" spans="1:6" x14ac:dyDescent="0.25">
      <c r="A1776" s="1">
        <v>44125</v>
      </c>
      <c r="B1776">
        <v>6.6440999999999999</v>
      </c>
      <c r="C1776" s="1">
        <v>44301</v>
      </c>
      <c r="D1776">
        <v>6.5225999999999997</v>
      </c>
      <c r="E1776" s="1">
        <v>44301</v>
      </c>
      <c r="F1776">
        <v>6.5225999999999997</v>
      </c>
    </row>
    <row r="1777" spans="1:6" x14ac:dyDescent="0.25">
      <c r="A1777" s="1">
        <v>44126</v>
      </c>
      <c r="B1777">
        <v>6.6700999999999997</v>
      </c>
      <c r="C1777" s="1">
        <v>44302</v>
      </c>
      <c r="D1777">
        <v>6.5206</v>
      </c>
      <c r="E1777" s="1">
        <v>44302</v>
      </c>
      <c r="F1777">
        <v>6.5206</v>
      </c>
    </row>
    <row r="1778" spans="1:6" x14ac:dyDescent="0.25">
      <c r="A1778" s="1">
        <v>44127</v>
      </c>
      <c r="B1778">
        <v>6.6679000000000004</v>
      </c>
      <c r="C1778" s="1">
        <v>44305</v>
      </c>
      <c r="D1778">
        <v>6.5103</v>
      </c>
      <c r="E1778" s="1">
        <v>44305</v>
      </c>
      <c r="F1778">
        <v>6.5103</v>
      </c>
    </row>
    <row r="1779" spans="1:6" x14ac:dyDescent="0.25">
      <c r="A1779" s="1">
        <v>44130</v>
      </c>
      <c r="B1779">
        <v>6.7005999999999997</v>
      </c>
      <c r="C1779" s="1">
        <v>44306</v>
      </c>
      <c r="D1779">
        <v>6.4995000000000003</v>
      </c>
      <c r="E1779" s="1">
        <v>44306</v>
      </c>
      <c r="F1779">
        <v>6.4995000000000003</v>
      </c>
    </row>
    <row r="1780" spans="1:6" x14ac:dyDescent="0.25">
      <c r="A1780" s="1">
        <v>44131</v>
      </c>
      <c r="B1780">
        <v>6.7152000000000003</v>
      </c>
      <c r="C1780" s="1">
        <v>44307</v>
      </c>
      <c r="D1780">
        <v>6.4904999999999999</v>
      </c>
      <c r="E1780" s="1">
        <v>44307</v>
      </c>
      <c r="F1780">
        <v>6.4904999999999999</v>
      </c>
    </row>
    <row r="1781" spans="1:6" x14ac:dyDescent="0.25">
      <c r="A1781" s="1">
        <v>44132</v>
      </c>
      <c r="B1781">
        <v>6.7285000000000004</v>
      </c>
      <c r="C1781" s="1">
        <v>44308</v>
      </c>
      <c r="D1781">
        <v>6.4901</v>
      </c>
      <c r="E1781" s="1">
        <v>44308</v>
      </c>
      <c r="F1781">
        <v>6.4901</v>
      </c>
    </row>
    <row r="1782" spans="1:6" x14ac:dyDescent="0.25">
      <c r="A1782" s="1">
        <v>44133</v>
      </c>
      <c r="B1782">
        <v>6.7088999999999999</v>
      </c>
      <c r="C1782" s="1">
        <v>44309</v>
      </c>
      <c r="D1782">
        <v>6.4962999999999997</v>
      </c>
      <c r="E1782" s="1">
        <v>44309</v>
      </c>
      <c r="F1782">
        <v>6.4962999999999997</v>
      </c>
    </row>
    <row r="1783" spans="1:6" x14ac:dyDescent="0.25">
      <c r="A1783" s="1">
        <v>44134</v>
      </c>
      <c r="B1783">
        <v>6.6963999999999997</v>
      </c>
      <c r="C1783" s="1">
        <v>44312</v>
      </c>
      <c r="D1783">
        <v>6.4855</v>
      </c>
      <c r="E1783" s="1">
        <v>44312</v>
      </c>
      <c r="F1783">
        <v>6.4855</v>
      </c>
    </row>
    <row r="1784" spans="1:6" x14ac:dyDescent="0.25">
      <c r="A1784" s="1">
        <v>44137</v>
      </c>
      <c r="B1784">
        <v>6.6889000000000003</v>
      </c>
      <c r="C1784" s="1">
        <v>44313</v>
      </c>
      <c r="D1784">
        <v>6.4831000000000003</v>
      </c>
      <c r="E1784" s="1">
        <v>44313</v>
      </c>
      <c r="F1784">
        <v>6.4831000000000003</v>
      </c>
    </row>
    <row r="1785" spans="1:6" x14ac:dyDescent="0.25">
      <c r="A1785" s="1">
        <v>44138</v>
      </c>
      <c r="B1785">
        <v>6.6829000000000001</v>
      </c>
      <c r="C1785" s="1">
        <v>44314</v>
      </c>
      <c r="D1785">
        <v>6.4790000000000001</v>
      </c>
      <c r="E1785" s="1">
        <v>44314</v>
      </c>
      <c r="F1785">
        <v>6.4790000000000001</v>
      </c>
    </row>
    <row r="1786" spans="1:6" x14ac:dyDescent="0.25">
      <c r="A1786" s="1">
        <v>44139</v>
      </c>
      <c r="B1786">
        <v>6.6237000000000004</v>
      </c>
      <c r="C1786" s="1">
        <v>44315</v>
      </c>
      <c r="D1786">
        <v>6.4722</v>
      </c>
      <c r="E1786" s="1">
        <v>44315</v>
      </c>
      <c r="F1786">
        <v>6.4722</v>
      </c>
    </row>
    <row r="1787" spans="1:6" x14ac:dyDescent="0.25">
      <c r="A1787" s="1">
        <v>44140</v>
      </c>
      <c r="B1787">
        <v>6.6092000000000004</v>
      </c>
      <c r="C1787" s="1">
        <v>44316</v>
      </c>
      <c r="D1787">
        <v>6.4748999999999999</v>
      </c>
      <c r="E1787" s="1">
        <v>44316</v>
      </c>
      <c r="F1787">
        <v>6.4748999999999999</v>
      </c>
    </row>
    <row r="1788" spans="1:6" x14ac:dyDescent="0.25">
      <c r="A1788" s="1">
        <v>44141</v>
      </c>
      <c r="B1788">
        <v>6.5914999999999999</v>
      </c>
      <c r="C1788" s="1">
        <v>44322</v>
      </c>
      <c r="D1788">
        <v>6.4641000000000002</v>
      </c>
      <c r="E1788" s="1">
        <v>44322</v>
      </c>
      <c r="F1788">
        <v>6.4641000000000002</v>
      </c>
    </row>
    <row r="1789" spans="1:6" x14ac:dyDescent="0.25">
      <c r="A1789" s="1">
        <v>44144</v>
      </c>
      <c r="B1789">
        <v>6.6162999999999998</v>
      </c>
      <c r="C1789" s="1">
        <v>44323</v>
      </c>
      <c r="D1789">
        <v>6.4333</v>
      </c>
      <c r="E1789" s="1">
        <v>44323</v>
      </c>
      <c r="F1789">
        <v>6.4333</v>
      </c>
    </row>
    <row r="1790" spans="1:6" x14ac:dyDescent="0.25">
      <c r="A1790" s="1">
        <v>44145</v>
      </c>
      <c r="B1790">
        <v>6.5990000000000002</v>
      </c>
      <c r="C1790" s="1">
        <v>44326</v>
      </c>
      <c r="D1790">
        <v>6.4165000000000001</v>
      </c>
      <c r="E1790" s="1">
        <v>44326</v>
      </c>
      <c r="F1790">
        <v>6.4165000000000001</v>
      </c>
    </row>
    <row r="1791" spans="1:6" x14ac:dyDescent="0.25">
      <c r="A1791" s="1">
        <v>44146</v>
      </c>
      <c r="B1791">
        <v>6.6180000000000003</v>
      </c>
      <c r="C1791" s="1">
        <v>44327</v>
      </c>
      <c r="D1791">
        <v>6.4291999999999998</v>
      </c>
      <c r="E1791" s="1">
        <v>44327</v>
      </c>
      <c r="F1791">
        <v>6.4291999999999998</v>
      </c>
    </row>
    <row r="1792" spans="1:6" x14ac:dyDescent="0.25">
      <c r="A1792" s="1">
        <v>44147</v>
      </c>
      <c r="B1792">
        <v>6.6173999999999999</v>
      </c>
      <c r="C1792" s="1">
        <v>44328</v>
      </c>
      <c r="D1792">
        <v>6.4564000000000004</v>
      </c>
      <c r="E1792" s="1">
        <v>44328</v>
      </c>
      <c r="F1792">
        <v>6.4564000000000004</v>
      </c>
    </row>
    <row r="1793" spans="1:6" x14ac:dyDescent="0.25">
      <c r="A1793" s="1">
        <v>44148</v>
      </c>
      <c r="B1793">
        <v>6.6001000000000003</v>
      </c>
      <c r="C1793" s="1">
        <v>44329</v>
      </c>
      <c r="D1793">
        <v>6.452</v>
      </c>
      <c r="E1793" s="1">
        <v>44329</v>
      </c>
      <c r="F1793">
        <v>6.452</v>
      </c>
    </row>
    <row r="1794" spans="1:6" x14ac:dyDescent="0.25">
      <c r="A1794" s="1">
        <v>44151</v>
      </c>
      <c r="B1794">
        <v>6.5743</v>
      </c>
      <c r="C1794" s="1">
        <v>44330</v>
      </c>
      <c r="D1794">
        <v>6.4371</v>
      </c>
      <c r="E1794" s="1">
        <v>44330</v>
      </c>
      <c r="F1794">
        <v>6.4371</v>
      </c>
    </row>
    <row r="1795" spans="1:6" x14ac:dyDescent="0.25">
      <c r="A1795" s="1">
        <v>44152</v>
      </c>
      <c r="B1795">
        <v>6.5480999999999998</v>
      </c>
      <c r="C1795" s="1">
        <v>44333</v>
      </c>
      <c r="D1795">
        <v>6.4390000000000001</v>
      </c>
      <c r="E1795" s="1">
        <v>44333</v>
      </c>
      <c r="F1795">
        <v>6.4390000000000001</v>
      </c>
    </row>
    <row r="1796" spans="1:6" x14ac:dyDescent="0.25">
      <c r="A1796" s="1">
        <v>44153</v>
      </c>
      <c r="B1796">
        <v>6.5617999999999999</v>
      </c>
      <c r="C1796" s="1">
        <v>44334</v>
      </c>
      <c r="D1796">
        <v>6.4257</v>
      </c>
      <c r="E1796" s="1">
        <v>44334</v>
      </c>
      <c r="F1796">
        <v>6.4257</v>
      </c>
    </row>
    <row r="1797" spans="1:6" x14ac:dyDescent="0.25">
      <c r="A1797" s="1">
        <v>44154</v>
      </c>
      <c r="B1797">
        <v>6.5770999999999997</v>
      </c>
      <c r="C1797" s="1">
        <v>44335</v>
      </c>
      <c r="D1797">
        <v>6.4348999999999998</v>
      </c>
      <c r="E1797" s="1">
        <v>44335</v>
      </c>
      <c r="F1797">
        <v>6.4348999999999998</v>
      </c>
    </row>
    <row r="1798" spans="1:6" x14ac:dyDescent="0.25">
      <c r="A1798" s="1">
        <v>44155</v>
      </c>
      <c r="B1798">
        <v>6.5519999999999996</v>
      </c>
      <c r="C1798" s="1">
        <v>44336</v>
      </c>
      <c r="D1798">
        <v>6.4348000000000001</v>
      </c>
      <c r="E1798" s="1">
        <v>44336</v>
      </c>
      <c r="F1798">
        <v>6.4348000000000001</v>
      </c>
    </row>
    <row r="1799" spans="1:6" x14ac:dyDescent="0.25">
      <c r="A1799" s="1">
        <v>44158</v>
      </c>
      <c r="B1799">
        <v>6.5815000000000001</v>
      </c>
      <c r="C1799" s="1">
        <v>44337</v>
      </c>
      <c r="D1799">
        <v>6.4340000000000002</v>
      </c>
      <c r="E1799" s="1">
        <v>44337</v>
      </c>
      <c r="F1799">
        <v>6.4340000000000002</v>
      </c>
    </row>
    <row r="1800" spans="1:6" x14ac:dyDescent="0.25">
      <c r="A1800" s="1">
        <v>44159</v>
      </c>
      <c r="B1800">
        <v>6.5750999999999999</v>
      </c>
      <c r="C1800" s="1">
        <v>44340</v>
      </c>
      <c r="D1800">
        <v>6.4192999999999998</v>
      </c>
      <c r="E1800" s="1">
        <v>44340</v>
      </c>
      <c r="F1800">
        <v>6.4192999999999998</v>
      </c>
    </row>
    <row r="1801" spans="1:6" x14ac:dyDescent="0.25">
      <c r="A1801" s="1">
        <v>44160</v>
      </c>
      <c r="B1801">
        <v>6.5631000000000004</v>
      </c>
      <c r="C1801" s="1">
        <v>44341</v>
      </c>
      <c r="D1801">
        <v>6.4107000000000003</v>
      </c>
      <c r="E1801" s="1">
        <v>44341</v>
      </c>
      <c r="F1801">
        <v>6.4107000000000003</v>
      </c>
    </row>
    <row r="1802" spans="1:6" x14ac:dyDescent="0.25">
      <c r="A1802" s="1">
        <v>44161</v>
      </c>
      <c r="B1802">
        <v>6.5694999999999997</v>
      </c>
      <c r="C1802" s="1">
        <v>44342</v>
      </c>
      <c r="D1802">
        <v>6.3907999999999996</v>
      </c>
      <c r="E1802" s="1">
        <v>44342</v>
      </c>
      <c r="F1802">
        <v>6.3907999999999996</v>
      </c>
    </row>
    <row r="1803" spans="1:6" x14ac:dyDescent="0.25">
      <c r="A1803" s="1">
        <v>44162</v>
      </c>
      <c r="B1803">
        <v>6.5754000000000001</v>
      </c>
      <c r="C1803" s="1">
        <v>44343</v>
      </c>
      <c r="D1803">
        <v>6.3833000000000002</v>
      </c>
      <c r="E1803" s="1">
        <v>44343</v>
      </c>
      <c r="F1803">
        <v>6.3833000000000002</v>
      </c>
    </row>
    <row r="1804" spans="1:6" x14ac:dyDescent="0.25">
      <c r="A1804" s="1">
        <v>44165</v>
      </c>
      <c r="B1804">
        <v>6.5838999999999999</v>
      </c>
      <c r="C1804" s="1">
        <v>44344</v>
      </c>
      <c r="D1804">
        <v>6.3685</v>
      </c>
      <c r="E1804" s="1">
        <v>44344</v>
      </c>
      <c r="F1804">
        <v>6.3685</v>
      </c>
    </row>
    <row r="1805" spans="1:6" x14ac:dyDescent="0.25">
      <c r="A1805" s="1">
        <v>44166</v>
      </c>
      <c r="B1805">
        <v>6.5523999999999996</v>
      </c>
      <c r="C1805" s="1">
        <v>44347</v>
      </c>
      <c r="D1805">
        <v>6.3700999999999999</v>
      </c>
      <c r="E1805" s="1">
        <v>44347</v>
      </c>
      <c r="F1805">
        <v>6.3700999999999999</v>
      </c>
    </row>
    <row r="1806" spans="1:6" x14ac:dyDescent="0.25">
      <c r="A1806" s="1">
        <v>44167</v>
      </c>
      <c r="B1806">
        <v>6.5435999999999996</v>
      </c>
      <c r="C1806" s="1">
        <v>44348</v>
      </c>
      <c r="D1806">
        <v>6.3811999999999998</v>
      </c>
      <c r="E1806" s="1">
        <v>44348</v>
      </c>
      <c r="F1806">
        <v>6.3811999999999998</v>
      </c>
    </row>
    <row r="1807" spans="1:6" x14ac:dyDescent="0.25">
      <c r="A1807" s="1">
        <v>44168</v>
      </c>
      <c r="B1807">
        <v>6.5355999999999996</v>
      </c>
      <c r="C1807" s="1">
        <v>44349</v>
      </c>
      <c r="D1807">
        <v>6.3811</v>
      </c>
      <c r="E1807" s="1">
        <v>44349</v>
      </c>
      <c r="F1807">
        <v>6.3811</v>
      </c>
    </row>
    <row r="1808" spans="1:6" x14ac:dyDescent="0.25">
      <c r="A1808" s="1">
        <v>44169</v>
      </c>
      <c r="B1808">
        <v>6.5172999999999996</v>
      </c>
      <c r="C1808" s="1">
        <v>44350</v>
      </c>
      <c r="D1808">
        <v>6.4038000000000004</v>
      </c>
      <c r="E1808" s="1">
        <v>44350</v>
      </c>
      <c r="F1808">
        <v>6.4038000000000004</v>
      </c>
    </row>
    <row r="1809" spans="1:6" x14ac:dyDescent="0.25">
      <c r="A1809" s="1">
        <v>44172</v>
      </c>
      <c r="B1809">
        <v>6.5195999999999996</v>
      </c>
      <c r="C1809" s="1">
        <v>44351</v>
      </c>
      <c r="D1809">
        <v>6.3952</v>
      </c>
      <c r="E1809" s="1">
        <v>44351</v>
      </c>
      <c r="F1809">
        <v>6.3952</v>
      </c>
    </row>
    <row r="1810" spans="1:6" x14ac:dyDescent="0.25">
      <c r="A1810" s="1">
        <v>44173</v>
      </c>
      <c r="B1810">
        <v>6.5202</v>
      </c>
      <c r="C1810" s="1">
        <v>44354</v>
      </c>
      <c r="D1810">
        <v>6.3974000000000002</v>
      </c>
      <c r="E1810" s="1">
        <v>44354</v>
      </c>
      <c r="F1810">
        <v>6.3974000000000002</v>
      </c>
    </row>
    <row r="1811" spans="1:6" x14ac:dyDescent="0.25">
      <c r="A1811" s="1">
        <v>44174</v>
      </c>
      <c r="B1811">
        <v>6.5284000000000004</v>
      </c>
      <c r="C1811" s="1">
        <v>44355</v>
      </c>
      <c r="D1811">
        <v>6.4005000000000001</v>
      </c>
      <c r="E1811" s="1">
        <v>44355</v>
      </c>
      <c r="F1811">
        <v>6.4005000000000001</v>
      </c>
    </row>
    <row r="1812" spans="1:6" x14ac:dyDescent="0.25">
      <c r="A1812" s="1">
        <v>44175</v>
      </c>
      <c r="B1812">
        <v>6.5355999999999996</v>
      </c>
      <c r="C1812" s="1">
        <v>44356</v>
      </c>
      <c r="D1812">
        <v>6.3872</v>
      </c>
      <c r="E1812" s="1">
        <v>44356</v>
      </c>
      <c r="F1812">
        <v>6.3872</v>
      </c>
    </row>
    <row r="1813" spans="1:6" x14ac:dyDescent="0.25">
      <c r="A1813" s="1">
        <v>44176</v>
      </c>
      <c r="B1813">
        <v>6.5396999999999998</v>
      </c>
      <c r="C1813" s="1">
        <v>44357</v>
      </c>
      <c r="D1813">
        <v>6.3932000000000002</v>
      </c>
      <c r="E1813" s="1">
        <v>44357</v>
      </c>
      <c r="F1813">
        <v>6.3932000000000002</v>
      </c>
    </row>
    <row r="1814" spans="1:6" x14ac:dyDescent="0.25">
      <c r="A1814" s="1">
        <v>44179</v>
      </c>
      <c r="B1814">
        <v>6.5289999999999999</v>
      </c>
      <c r="C1814" s="1">
        <v>44358</v>
      </c>
      <c r="D1814">
        <v>6.3986999999999998</v>
      </c>
      <c r="E1814" s="1">
        <v>44358</v>
      </c>
      <c r="F1814">
        <v>6.3986999999999998</v>
      </c>
    </row>
    <row r="1815" spans="1:6" x14ac:dyDescent="0.25">
      <c r="A1815" s="1">
        <v>44180</v>
      </c>
      <c r="B1815">
        <v>6.5171000000000001</v>
      </c>
      <c r="C1815" s="1">
        <v>44362</v>
      </c>
      <c r="D1815">
        <v>6.4061000000000003</v>
      </c>
      <c r="E1815" s="1">
        <v>44362</v>
      </c>
      <c r="F1815">
        <v>6.4061000000000003</v>
      </c>
    </row>
    <row r="1816" spans="1:6" x14ac:dyDescent="0.25">
      <c r="A1816" s="1">
        <v>44181</v>
      </c>
      <c r="B1816">
        <v>6.5125000000000002</v>
      </c>
      <c r="C1816" s="1">
        <v>44363</v>
      </c>
      <c r="D1816">
        <v>6.3979999999999997</v>
      </c>
      <c r="E1816" s="1">
        <v>44363</v>
      </c>
      <c r="F1816">
        <v>6.3979999999999997</v>
      </c>
    </row>
    <row r="1817" spans="1:6" x14ac:dyDescent="0.25">
      <c r="A1817" s="1">
        <v>44182</v>
      </c>
      <c r="B1817">
        <v>6.5167999999999999</v>
      </c>
      <c r="C1817" s="1">
        <v>44364</v>
      </c>
      <c r="D1817">
        <v>6.4482999999999997</v>
      </c>
      <c r="E1817" s="1">
        <v>44364</v>
      </c>
      <c r="F1817">
        <v>6.4482999999999997</v>
      </c>
    </row>
    <row r="1818" spans="1:6" x14ac:dyDescent="0.25">
      <c r="A1818" s="1">
        <v>44183</v>
      </c>
      <c r="B1818">
        <v>6.5179999999999998</v>
      </c>
      <c r="C1818" s="1">
        <v>44365</v>
      </c>
      <c r="D1818">
        <v>6.4531000000000001</v>
      </c>
      <c r="E1818" s="1">
        <v>44365</v>
      </c>
      <c r="F1818">
        <v>6.4531000000000001</v>
      </c>
    </row>
    <row r="1819" spans="1:6" x14ac:dyDescent="0.25">
      <c r="A1819" s="1">
        <v>44186</v>
      </c>
      <c r="B1819">
        <v>6.5358999999999998</v>
      </c>
      <c r="C1819" s="1">
        <v>44368</v>
      </c>
      <c r="D1819">
        <v>6.4668999999999999</v>
      </c>
      <c r="E1819" s="1">
        <v>44368</v>
      </c>
      <c r="F1819">
        <v>6.4668999999999999</v>
      </c>
    </row>
    <row r="1820" spans="1:6" x14ac:dyDescent="0.25">
      <c r="A1820" s="1">
        <v>44187</v>
      </c>
      <c r="B1820">
        <v>6.5400999999999998</v>
      </c>
      <c r="C1820" s="1">
        <v>44369</v>
      </c>
      <c r="D1820">
        <v>6.4810999999999996</v>
      </c>
      <c r="E1820" s="1">
        <v>44369</v>
      </c>
      <c r="F1820">
        <v>6.4810999999999996</v>
      </c>
    </row>
    <row r="1821" spans="1:6" x14ac:dyDescent="0.25">
      <c r="A1821" s="1">
        <v>44188</v>
      </c>
      <c r="B1821">
        <v>6.5339</v>
      </c>
      <c r="C1821" s="1">
        <v>44370</v>
      </c>
      <c r="D1821">
        <v>6.4743000000000004</v>
      </c>
      <c r="E1821" s="1">
        <v>44370</v>
      </c>
      <c r="F1821">
        <v>6.4743000000000004</v>
      </c>
    </row>
    <row r="1822" spans="1:6" x14ac:dyDescent="0.25">
      <c r="A1822" s="1">
        <v>44189</v>
      </c>
      <c r="B1822">
        <v>6.5178000000000003</v>
      </c>
      <c r="C1822" s="1">
        <v>44371</v>
      </c>
      <c r="D1822">
        <v>6.4718999999999998</v>
      </c>
      <c r="E1822" s="1">
        <v>44371</v>
      </c>
      <c r="F1822">
        <v>6.4718999999999998</v>
      </c>
    </row>
    <row r="1823" spans="1:6" x14ac:dyDescent="0.25">
      <c r="A1823" s="1">
        <v>44190</v>
      </c>
      <c r="B1823">
        <v>6.5103999999999997</v>
      </c>
      <c r="C1823" s="1">
        <v>44372</v>
      </c>
      <c r="D1823">
        <v>6.4561999999999999</v>
      </c>
      <c r="E1823" s="1">
        <v>44372</v>
      </c>
      <c r="F1823">
        <v>6.4561999999999999</v>
      </c>
    </row>
    <row r="1824" spans="1:6" x14ac:dyDescent="0.25">
      <c r="A1824" s="1">
        <v>44193</v>
      </c>
      <c r="B1824">
        <v>6.5331999999999999</v>
      </c>
      <c r="C1824" s="1">
        <v>44375</v>
      </c>
      <c r="D1824">
        <v>6.4565999999999999</v>
      </c>
      <c r="E1824" s="1">
        <v>44375</v>
      </c>
      <c r="F1824">
        <v>6.4565999999999999</v>
      </c>
    </row>
    <row r="1825" spans="1:6" x14ac:dyDescent="0.25">
      <c r="A1825" s="1">
        <v>44194</v>
      </c>
      <c r="B1825">
        <v>6.5179999999999998</v>
      </c>
      <c r="C1825" s="1">
        <v>44376</v>
      </c>
      <c r="D1825">
        <v>6.4637000000000002</v>
      </c>
      <c r="E1825" s="1">
        <v>44376</v>
      </c>
      <c r="F1825">
        <v>6.4637000000000002</v>
      </c>
    </row>
    <row r="1826" spans="1:6" x14ac:dyDescent="0.25">
      <c r="A1826" s="1">
        <v>44195</v>
      </c>
      <c r="B1826">
        <v>6.5061999999999998</v>
      </c>
      <c r="C1826" s="1">
        <v>44377</v>
      </c>
      <c r="D1826">
        <v>6.4570999999999996</v>
      </c>
      <c r="E1826" s="1">
        <v>44377</v>
      </c>
      <c r="F1826">
        <v>6.4570999999999996</v>
      </c>
    </row>
    <row r="1827" spans="1:6" x14ac:dyDescent="0.25">
      <c r="A1827" s="1">
        <v>44196</v>
      </c>
      <c r="B1827">
        <v>6.5027999999999997</v>
      </c>
      <c r="C1827" s="1">
        <v>44378</v>
      </c>
      <c r="D1827">
        <v>6.4691000000000001</v>
      </c>
      <c r="E1827" s="1">
        <v>44378</v>
      </c>
      <c r="F1827">
        <v>6.4691000000000001</v>
      </c>
    </row>
    <row r="1828" spans="1:6" x14ac:dyDescent="0.25">
      <c r="A1828" s="1">
        <v>44200</v>
      </c>
      <c r="B1828">
        <v>6.4550999999999998</v>
      </c>
      <c r="C1828" s="1">
        <v>44379</v>
      </c>
      <c r="D1828">
        <v>6.4729999999999999</v>
      </c>
      <c r="E1828" s="1">
        <v>44379</v>
      </c>
      <c r="F1828">
        <v>6.4729999999999999</v>
      </c>
    </row>
    <row r="1829" spans="1:6" x14ac:dyDescent="0.25">
      <c r="A1829" s="1">
        <v>44201</v>
      </c>
      <c r="B1829">
        <v>6.4370000000000003</v>
      </c>
      <c r="C1829" s="1">
        <v>44382</v>
      </c>
      <c r="D1829">
        <v>6.4641999999999999</v>
      </c>
      <c r="E1829" s="1">
        <v>44382</v>
      </c>
      <c r="F1829">
        <v>6.4641999999999999</v>
      </c>
    </row>
    <row r="1830" spans="1:6" x14ac:dyDescent="0.25">
      <c r="A1830" s="1">
        <v>44202</v>
      </c>
      <c r="B1830">
        <v>6.4497999999999998</v>
      </c>
      <c r="C1830" s="1">
        <v>44383</v>
      </c>
      <c r="D1830">
        <v>6.4790999999999999</v>
      </c>
      <c r="E1830" s="1">
        <v>44383</v>
      </c>
      <c r="F1830">
        <v>6.4790999999999999</v>
      </c>
    </row>
    <row r="1831" spans="1:6" x14ac:dyDescent="0.25">
      <c r="A1831" s="1">
        <v>44203</v>
      </c>
      <c r="B1831">
        <v>6.4714</v>
      </c>
      <c r="C1831" s="1">
        <v>44384</v>
      </c>
      <c r="D1831">
        <v>6.4728000000000003</v>
      </c>
      <c r="E1831" s="1">
        <v>44384</v>
      </c>
      <c r="F1831">
        <v>6.4728000000000003</v>
      </c>
    </row>
    <row r="1832" spans="1:6" x14ac:dyDescent="0.25">
      <c r="A1832" s="1">
        <v>44204</v>
      </c>
      <c r="B1832">
        <v>6.4649000000000001</v>
      </c>
      <c r="C1832" s="1">
        <v>44385</v>
      </c>
      <c r="D1832">
        <v>6.4904999999999999</v>
      </c>
      <c r="E1832" s="1">
        <v>44385</v>
      </c>
      <c r="F1832">
        <v>6.4904999999999999</v>
      </c>
    </row>
    <row r="1833" spans="1:6" x14ac:dyDescent="0.25">
      <c r="A1833" s="1">
        <v>44207</v>
      </c>
      <c r="B1833">
        <v>6.4794</v>
      </c>
      <c r="C1833" s="1">
        <v>44386</v>
      </c>
      <c r="D1833">
        <v>6.4790000000000001</v>
      </c>
      <c r="E1833" s="1">
        <v>44386</v>
      </c>
      <c r="F1833">
        <v>6.4790000000000001</v>
      </c>
    </row>
    <row r="1834" spans="1:6" x14ac:dyDescent="0.25">
      <c r="A1834" s="1">
        <v>44208</v>
      </c>
      <c r="B1834">
        <v>6.4424000000000001</v>
      </c>
      <c r="C1834" s="1">
        <v>44389</v>
      </c>
      <c r="D1834">
        <v>6.4759000000000002</v>
      </c>
      <c r="E1834" s="1">
        <v>44389</v>
      </c>
      <c r="F1834">
        <v>6.4759000000000002</v>
      </c>
    </row>
    <row r="1835" spans="1:6" x14ac:dyDescent="0.25">
      <c r="A1835" s="1">
        <v>44209</v>
      </c>
      <c r="B1835">
        <v>6.4669999999999996</v>
      </c>
      <c r="C1835" s="1">
        <v>44390</v>
      </c>
      <c r="D1835">
        <v>6.4687999999999999</v>
      </c>
      <c r="E1835" s="1">
        <v>44390</v>
      </c>
      <c r="F1835">
        <v>6.4687999999999999</v>
      </c>
    </row>
    <row r="1836" spans="1:6" x14ac:dyDescent="0.25">
      <c r="A1836" s="1">
        <v>44210</v>
      </c>
      <c r="B1836">
        <v>6.4642999999999997</v>
      </c>
      <c r="C1836" s="1">
        <v>44391</v>
      </c>
      <c r="D1836">
        <v>6.4691999999999998</v>
      </c>
      <c r="E1836" s="1">
        <v>44391</v>
      </c>
      <c r="F1836">
        <v>6.4691999999999998</v>
      </c>
    </row>
    <row r="1837" spans="1:6" x14ac:dyDescent="0.25">
      <c r="A1837" s="1">
        <v>44211</v>
      </c>
      <c r="B1837">
        <v>6.4847000000000001</v>
      </c>
      <c r="C1837" s="1">
        <v>44392</v>
      </c>
      <c r="D1837">
        <v>6.4608999999999996</v>
      </c>
      <c r="E1837" s="1">
        <v>44392</v>
      </c>
      <c r="F1837">
        <v>6.4608999999999996</v>
      </c>
    </row>
    <row r="1838" spans="1:6" x14ac:dyDescent="0.25">
      <c r="A1838" s="1">
        <v>44214</v>
      </c>
      <c r="B1838">
        <v>6.4970999999999997</v>
      </c>
      <c r="C1838" s="1">
        <v>44393</v>
      </c>
      <c r="D1838">
        <v>6.4790999999999999</v>
      </c>
      <c r="E1838" s="1">
        <v>44393</v>
      </c>
      <c r="F1838">
        <v>6.4790999999999999</v>
      </c>
    </row>
    <row r="1839" spans="1:6" x14ac:dyDescent="0.25">
      <c r="A1839" s="1">
        <v>44215</v>
      </c>
      <c r="B1839">
        <v>6.4808000000000003</v>
      </c>
      <c r="C1839" s="1">
        <v>44396</v>
      </c>
      <c r="D1839">
        <v>6.4904999999999999</v>
      </c>
      <c r="E1839" s="1">
        <v>44396</v>
      </c>
      <c r="F1839">
        <v>6.4904999999999999</v>
      </c>
    </row>
    <row r="1840" spans="1:6" x14ac:dyDescent="0.25">
      <c r="A1840" s="1">
        <v>44216</v>
      </c>
      <c r="B1840">
        <v>6.4617000000000004</v>
      </c>
      <c r="C1840" s="1">
        <v>44397</v>
      </c>
      <c r="D1840">
        <v>6.4850000000000003</v>
      </c>
      <c r="E1840" s="1">
        <v>44397</v>
      </c>
      <c r="F1840">
        <v>6.4850000000000003</v>
      </c>
    </row>
    <row r="1841" spans="1:6" x14ac:dyDescent="0.25">
      <c r="A1841" s="1">
        <v>44217</v>
      </c>
      <c r="B1841">
        <v>6.4653</v>
      </c>
      <c r="C1841" s="1">
        <v>44398</v>
      </c>
      <c r="D1841">
        <v>6.468</v>
      </c>
      <c r="E1841" s="1">
        <v>44398</v>
      </c>
      <c r="F1841">
        <v>6.468</v>
      </c>
    </row>
    <row r="1842" spans="1:6" x14ac:dyDescent="0.25">
      <c r="A1842" s="1">
        <v>44218</v>
      </c>
      <c r="B1842">
        <v>6.4969999999999999</v>
      </c>
      <c r="C1842" s="1">
        <v>44399</v>
      </c>
      <c r="D1842">
        <v>6.4706999999999999</v>
      </c>
      <c r="E1842" s="1">
        <v>44399</v>
      </c>
      <c r="F1842">
        <v>6.4706999999999999</v>
      </c>
    </row>
    <row r="1843" spans="1:6" x14ac:dyDescent="0.25">
      <c r="A1843" s="1">
        <v>44221</v>
      </c>
      <c r="B1843">
        <v>6.4870999999999999</v>
      </c>
      <c r="C1843" s="1">
        <v>44400</v>
      </c>
      <c r="D1843">
        <v>6.4813000000000001</v>
      </c>
      <c r="E1843" s="1">
        <v>44400</v>
      </c>
      <c r="F1843">
        <v>6.4813000000000001</v>
      </c>
    </row>
    <row r="1844" spans="1:6" x14ac:dyDescent="0.25">
      <c r="A1844" s="1">
        <v>44222</v>
      </c>
      <c r="B1844">
        <v>6.4726999999999997</v>
      </c>
      <c r="C1844" s="1">
        <v>44403</v>
      </c>
      <c r="D1844">
        <v>6.4828999999999999</v>
      </c>
      <c r="E1844" s="1">
        <v>44403</v>
      </c>
      <c r="F1844">
        <v>6.4828999999999999</v>
      </c>
    </row>
    <row r="1845" spans="1:6" x14ac:dyDescent="0.25">
      <c r="A1845" s="1">
        <v>44223</v>
      </c>
      <c r="B1845">
        <v>6.4961000000000002</v>
      </c>
      <c r="C1845" s="1">
        <v>44404</v>
      </c>
      <c r="D1845">
        <v>6.5111999999999997</v>
      </c>
      <c r="E1845" s="1">
        <v>44404</v>
      </c>
      <c r="F1845">
        <v>6.5111999999999997</v>
      </c>
    </row>
    <row r="1846" spans="1:6" x14ac:dyDescent="0.25">
      <c r="A1846" s="1">
        <v>44224</v>
      </c>
      <c r="B1846">
        <v>6.4743000000000004</v>
      </c>
      <c r="C1846" s="1">
        <v>44405</v>
      </c>
      <c r="D1846">
        <v>6.4908999999999999</v>
      </c>
      <c r="E1846" s="1">
        <v>44405</v>
      </c>
      <c r="F1846">
        <v>6.4908999999999999</v>
      </c>
    </row>
    <row r="1847" spans="1:6" x14ac:dyDescent="0.25">
      <c r="A1847" s="1">
        <v>44225</v>
      </c>
      <c r="B1847">
        <v>6.4522000000000004</v>
      </c>
      <c r="C1847" s="1">
        <v>44406</v>
      </c>
      <c r="D1847">
        <v>6.4564000000000004</v>
      </c>
      <c r="E1847" s="1">
        <v>44406</v>
      </c>
      <c r="F1847">
        <v>6.4564000000000004</v>
      </c>
    </row>
    <row r="1848" spans="1:6" x14ac:dyDescent="0.25">
      <c r="A1848" s="1">
        <v>44228</v>
      </c>
      <c r="B1848">
        <v>6.4743000000000004</v>
      </c>
      <c r="C1848" s="1">
        <v>44407</v>
      </c>
      <c r="D1848">
        <v>6.4614000000000003</v>
      </c>
      <c r="E1848" s="1">
        <v>44407</v>
      </c>
      <c r="F1848">
        <v>6.4614000000000003</v>
      </c>
    </row>
    <row r="1849" spans="1:6" x14ac:dyDescent="0.25">
      <c r="A1849" s="1">
        <v>44229</v>
      </c>
      <c r="B1849">
        <v>6.4588999999999999</v>
      </c>
      <c r="C1849" s="1">
        <v>44410</v>
      </c>
      <c r="D1849">
        <v>6.4621000000000004</v>
      </c>
      <c r="E1849" s="1">
        <v>44410</v>
      </c>
      <c r="F1849">
        <v>6.4621000000000004</v>
      </c>
    </row>
    <row r="1850" spans="1:6" x14ac:dyDescent="0.25">
      <c r="A1850" s="1">
        <v>44230</v>
      </c>
      <c r="B1850">
        <v>6.4595000000000002</v>
      </c>
      <c r="C1850" s="1">
        <v>44411</v>
      </c>
      <c r="D1850">
        <v>6.4702999999999999</v>
      </c>
      <c r="E1850" s="1">
        <v>44411</v>
      </c>
      <c r="F1850">
        <v>6.4702999999999999</v>
      </c>
    </row>
    <row r="1851" spans="1:6" x14ac:dyDescent="0.25">
      <c r="A1851" s="1">
        <v>44231</v>
      </c>
      <c r="B1851">
        <v>6.4725999999999999</v>
      </c>
      <c r="C1851" s="1">
        <v>44412</v>
      </c>
      <c r="D1851">
        <v>6.4661999999999997</v>
      </c>
      <c r="E1851" s="1">
        <v>44412</v>
      </c>
      <c r="F1851">
        <v>6.4661999999999997</v>
      </c>
    </row>
    <row r="1852" spans="1:6" x14ac:dyDescent="0.25">
      <c r="A1852" s="1">
        <v>44232</v>
      </c>
      <c r="B1852">
        <v>6.4592999999999998</v>
      </c>
      <c r="C1852" s="1">
        <v>44413</v>
      </c>
      <c r="D1852">
        <v>6.4615</v>
      </c>
      <c r="E1852" s="1">
        <v>44413</v>
      </c>
      <c r="F1852">
        <v>6.4615</v>
      </c>
    </row>
    <row r="1853" spans="1:6" x14ac:dyDescent="0.25">
      <c r="A1853" s="1">
        <v>44235</v>
      </c>
      <c r="B1853">
        <v>6.4410999999999996</v>
      </c>
      <c r="C1853" s="1">
        <v>44414</v>
      </c>
      <c r="D1853">
        <v>6.4831000000000003</v>
      </c>
      <c r="E1853" s="1">
        <v>44414</v>
      </c>
      <c r="F1853">
        <v>6.4831000000000003</v>
      </c>
    </row>
    <row r="1854" spans="1:6" x14ac:dyDescent="0.25">
      <c r="A1854" s="1">
        <v>44236</v>
      </c>
      <c r="B1854">
        <v>6.4203999999999999</v>
      </c>
      <c r="C1854" s="1">
        <v>44417</v>
      </c>
      <c r="D1854">
        <v>6.4863999999999997</v>
      </c>
      <c r="E1854" s="1">
        <v>44417</v>
      </c>
      <c r="F1854">
        <v>6.4863999999999997</v>
      </c>
    </row>
    <row r="1855" spans="1:6" x14ac:dyDescent="0.25">
      <c r="A1855" s="1">
        <v>44237</v>
      </c>
      <c r="B1855">
        <v>6.4290000000000003</v>
      </c>
      <c r="C1855" s="1">
        <v>44418</v>
      </c>
      <c r="D1855">
        <v>6.4859</v>
      </c>
      <c r="E1855" s="1">
        <v>44418</v>
      </c>
      <c r="F1855">
        <v>6.4859</v>
      </c>
    </row>
    <row r="1856" spans="1:6" x14ac:dyDescent="0.25">
      <c r="A1856" s="1">
        <v>44238</v>
      </c>
      <c r="B1856">
        <v>6.4233000000000002</v>
      </c>
      <c r="C1856" s="1">
        <v>44419</v>
      </c>
      <c r="D1856">
        <v>6.4794999999999998</v>
      </c>
      <c r="E1856" s="1">
        <v>44419</v>
      </c>
      <c r="F1856">
        <v>6.4794999999999998</v>
      </c>
    </row>
    <row r="1857" spans="1:6" x14ac:dyDescent="0.25">
      <c r="A1857" s="1">
        <v>44239</v>
      </c>
      <c r="B1857">
        <v>6.4217000000000004</v>
      </c>
      <c r="C1857" s="1">
        <v>44420</v>
      </c>
      <c r="D1857">
        <v>6.4794999999999998</v>
      </c>
      <c r="E1857" s="1">
        <v>44420</v>
      </c>
      <c r="F1857">
        <v>6.4794999999999998</v>
      </c>
    </row>
    <row r="1858" spans="1:6" x14ac:dyDescent="0.25">
      <c r="A1858" s="1">
        <v>44242</v>
      </c>
      <c r="B1858">
        <v>6.4059999999999997</v>
      </c>
      <c r="C1858" s="1">
        <v>44421</v>
      </c>
      <c r="D1858">
        <v>6.4774000000000003</v>
      </c>
      <c r="E1858" s="1">
        <v>44421</v>
      </c>
      <c r="F1858">
        <v>6.4774000000000003</v>
      </c>
    </row>
    <row r="1859" spans="1:6" x14ac:dyDescent="0.25">
      <c r="A1859" s="1">
        <v>44243</v>
      </c>
      <c r="B1859">
        <v>6.4250999999999996</v>
      </c>
      <c r="C1859" s="1">
        <v>44424</v>
      </c>
      <c r="D1859">
        <v>6.4747000000000003</v>
      </c>
      <c r="E1859" s="1">
        <v>44424</v>
      </c>
      <c r="F1859">
        <v>6.4747000000000003</v>
      </c>
    </row>
    <row r="1860" spans="1:6" x14ac:dyDescent="0.25">
      <c r="A1860" s="1">
        <v>44244</v>
      </c>
      <c r="B1860">
        <v>6.4355000000000002</v>
      </c>
      <c r="C1860" s="1">
        <v>44425</v>
      </c>
      <c r="D1860">
        <v>6.4863</v>
      </c>
      <c r="E1860" s="1">
        <v>44425</v>
      </c>
      <c r="F1860">
        <v>6.4863</v>
      </c>
    </row>
    <row r="1861" spans="1:6" x14ac:dyDescent="0.25">
      <c r="A1861" s="1">
        <v>44245</v>
      </c>
      <c r="B1861">
        <v>6.46</v>
      </c>
      <c r="C1861" s="1">
        <v>44426</v>
      </c>
      <c r="D1861">
        <v>6.4847000000000001</v>
      </c>
      <c r="E1861" s="1">
        <v>44426</v>
      </c>
      <c r="F1861">
        <v>6.4847000000000001</v>
      </c>
    </row>
    <row r="1862" spans="1:6" x14ac:dyDescent="0.25">
      <c r="A1862" s="1">
        <v>44246</v>
      </c>
      <c r="B1862">
        <v>6.4542000000000002</v>
      </c>
      <c r="C1862" s="1">
        <v>44427</v>
      </c>
      <c r="D1862">
        <v>6.4949000000000003</v>
      </c>
      <c r="E1862" s="1">
        <v>44427</v>
      </c>
      <c r="F1862">
        <v>6.4949000000000003</v>
      </c>
    </row>
    <row r="1863" spans="1:6" x14ac:dyDescent="0.25">
      <c r="A1863" s="1">
        <v>44249</v>
      </c>
      <c r="B1863">
        <v>6.4667000000000003</v>
      </c>
      <c r="C1863" s="1">
        <v>44428</v>
      </c>
      <c r="D1863">
        <v>6.5015000000000001</v>
      </c>
      <c r="E1863" s="1">
        <v>44428</v>
      </c>
      <c r="F1863">
        <v>6.5015000000000001</v>
      </c>
    </row>
    <row r="1864" spans="1:6" x14ac:dyDescent="0.25">
      <c r="A1864" s="1">
        <v>44250</v>
      </c>
      <c r="B1864">
        <v>6.4600999999999997</v>
      </c>
      <c r="C1864" s="1">
        <v>44431</v>
      </c>
      <c r="D1864">
        <v>6.4816000000000003</v>
      </c>
      <c r="E1864" s="1">
        <v>44431</v>
      </c>
      <c r="F1864">
        <v>6.4816000000000003</v>
      </c>
    </row>
    <row r="1865" spans="1:6" x14ac:dyDescent="0.25">
      <c r="A1865" s="1">
        <v>44251</v>
      </c>
      <c r="B1865">
        <v>6.4476000000000004</v>
      </c>
      <c r="C1865" s="1">
        <v>44432</v>
      </c>
      <c r="D1865">
        <v>6.4714</v>
      </c>
      <c r="E1865" s="1">
        <v>44432</v>
      </c>
      <c r="F1865">
        <v>6.4714</v>
      </c>
    </row>
    <row r="1866" spans="1:6" x14ac:dyDescent="0.25">
      <c r="A1866" s="1">
        <v>44252</v>
      </c>
      <c r="B1866">
        <v>6.4892000000000003</v>
      </c>
      <c r="C1866" s="1">
        <v>44433</v>
      </c>
      <c r="D1866">
        <v>6.4756999999999998</v>
      </c>
      <c r="E1866" s="1">
        <v>44433</v>
      </c>
      <c r="F1866">
        <v>6.4756999999999998</v>
      </c>
    </row>
    <row r="1867" spans="1:6" x14ac:dyDescent="0.25">
      <c r="A1867" s="1">
        <v>44253</v>
      </c>
      <c r="B1867">
        <v>6.4806999999999997</v>
      </c>
      <c r="C1867" s="1">
        <v>44434</v>
      </c>
      <c r="D1867">
        <v>6.4817999999999998</v>
      </c>
      <c r="E1867" s="1">
        <v>44434</v>
      </c>
      <c r="F1867">
        <v>6.4817999999999998</v>
      </c>
    </row>
    <row r="1868" spans="1:6" x14ac:dyDescent="0.25">
      <c r="A1868" s="1">
        <v>44256</v>
      </c>
      <c r="B1868">
        <v>6.4699</v>
      </c>
      <c r="C1868" s="1">
        <v>44435</v>
      </c>
      <c r="D1868">
        <v>6.4720000000000004</v>
      </c>
      <c r="E1868" s="1">
        <v>44435</v>
      </c>
      <c r="F1868">
        <v>6.4720000000000004</v>
      </c>
    </row>
    <row r="1869" spans="1:6" x14ac:dyDescent="0.25">
      <c r="A1869" s="1">
        <v>44257</v>
      </c>
      <c r="B1869">
        <v>6.4748000000000001</v>
      </c>
      <c r="C1869" s="1">
        <v>44438</v>
      </c>
      <c r="D1869">
        <v>6.4667000000000003</v>
      </c>
      <c r="E1869" s="1">
        <v>44438</v>
      </c>
      <c r="F1869">
        <v>6.4667000000000003</v>
      </c>
    </row>
    <row r="1870" spans="1:6" x14ac:dyDescent="0.25">
      <c r="A1870" s="1">
        <v>44258</v>
      </c>
      <c r="B1870">
        <v>6.4774000000000003</v>
      </c>
      <c r="C1870" s="1">
        <v>44439</v>
      </c>
      <c r="D1870">
        <v>6.4607000000000001</v>
      </c>
      <c r="E1870" s="1">
        <v>44439</v>
      </c>
      <c r="F1870">
        <v>6.4607000000000001</v>
      </c>
    </row>
    <row r="1871" spans="1:6" x14ac:dyDescent="0.25">
      <c r="A1871" s="1">
        <v>44259</v>
      </c>
      <c r="B1871">
        <v>6.4917999999999996</v>
      </c>
      <c r="C1871" s="1">
        <v>44440</v>
      </c>
      <c r="D1871">
        <v>6.4599000000000002</v>
      </c>
      <c r="E1871" s="1">
        <v>44440</v>
      </c>
      <c r="F1871">
        <v>6.4599000000000002</v>
      </c>
    </row>
    <row r="1872" spans="1:6" x14ac:dyDescent="0.25">
      <c r="A1872" s="1">
        <v>44260</v>
      </c>
      <c r="B1872">
        <v>6.5163000000000002</v>
      </c>
      <c r="C1872" s="1">
        <v>44441</v>
      </c>
      <c r="D1872">
        <v>6.4565000000000001</v>
      </c>
      <c r="E1872" s="1">
        <v>44441</v>
      </c>
      <c r="F1872">
        <v>6.4565000000000001</v>
      </c>
    </row>
    <row r="1873" spans="1:6" x14ac:dyDescent="0.25">
      <c r="A1873" s="1">
        <v>44263</v>
      </c>
      <c r="B1873">
        <v>6.5514999999999999</v>
      </c>
      <c r="C1873" s="1">
        <v>44442</v>
      </c>
      <c r="D1873">
        <v>6.4551999999999996</v>
      </c>
      <c r="E1873" s="1">
        <v>44442</v>
      </c>
      <c r="F1873">
        <v>6.4551999999999996</v>
      </c>
    </row>
    <row r="1874" spans="1:6" x14ac:dyDescent="0.25">
      <c r="A1874" s="1">
        <v>44264</v>
      </c>
      <c r="B1874">
        <v>6.5186999999999999</v>
      </c>
      <c r="C1874" s="1">
        <v>44445</v>
      </c>
      <c r="D1874">
        <v>6.4581999999999997</v>
      </c>
      <c r="E1874" s="1">
        <v>44445</v>
      </c>
      <c r="F1874">
        <v>6.4581999999999997</v>
      </c>
    </row>
    <row r="1875" spans="1:6" x14ac:dyDescent="0.25">
      <c r="A1875" s="1">
        <v>44265</v>
      </c>
      <c r="B1875">
        <v>6.4947999999999997</v>
      </c>
      <c r="C1875" s="1">
        <v>44446</v>
      </c>
      <c r="D1875">
        <v>6.4667000000000003</v>
      </c>
      <c r="E1875" s="1">
        <v>44446</v>
      </c>
      <c r="F1875">
        <v>6.4667000000000003</v>
      </c>
    </row>
    <row r="1876" spans="1:6" x14ac:dyDescent="0.25">
      <c r="A1876" s="1">
        <v>44266</v>
      </c>
      <c r="B1876">
        <v>6.4787999999999997</v>
      </c>
      <c r="C1876" s="1">
        <v>44447</v>
      </c>
      <c r="D1876">
        <v>6.4617000000000004</v>
      </c>
      <c r="E1876" s="1">
        <v>44447</v>
      </c>
      <c r="F1876">
        <v>6.4617000000000004</v>
      </c>
    </row>
    <row r="1877" spans="1:6" x14ac:dyDescent="0.25">
      <c r="A1877" s="1">
        <v>44267</v>
      </c>
      <c r="B1877">
        <v>6.4962</v>
      </c>
      <c r="C1877" s="1">
        <v>44448</v>
      </c>
      <c r="D1877">
        <v>6.4554</v>
      </c>
      <c r="E1877" s="1">
        <v>44448</v>
      </c>
      <c r="F1877">
        <v>6.4554</v>
      </c>
    </row>
    <row r="1878" spans="1:6" x14ac:dyDescent="0.25">
      <c r="A1878" s="1">
        <v>44270</v>
      </c>
      <c r="B1878">
        <v>6.4980000000000002</v>
      </c>
      <c r="C1878" s="1">
        <v>44449</v>
      </c>
      <c r="D1878">
        <v>6.4443000000000001</v>
      </c>
      <c r="E1878" s="1">
        <v>44449</v>
      </c>
      <c r="F1878">
        <v>6.4443000000000001</v>
      </c>
    </row>
    <row r="1879" spans="1:6" x14ac:dyDescent="0.25">
      <c r="A1879" s="1">
        <v>44271</v>
      </c>
      <c r="B1879">
        <v>6.5011000000000001</v>
      </c>
      <c r="C1879" s="1">
        <v>44452</v>
      </c>
      <c r="D1879">
        <v>6.4518000000000004</v>
      </c>
      <c r="E1879" s="1">
        <v>44452</v>
      </c>
      <c r="F1879">
        <v>6.4518000000000004</v>
      </c>
    </row>
    <row r="1880" spans="1:6" x14ac:dyDescent="0.25">
      <c r="A1880" s="1">
        <v>44272</v>
      </c>
      <c r="B1880">
        <v>6.4861000000000004</v>
      </c>
      <c r="C1880" s="1">
        <v>44453</v>
      </c>
      <c r="D1880">
        <v>6.4386000000000001</v>
      </c>
      <c r="E1880" s="1">
        <v>44453</v>
      </c>
      <c r="F1880">
        <v>6.4386000000000001</v>
      </c>
    </row>
    <row r="1881" spans="1:6" x14ac:dyDescent="0.25">
      <c r="A1881" s="1">
        <v>44273</v>
      </c>
      <c r="B1881">
        <v>6.5072000000000001</v>
      </c>
      <c r="C1881" s="1">
        <v>44454</v>
      </c>
      <c r="D1881">
        <v>6.4325000000000001</v>
      </c>
      <c r="E1881" s="1">
        <v>44454</v>
      </c>
      <c r="F1881">
        <v>6.4325000000000001</v>
      </c>
    </row>
    <row r="1882" spans="1:6" x14ac:dyDescent="0.25">
      <c r="A1882" s="1">
        <v>44274</v>
      </c>
      <c r="B1882">
        <v>6.5079000000000002</v>
      </c>
      <c r="C1882" s="1">
        <v>44455</v>
      </c>
      <c r="D1882">
        <v>6.4576000000000002</v>
      </c>
      <c r="E1882" s="1">
        <v>44455</v>
      </c>
      <c r="F1882">
        <v>6.4576000000000002</v>
      </c>
    </row>
    <row r="1883" spans="1:6" x14ac:dyDescent="0.25">
      <c r="A1883" s="1">
        <v>44277</v>
      </c>
      <c r="B1883">
        <v>6.5071000000000003</v>
      </c>
      <c r="C1883" s="1">
        <v>44456</v>
      </c>
      <c r="D1883">
        <v>6.4661</v>
      </c>
      <c r="E1883" s="1">
        <v>44456</v>
      </c>
      <c r="F1883">
        <v>6.4661</v>
      </c>
    </row>
    <row r="1884" spans="1:6" x14ac:dyDescent="0.25">
      <c r="A1884" s="1">
        <v>44278</v>
      </c>
      <c r="B1884">
        <v>6.5202999999999998</v>
      </c>
      <c r="C1884" s="1">
        <v>44461</v>
      </c>
      <c r="D1884">
        <v>6.4622000000000002</v>
      </c>
      <c r="E1884" s="1">
        <v>44461</v>
      </c>
      <c r="F1884">
        <v>6.4622000000000002</v>
      </c>
    </row>
    <row r="1885" spans="1:6" x14ac:dyDescent="0.25">
      <c r="A1885" s="1">
        <v>44279</v>
      </c>
      <c r="B1885">
        <v>6.5292000000000003</v>
      </c>
      <c r="C1885" s="1">
        <v>44462</v>
      </c>
      <c r="D1885">
        <v>6.4588999999999999</v>
      </c>
      <c r="E1885" s="1">
        <v>44462</v>
      </c>
      <c r="F1885">
        <v>6.4588999999999999</v>
      </c>
    </row>
    <row r="1886" spans="1:6" x14ac:dyDescent="0.25">
      <c r="A1886" s="1">
        <v>44280</v>
      </c>
      <c r="B1886">
        <v>6.5481999999999996</v>
      </c>
      <c r="C1886" s="1">
        <v>44463</v>
      </c>
      <c r="D1886">
        <v>6.4661999999999997</v>
      </c>
      <c r="E1886" s="1">
        <v>44463</v>
      </c>
      <c r="F1886">
        <v>6.4661999999999997</v>
      </c>
    </row>
    <row r="1887" spans="1:6" x14ac:dyDescent="0.25">
      <c r="A1887" s="1">
        <v>44281</v>
      </c>
      <c r="B1887">
        <v>6.5400999999999998</v>
      </c>
      <c r="C1887" s="1">
        <v>44466</v>
      </c>
      <c r="D1887">
        <v>6.4569999999999999</v>
      </c>
      <c r="E1887" s="1">
        <v>44466</v>
      </c>
      <c r="F1887">
        <v>6.4569999999999999</v>
      </c>
    </row>
    <row r="1888" spans="1:6" x14ac:dyDescent="0.25">
      <c r="A1888" s="1">
        <v>44284</v>
      </c>
      <c r="B1888">
        <v>6.5750999999999999</v>
      </c>
      <c r="C1888" s="1">
        <v>44467</v>
      </c>
      <c r="D1888">
        <v>6.4603000000000002</v>
      </c>
      <c r="E1888" s="1">
        <v>44467</v>
      </c>
      <c r="F1888">
        <v>6.4603000000000002</v>
      </c>
    </row>
    <row r="1889" spans="1:6" x14ac:dyDescent="0.25">
      <c r="A1889" s="1">
        <v>44285</v>
      </c>
      <c r="B1889">
        <v>6.5728999999999997</v>
      </c>
      <c r="C1889" s="1">
        <v>44468</v>
      </c>
      <c r="D1889">
        <v>6.4707999999999997</v>
      </c>
      <c r="E1889" s="1">
        <v>44468</v>
      </c>
      <c r="F1889">
        <v>6.4707999999999997</v>
      </c>
    </row>
    <row r="1890" spans="1:6" x14ac:dyDescent="0.25">
      <c r="A1890" s="1">
        <v>44286</v>
      </c>
      <c r="B1890">
        <v>6.5647000000000002</v>
      </c>
      <c r="C1890" s="1">
        <v>44469</v>
      </c>
      <c r="D1890">
        <v>6.4447999999999999</v>
      </c>
      <c r="E1890" s="1">
        <v>44469</v>
      </c>
      <c r="F1890">
        <v>6.4447999999999999</v>
      </c>
    </row>
    <row r="1891" spans="1:6" x14ac:dyDescent="0.25">
      <c r="A1891" s="1">
        <v>44287</v>
      </c>
      <c r="B1891">
        <v>6.5747</v>
      </c>
      <c r="C1891" s="1">
        <v>44477</v>
      </c>
      <c r="D1891">
        <v>6.4436999999999998</v>
      </c>
      <c r="E1891" s="1">
        <v>44477</v>
      </c>
      <c r="F1891">
        <v>6.4436999999999998</v>
      </c>
    </row>
    <row r="1892" spans="1:6" x14ac:dyDescent="0.25">
      <c r="A1892" s="1">
        <v>44288</v>
      </c>
      <c r="B1892">
        <v>6.5770999999999997</v>
      </c>
      <c r="C1892" s="1">
        <v>44480</v>
      </c>
      <c r="D1892">
        <v>6.4505999999999997</v>
      </c>
      <c r="E1892" s="1">
        <v>44480</v>
      </c>
      <c r="F1892">
        <v>6.4505999999999997</v>
      </c>
    </row>
    <row r="1893" spans="1:6" x14ac:dyDescent="0.25">
      <c r="A1893" s="1">
        <v>44291</v>
      </c>
      <c r="B1893">
        <v>6.5564999999999998</v>
      </c>
      <c r="C1893" s="1">
        <v>44481</v>
      </c>
      <c r="D1893">
        <v>6.4489000000000001</v>
      </c>
      <c r="E1893" s="1">
        <v>44481</v>
      </c>
      <c r="F1893">
        <v>6.4489000000000001</v>
      </c>
    </row>
    <row r="1894" spans="1:6" x14ac:dyDescent="0.25">
      <c r="A1894" s="1">
        <v>44292</v>
      </c>
      <c r="B1894">
        <v>6.5423999999999998</v>
      </c>
      <c r="C1894" s="1">
        <v>44482</v>
      </c>
      <c r="D1894">
        <v>6.4283999999999999</v>
      </c>
      <c r="E1894" s="1">
        <v>44482</v>
      </c>
      <c r="F1894">
        <v>6.4283999999999999</v>
      </c>
    </row>
    <row r="1895" spans="1:6" x14ac:dyDescent="0.25">
      <c r="A1895" s="1">
        <v>44293</v>
      </c>
      <c r="B1895">
        <v>6.5484</v>
      </c>
      <c r="C1895" s="1">
        <v>44483</v>
      </c>
      <c r="D1895">
        <v>6.4397000000000002</v>
      </c>
      <c r="E1895" s="1">
        <v>44483</v>
      </c>
      <c r="F1895">
        <v>6.4397000000000002</v>
      </c>
    </row>
    <row r="1896" spans="1:6" x14ac:dyDescent="0.25">
      <c r="A1896" s="1">
        <v>44294</v>
      </c>
      <c r="B1896">
        <v>6.5568999999999997</v>
      </c>
      <c r="C1896" s="1">
        <v>44484</v>
      </c>
      <c r="D1896">
        <v>6.4356</v>
      </c>
      <c r="E1896" s="1">
        <v>44484</v>
      </c>
      <c r="F1896">
        <v>6.4356</v>
      </c>
    </row>
    <row r="1897" spans="1:6" x14ac:dyDescent="0.25">
      <c r="A1897" s="1">
        <v>44295</v>
      </c>
      <c r="B1897">
        <v>6.5583999999999998</v>
      </c>
      <c r="C1897" s="1">
        <v>44487</v>
      </c>
      <c r="D1897">
        <v>6.4298000000000002</v>
      </c>
      <c r="E1897" s="1">
        <v>44487</v>
      </c>
      <c r="F1897">
        <v>6.4298000000000002</v>
      </c>
    </row>
    <row r="1898" spans="1:6" x14ac:dyDescent="0.25">
      <c r="A1898" s="1">
        <v>44298</v>
      </c>
      <c r="B1898">
        <v>6.548</v>
      </c>
      <c r="C1898" s="1">
        <v>44488</v>
      </c>
      <c r="D1898">
        <v>6.3826000000000001</v>
      </c>
      <c r="E1898" s="1">
        <v>44488</v>
      </c>
      <c r="F1898">
        <v>6.3826000000000001</v>
      </c>
    </row>
    <row r="1899" spans="1:6" x14ac:dyDescent="0.25">
      <c r="A1899" s="1">
        <v>44299</v>
      </c>
      <c r="B1899">
        <v>6.5435999999999996</v>
      </c>
      <c r="C1899" s="1">
        <v>44489</v>
      </c>
      <c r="D1899">
        <v>6.3929999999999998</v>
      </c>
      <c r="E1899" s="1">
        <v>44489</v>
      </c>
      <c r="F1899">
        <v>6.3929999999999998</v>
      </c>
    </row>
    <row r="1900" spans="1:6" x14ac:dyDescent="0.25">
      <c r="A1900" s="1">
        <v>44300</v>
      </c>
      <c r="B1900">
        <v>6.5316000000000001</v>
      </c>
      <c r="C1900" s="1">
        <v>44490</v>
      </c>
      <c r="D1900">
        <v>6.3932000000000002</v>
      </c>
      <c r="E1900" s="1">
        <v>44490</v>
      </c>
      <c r="F1900">
        <v>6.3932000000000002</v>
      </c>
    </row>
    <row r="1901" spans="1:6" x14ac:dyDescent="0.25">
      <c r="A1901" s="1">
        <v>44301</v>
      </c>
      <c r="B1901">
        <v>6.5266000000000002</v>
      </c>
      <c r="C1901" s="1">
        <v>44491</v>
      </c>
      <c r="D1901">
        <v>6.3849999999999998</v>
      </c>
      <c r="E1901" s="1">
        <v>44491</v>
      </c>
      <c r="F1901">
        <v>6.3849999999999998</v>
      </c>
    </row>
    <row r="1902" spans="1:6" x14ac:dyDescent="0.25">
      <c r="A1902" s="1">
        <v>44302</v>
      </c>
      <c r="B1902">
        <v>6.5260999999999996</v>
      </c>
      <c r="C1902" s="1">
        <v>44494</v>
      </c>
      <c r="D1902">
        <v>6.3857999999999997</v>
      </c>
      <c r="E1902" s="1">
        <v>44494</v>
      </c>
      <c r="F1902">
        <v>6.3857999999999997</v>
      </c>
    </row>
    <row r="1903" spans="1:6" x14ac:dyDescent="0.25">
      <c r="A1903" s="1">
        <v>44305</v>
      </c>
      <c r="B1903">
        <v>6.5090000000000003</v>
      </c>
      <c r="C1903" s="1">
        <v>44495</v>
      </c>
      <c r="D1903">
        <v>6.3833000000000002</v>
      </c>
      <c r="E1903" s="1">
        <v>44495</v>
      </c>
      <c r="F1903">
        <v>6.3833000000000002</v>
      </c>
    </row>
    <row r="1904" spans="1:6" x14ac:dyDescent="0.25">
      <c r="A1904" s="1">
        <v>44306</v>
      </c>
      <c r="B1904">
        <v>6.5004999999999997</v>
      </c>
      <c r="C1904" s="1">
        <v>44496</v>
      </c>
      <c r="D1904">
        <v>6.3924000000000003</v>
      </c>
      <c r="E1904" s="1">
        <v>44496</v>
      </c>
      <c r="F1904">
        <v>6.3924000000000003</v>
      </c>
    </row>
    <row r="1905" spans="1:6" x14ac:dyDescent="0.25">
      <c r="A1905" s="1">
        <v>44307</v>
      </c>
      <c r="B1905">
        <v>6.4901999999999997</v>
      </c>
      <c r="C1905" s="1">
        <v>44497</v>
      </c>
      <c r="D1905">
        <v>6.3917999999999999</v>
      </c>
      <c r="E1905" s="1">
        <v>44497</v>
      </c>
      <c r="F1905">
        <v>6.3917999999999999</v>
      </c>
    </row>
    <row r="1906" spans="1:6" x14ac:dyDescent="0.25">
      <c r="A1906" s="1">
        <v>44308</v>
      </c>
      <c r="B1906">
        <v>6.4958</v>
      </c>
      <c r="C1906" s="1">
        <v>44498</v>
      </c>
      <c r="D1906">
        <v>6.4055999999999997</v>
      </c>
      <c r="E1906" s="1">
        <v>44498</v>
      </c>
      <c r="F1906">
        <v>6.4055999999999997</v>
      </c>
    </row>
    <row r="1907" spans="1:6" x14ac:dyDescent="0.25">
      <c r="A1907" s="1">
        <v>44309</v>
      </c>
      <c r="B1907">
        <v>6.49</v>
      </c>
      <c r="C1907" s="1">
        <v>44501</v>
      </c>
      <c r="D1907">
        <v>6.3977000000000004</v>
      </c>
      <c r="E1907" s="1">
        <v>44501</v>
      </c>
      <c r="F1907">
        <v>6.3977000000000004</v>
      </c>
    </row>
    <row r="1908" spans="1:6" x14ac:dyDescent="0.25">
      <c r="A1908" s="1">
        <v>44312</v>
      </c>
      <c r="B1908">
        <v>6.4724000000000004</v>
      </c>
      <c r="C1908" s="1">
        <v>44502</v>
      </c>
      <c r="D1908">
        <v>6.4</v>
      </c>
      <c r="E1908" s="1">
        <v>44502</v>
      </c>
      <c r="F1908">
        <v>6.4</v>
      </c>
    </row>
    <row r="1909" spans="1:6" x14ac:dyDescent="0.25">
      <c r="A1909" s="1">
        <v>44313</v>
      </c>
      <c r="B1909">
        <v>6.4804000000000004</v>
      </c>
      <c r="C1909" s="1">
        <v>44503</v>
      </c>
      <c r="D1909">
        <v>6.4066000000000001</v>
      </c>
      <c r="E1909" s="1">
        <v>44503</v>
      </c>
      <c r="F1909">
        <v>6.4066000000000001</v>
      </c>
    </row>
    <row r="1910" spans="1:6" x14ac:dyDescent="0.25">
      <c r="A1910" s="1">
        <v>44314</v>
      </c>
      <c r="B1910">
        <v>6.4759000000000002</v>
      </c>
      <c r="C1910" s="1">
        <v>44504</v>
      </c>
      <c r="D1910">
        <v>6.3971999999999998</v>
      </c>
      <c r="E1910" s="1">
        <v>44504</v>
      </c>
      <c r="F1910">
        <v>6.3971999999999998</v>
      </c>
    </row>
    <row r="1911" spans="1:6" x14ac:dyDescent="0.25">
      <c r="A1911" s="1">
        <v>44315</v>
      </c>
      <c r="B1911">
        <v>6.4646999999999997</v>
      </c>
      <c r="C1911" s="1">
        <v>44505</v>
      </c>
      <c r="D1911">
        <v>6.3987999999999996</v>
      </c>
      <c r="E1911" s="1">
        <v>44505</v>
      </c>
      <c r="F1911">
        <v>6.3987999999999996</v>
      </c>
    </row>
    <row r="1912" spans="1:6" x14ac:dyDescent="0.25">
      <c r="A1912" s="1">
        <v>44316</v>
      </c>
      <c r="B1912">
        <v>6.4734999999999996</v>
      </c>
      <c r="C1912" s="1">
        <v>44508</v>
      </c>
      <c r="D1912">
        <v>6.3926999999999996</v>
      </c>
      <c r="E1912" s="1">
        <v>44508</v>
      </c>
      <c r="F1912">
        <v>6.3926999999999996</v>
      </c>
    </row>
    <row r="1913" spans="1:6" x14ac:dyDescent="0.25">
      <c r="A1913" s="1">
        <v>44319</v>
      </c>
      <c r="B1913">
        <v>6.4706999999999999</v>
      </c>
      <c r="C1913" s="1">
        <v>44509</v>
      </c>
      <c r="D1913">
        <v>6.3928000000000003</v>
      </c>
      <c r="E1913" s="1">
        <v>44509</v>
      </c>
      <c r="F1913">
        <v>6.3928000000000003</v>
      </c>
    </row>
    <row r="1914" spans="1:6" x14ac:dyDescent="0.25">
      <c r="A1914" s="1">
        <v>44320</v>
      </c>
      <c r="B1914">
        <v>6.4837999999999996</v>
      </c>
      <c r="C1914" s="1">
        <v>44510</v>
      </c>
      <c r="D1914">
        <v>6.3887999999999998</v>
      </c>
      <c r="E1914" s="1">
        <v>44510</v>
      </c>
      <c r="F1914">
        <v>6.3887999999999998</v>
      </c>
    </row>
    <row r="1915" spans="1:6" x14ac:dyDescent="0.25">
      <c r="A1915" s="1">
        <v>44321</v>
      </c>
      <c r="B1915">
        <v>6.4874999999999998</v>
      </c>
      <c r="C1915" s="1">
        <v>44511</v>
      </c>
      <c r="D1915">
        <v>6.3914</v>
      </c>
      <c r="E1915" s="1">
        <v>44511</v>
      </c>
      <c r="F1915">
        <v>6.3914</v>
      </c>
    </row>
    <row r="1916" spans="1:6" x14ac:dyDescent="0.25">
      <c r="A1916" s="1">
        <v>44322</v>
      </c>
      <c r="B1916">
        <v>6.4644000000000004</v>
      </c>
      <c r="C1916" s="1">
        <v>44512</v>
      </c>
      <c r="D1916">
        <v>6.3796999999999997</v>
      </c>
      <c r="E1916" s="1">
        <v>44512</v>
      </c>
      <c r="F1916">
        <v>6.3796999999999997</v>
      </c>
    </row>
    <row r="1917" spans="1:6" x14ac:dyDescent="0.25">
      <c r="A1917" s="1">
        <v>44323</v>
      </c>
      <c r="B1917">
        <v>6.4161000000000001</v>
      </c>
      <c r="C1917" s="1">
        <v>44515</v>
      </c>
      <c r="D1917">
        <v>6.3830999999999998</v>
      </c>
      <c r="E1917" s="1">
        <v>44515</v>
      </c>
      <c r="F1917">
        <v>6.3830999999999998</v>
      </c>
    </row>
    <row r="1918" spans="1:6" x14ac:dyDescent="0.25">
      <c r="A1918" s="1">
        <v>44326</v>
      </c>
      <c r="B1918">
        <v>6.4221000000000004</v>
      </c>
      <c r="C1918" s="1">
        <v>44516</v>
      </c>
      <c r="D1918">
        <v>6.3928000000000003</v>
      </c>
      <c r="E1918" s="1">
        <v>44516</v>
      </c>
      <c r="F1918">
        <v>6.3928000000000003</v>
      </c>
    </row>
    <row r="1919" spans="1:6" x14ac:dyDescent="0.25">
      <c r="A1919" s="1">
        <v>44327</v>
      </c>
      <c r="B1919">
        <v>6.4287999999999998</v>
      </c>
      <c r="C1919" s="1">
        <v>44517</v>
      </c>
      <c r="D1919">
        <v>6.3780000000000001</v>
      </c>
      <c r="E1919" s="1">
        <v>44517</v>
      </c>
      <c r="F1919">
        <v>6.3780000000000001</v>
      </c>
    </row>
    <row r="1920" spans="1:6" x14ac:dyDescent="0.25">
      <c r="A1920" s="1">
        <v>44328</v>
      </c>
      <c r="B1920">
        <v>6.4588000000000001</v>
      </c>
      <c r="C1920" s="1">
        <v>44518</v>
      </c>
      <c r="D1920">
        <v>6.3860999999999999</v>
      </c>
      <c r="E1920" s="1">
        <v>44518</v>
      </c>
      <c r="F1920">
        <v>6.3860999999999999</v>
      </c>
    </row>
    <row r="1921" spans="1:6" x14ac:dyDescent="0.25">
      <c r="A1921" s="1">
        <v>44329</v>
      </c>
      <c r="B1921">
        <v>6.4481000000000002</v>
      </c>
      <c r="C1921" s="1">
        <v>44519</v>
      </c>
      <c r="D1921">
        <v>6.3871000000000002</v>
      </c>
      <c r="E1921" s="1">
        <v>44519</v>
      </c>
      <c r="F1921">
        <v>6.3871000000000002</v>
      </c>
    </row>
    <row r="1922" spans="1:6" x14ac:dyDescent="0.25">
      <c r="A1922" s="1">
        <v>44330</v>
      </c>
      <c r="B1922">
        <v>6.4378000000000002</v>
      </c>
      <c r="C1922" s="1">
        <v>44522</v>
      </c>
      <c r="D1922">
        <v>6.3851000000000004</v>
      </c>
      <c r="E1922" s="1">
        <v>44522</v>
      </c>
      <c r="F1922">
        <v>6.3851000000000004</v>
      </c>
    </row>
    <row r="1923" spans="1:6" x14ac:dyDescent="0.25">
      <c r="A1923" s="1">
        <v>44333</v>
      </c>
      <c r="B1923">
        <v>6.4424999999999999</v>
      </c>
      <c r="C1923" s="1">
        <v>44523</v>
      </c>
      <c r="D1923">
        <v>6.3920000000000003</v>
      </c>
      <c r="E1923" s="1">
        <v>44523</v>
      </c>
      <c r="F1923">
        <v>6.3920000000000003</v>
      </c>
    </row>
    <row r="1924" spans="1:6" x14ac:dyDescent="0.25">
      <c r="A1924" s="1">
        <v>44334</v>
      </c>
      <c r="B1924">
        <v>6.4217000000000004</v>
      </c>
      <c r="C1924" s="1">
        <v>44524</v>
      </c>
      <c r="D1924">
        <v>6.3924000000000003</v>
      </c>
      <c r="E1924" s="1">
        <v>44524</v>
      </c>
      <c r="F1924">
        <v>6.3924000000000003</v>
      </c>
    </row>
    <row r="1925" spans="1:6" x14ac:dyDescent="0.25">
      <c r="A1925" s="1">
        <v>44335</v>
      </c>
      <c r="B1925">
        <v>6.4401999999999999</v>
      </c>
      <c r="C1925" s="1">
        <v>44525</v>
      </c>
      <c r="D1925">
        <v>6.3861999999999997</v>
      </c>
      <c r="E1925" s="1">
        <v>44525</v>
      </c>
      <c r="F1925">
        <v>6.3861999999999997</v>
      </c>
    </row>
    <row r="1926" spans="1:6" x14ac:dyDescent="0.25">
      <c r="A1926" s="1">
        <v>44336</v>
      </c>
      <c r="B1926">
        <v>6.4339000000000004</v>
      </c>
      <c r="C1926" s="1">
        <v>44526</v>
      </c>
      <c r="D1926">
        <v>6.3933</v>
      </c>
      <c r="E1926" s="1">
        <v>44526</v>
      </c>
      <c r="F1926">
        <v>6.3933</v>
      </c>
    </row>
    <row r="1927" spans="1:6" x14ac:dyDescent="0.25">
      <c r="A1927" s="1">
        <v>44337</v>
      </c>
      <c r="B1927">
        <v>6.4367999999999999</v>
      </c>
      <c r="C1927" s="1">
        <v>44529</v>
      </c>
      <c r="D1927">
        <v>6.3882000000000003</v>
      </c>
      <c r="E1927" s="1">
        <v>44529</v>
      </c>
      <c r="F1927">
        <v>6.3882000000000003</v>
      </c>
    </row>
    <row r="1928" spans="1:6" x14ac:dyDescent="0.25">
      <c r="A1928" s="1">
        <v>44340</v>
      </c>
      <c r="B1928">
        <v>6.4096000000000002</v>
      </c>
      <c r="C1928" s="1">
        <v>44530</v>
      </c>
      <c r="D1928">
        <v>6.3643999999999998</v>
      </c>
      <c r="E1928" s="1">
        <v>44530</v>
      </c>
      <c r="F1928">
        <v>6.3643999999999998</v>
      </c>
    </row>
    <row r="1929" spans="1:6" x14ac:dyDescent="0.25">
      <c r="A1929" s="1">
        <v>44341</v>
      </c>
      <c r="B1929">
        <v>6.4112999999999998</v>
      </c>
      <c r="C1929" s="1">
        <v>44531</v>
      </c>
      <c r="D1929">
        <v>6.3681000000000001</v>
      </c>
      <c r="E1929" s="1">
        <v>44531</v>
      </c>
      <c r="F1929">
        <v>6.3681000000000001</v>
      </c>
    </row>
    <row r="1930" spans="1:6" x14ac:dyDescent="0.25">
      <c r="A1930" s="1">
        <v>44342</v>
      </c>
      <c r="B1930">
        <v>6.3814000000000002</v>
      </c>
      <c r="C1930" s="1">
        <v>44532</v>
      </c>
      <c r="D1930">
        <v>6.3771000000000004</v>
      </c>
      <c r="E1930" s="1">
        <v>44532</v>
      </c>
      <c r="F1930">
        <v>6.3771000000000004</v>
      </c>
    </row>
    <row r="1931" spans="1:6" x14ac:dyDescent="0.25">
      <c r="A1931" s="1">
        <v>44343</v>
      </c>
      <c r="B1931">
        <v>6.3731999999999998</v>
      </c>
      <c r="C1931" s="1">
        <v>44533</v>
      </c>
      <c r="D1931">
        <v>6.3765000000000001</v>
      </c>
      <c r="E1931" s="1">
        <v>44533</v>
      </c>
      <c r="F1931">
        <v>6.3765000000000001</v>
      </c>
    </row>
    <row r="1932" spans="1:6" x14ac:dyDescent="0.25">
      <c r="A1932" s="1">
        <v>44344</v>
      </c>
      <c r="B1932">
        <v>6.3602999999999996</v>
      </c>
      <c r="C1932" s="1">
        <v>44536</v>
      </c>
      <c r="D1932">
        <v>6.3762999999999996</v>
      </c>
      <c r="E1932" s="1">
        <v>44536</v>
      </c>
      <c r="F1932">
        <v>6.3762999999999996</v>
      </c>
    </row>
    <row r="1933" spans="1:6" x14ac:dyDescent="0.25">
      <c r="A1933" s="1">
        <v>44347</v>
      </c>
      <c r="B1933">
        <v>6.3727999999999998</v>
      </c>
      <c r="C1933" s="1">
        <v>44537</v>
      </c>
      <c r="D1933">
        <v>6.3662999999999998</v>
      </c>
      <c r="E1933" s="1">
        <v>44537</v>
      </c>
      <c r="F1933">
        <v>6.3662999999999998</v>
      </c>
    </row>
    <row r="1934" spans="1:6" x14ac:dyDescent="0.25">
      <c r="A1934" s="1">
        <v>44348</v>
      </c>
      <c r="B1934">
        <v>6.3830999999999998</v>
      </c>
      <c r="C1934" s="1">
        <v>44538</v>
      </c>
      <c r="D1934">
        <v>6.3441999999999998</v>
      </c>
      <c r="E1934" s="1">
        <v>44538</v>
      </c>
      <c r="F1934">
        <v>6.3441999999999998</v>
      </c>
    </row>
    <row r="1935" spans="1:6" x14ac:dyDescent="0.25">
      <c r="A1935" s="1">
        <v>44349</v>
      </c>
      <c r="B1935">
        <v>6.3833000000000002</v>
      </c>
      <c r="C1935" s="1">
        <v>44539</v>
      </c>
      <c r="D1935">
        <v>6.3776000000000002</v>
      </c>
      <c r="E1935" s="1">
        <v>44539</v>
      </c>
      <c r="F1935">
        <v>6.3776000000000002</v>
      </c>
    </row>
    <row r="1936" spans="1:6" x14ac:dyDescent="0.25">
      <c r="A1936" s="1">
        <v>44350</v>
      </c>
      <c r="B1936">
        <v>6.3992000000000004</v>
      </c>
      <c r="C1936" s="1">
        <v>44540</v>
      </c>
      <c r="D1936">
        <v>6.37</v>
      </c>
      <c r="E1936" s="1">
        <v>44540</v>
      </c>
      <c r="F1936">
        <v>6.37</v>
      </c>
    </row>
    <row r="1937" spans="1:6" x14ac:dyDescent="0.25">
      <c r="A1937" s="1">
        <v>44351</v>
      </c>
      <c r="B1937">
        <v>6.3922999999999996</v>
      </c>
      <c r="C1937" s="1">
        <v>44543</v>
      </c>
      <c r="D1937">
        <v>6.367</v>
      </c>
      <c r="E1937" s="1">
        <v>44543</v>
      </c>
      <c r="F1937">
        <v>6.367</v>
      </c>
    </row>
    <row r="1938" spans="1:6" x14ac:dyDescent="0.25">
      <c r="A1938" s="1">
        <v>44354</v>
      </c>
      <c r="B1938">
        <v>6.3875000000000002</v>
      </c>
      <c r="C1938" s="1">
        <v>44544</v>
      </c>
      <c r="D1938">
        <v>6.3672000000000004</v>
      </c>
      <c r="E1938" s="1">
        <v>44544</v>
      </c>
      <c r="F1938">
        <v>6.3672000000000004</v>
      </c>
    </row>
    <row r="1939" spans="1:6" x14ac:dyDescent="0.25">
      <c r="A1939" s="1">
        <v>44355</v>
      </c>
      <c r="B1939">
        <v>6.3997999999999999</v>
      </c>
      <c r="C1939" s="1">
        <v>44545</v>
      </c>
      <c r="D1939">
        <v>6.3674999999999997</v>
      </c>
      <c r="E1939" s="1">
        <v>44545</v>
      </c>
      <c r="F1939">
        <v>6.3674999999999997</v>
      </c>
    </row>
    <row r="1940" spans="1:6" x14ac:dyDescent="0.25">
      <c r="A1940" s="1">
        <v>44356</v>
      </c>
      <c r="B1940">
        <v>6.3875999999999999</v>
      </c>
      <c r="C1940" s="1">
        <v>44546</v>
      </c>
      <c r="D1940">
        <v>6.3682999999999996</v>
      </c>
      <c r="E1940" s="1">
        <v>44546</v>
      </c>
      <c r="F1940">
        <v>6.3682999999999996</v>
      </c>
    </row>
    <row r="1941" spans="1:6" x14ac:dyDescent="0.25">
      <c r="A1941" s="1">
        <v>44357</v>
      </c>
      <c r="B1941">
        <v>6.3861999999999997</v>
      </c>
      <c r="C1941" s="1">
        <v>44547</v>
      </c>
      <c r="D1941">
        <v>6.3754</v>
      </c>
      <c r="E1941" s="1">
        <v>44547</v>
      </c>
      <c r="F1941">
        <v>6.3754</v>
      </c>
    </row>
    <row r="1942" spans="1:6" x14ac:dyDescent="0.25">
      <c r="A1942" s="1">
        <v>44358</v>
      </c>
      <c r="B1942">
        <v>6.3966000000000003</v>
      </c>
      <c r="C1942" s="1">
        <v>44550</v>
      </c>
      <c r="D1942">
        <v>6.3757000000000001</v>
      </c>
      <c r="E1942" s="1">
        <v>44550</v>
      </c>
      <c r="F1942">
        <v>6.3757000000000001</v>
      </c>
    </row>
    <row r="1943" spans="1:6" x14ac:dyDescent="0.25">
      <c r="A1943" s="1">
        <v>44361</v>
      </c>
      <c r="B1943">
        <v>6.4058000000000002</v>
      </c>
      <c r="C1943" s="1">
        <v>44551</v>
      </c>
      <c r="D1943">
        <v>6.3720999999999997</v>
      </c>
      <c r="E1943" s="1">
        <v>44551</v>
      </c>
      <c r="F1943">
        <v>6.3720999999999997</v>
      </c>
    </row>
    <row r="1944" spans="1:6" x14ac:dyDescent="0.25">
      <c r="A1944" s="1">
        <v>44362</v>
      </c>
      <c r="B1944">
        <v>6.4069000000000003</v>
      </c>
      <c r="C1944" s="1">
        <v>44552</v>
      </c>
      <c r="D1944">
        <v>6.3699000000000003</v>
      </c>
      <c r="E1944" s="1">
        <v>44552</v>
      </c>
      <c r="F1944">
        <v>6.3699000000000003</v>
      </c>
    </row>
    <row r="1945" spans="1:6" x14ac:dyDescent="0.25">
      <c r="A1945" s="1">
        <v>44363</v>
      </c>
      <c r="B1945">
        <v>6.4405000000000001</v>
      </c>
      <c r="C1945" s="1">
        <v>44553</v>
      </c>
      <c r="D1945">
        <v>6.3701999999999996</v>
      </c>
      <c r="E1945" s="1">
        <v>44553</v>
      </c>
      <c r="F1945">
        <v>6.3701999999999996</v>
      </c>
    </row>
    <row r="1946" spans="1:6" x14ac:dyDescent="0.25">
      <c r="A1946" s="1">
        <v>44364</v>
      </c>
      <c r="B1946">
        <v>6.4570999999999996</v>
      </c>
      <c r="C1946" s="1">
        <v>44554</v>
      </c>
      <c r="D1946">
        <v>6.3677000000000001</v>
      </c>
      <c r="E1946" s="1">
        <v>44554</v>
      </c>
      <c r="F1946">
        <v>6.3677000000000001</v>
      </c>
    </row>
    <row r="1947" spans="1:6" x14ac:dyDescent="0.25">
      <c r="A1947" s="1">
        <v>44365</v>
      </c>
      <c r="B1947">
        <v>6.4615999999999998</v>
      </c>
      <c r="C1947" s="1">
        <v>44557</v>
      </c>
      <c r="D1947">
        <v>6.3710000000000004</v>
      </c>
      <c r="E1947" s="1">
        <v>44557</v>
      </c>
      <c r="F1947">
        <v>6.3710000000000004</v>
      </c>
    </row>
    <row r="1948" spans="1:6" x14ac:dyDescent="0.25">
      <c r="A1948" s="1">
        <v>44368</v>
      </c>
      <c r="B1948">
        <v>6.4672000000000001</v>
      </c>
      <c r="C1948" s="1">
        <v>44558</v>
      </c>
      <c r="D1948">
        <v>6.3685999999999998</v>
      </c>
      <c r="E1948" s="1">
        <v>44558</v>
      </c>
      <c r="F1948">
        <v>6.3685999999999998</v>
      </c>
    </row>
    <row r="1949" spans="1:6" x14ac:dyDescent="0.25">
      <c r="A1949" s="1">
        <v>44369</v>
      </c>
      <c r="B1949">
        <v>6.4805999999999999</v>
      </c>
      <c r="C1949" s="1">
        <v>44559</v>
      </c>
      <c r="D1949">
        <v>6.3677999999999999</v>
      </c>
      <c r="E1949" s="1">
        <v>44559</v>
      </c>
      <c r="F1949">
        <v>6.3677999999999999</v>
      </c>
    </row>
    <row r="1950" spans="1:6" x14ac:dyDescent="0.25">
      <c r="A1950" s="1">
        <v>44370</v>
      </c>
      <c r="B1950">
        <v>6.4781000000000004</v>
      </c>
      <c r="C1950" s="1">
        <v>44560</v>
      </c>
      <c r="D1950">
        <v>6.3731</v>
      </c>
      <c r="E1950" s="1">
        <v>44560</v>
      </c>
      <c r="F1950">
        <v>6.3731</v>
      </c>
    </row>
    <row r="1951" spans="1:6" x14ac:dyDescent="0.25">
      <c r="A1951" s="1">
        <v>44371</v>
      </c>
      <c r="B1951">
        <v>6.4709000000000003</v>
      </c>
      <c r="C1951" s="1">
        <v>44561</v>
      </c>
      <c r="D1951">
        <v>6.3560999999999996</v>
      </c>
      <c r="E1951" s="1">
        <v>44561</v>
      </c>
      <c r="F1951">
        <v>6.3560999999999996</v>
      </c>
    </row>
    <row r="1952" spans="1:6" x14ac:dyDescent="0.25">
      <c r="A1952" s="1">
        <v>44372</v>
      </c>
      <c r="B1952">
        <v>6.4611999999999998</v>
      </c>
      <c r="C1952" s="1">
        <v>44565</v>
      </c>
      <c r="D1952">
        <v>6.3726000000000003</v>
      </c>
      <c r="E1952" s="1">
        <v>44565</v>
      </c>
      <c r="F1952">
        <v>6.3726000000000003</v>
      </c>
    </row>
    <row r="1953" spans="1:6" x14ac:dyDescent="0.25">
      <c r="A1953" s="1">
        <v>44375</v>
      </c>
      <c r="B1953">
        <v>6.4612999999999996</v>
      </c>
      <c r="C1953" s="1">
        <v>44566</v>
      </c>
      <c r="D1953">
        <v>6.3639000000000001</v>
      </c>
      <c r="E1953" s="1">
        <v>44566</v>
      </c>
      <c r="F1953">
        <v>6.3639000000000001</v>
      </c>
    </row>
    <row r="1954" spans="1:6" x14ac:dyDescent="0.25">
      <c r="A1954" s="1">
        <v>44376</v>
      </c>
      <c r="B1954">
        <v>6.4659000000000004</v>
      </c>
      <c r="C1954" s="1">
        <v>44567</v>
      </c>
      <c r="D1954">
        <v>6.383</v>
      </c>
      <c r="E1954" s="1">
        <v>44567</v>
      </c>
      <c r="F1954">
        <v>6.383</v>
      </c>
    </row>
    <row r="1955" spans="1:6" x14ac:dyDescent="0.25">
      <c r="A1955" s="1">
        <v>44377</v>
      </c>
      <c r="B1955">
        <v>6.4683000000000002</v>
      </c>
      <c r="C1955" s="1">
        <v>44568</v>
      </c>
      <c r="D1955">
        <v>6.3777999999999997</v>
      </c>
      <c r="E1955" s="1">
        <v>44568</v>
      </c>
      <c r="F1955">
        <v>6.3777999999999997</v>
      </c>
    </row>
    <row r="1956" spans="1:6" x14ac:dyDescent="0.25">
      <c r="A1956" s="1">
        <v>44378</v>
      </c>
      <c r="B1956">
        <v>6.4725999999999999</v>
      </c>
      <c r="C1956" s="1">
        <v>44571</v>
      </c>
      <c r="D1956">
        <v>6.3761999999999999</v>
      </c>
      <c r="E1956" s="1">
        <v>44571</v>
      </c>
      <c r="F1956">
        <v>6.3761999999999999</v>
      </c>
    </row>
    <row r="1957" spans="1:6" x14ac:dyDescent="0.25">
      <c r="A1957" s="1">
        <v>44379</v>
      </c>
      <c r="B1957">
        <v>6.4717000000000002</v>
      </c>
      <c r="C1957" s="1">
        <v>44572</v>
      </c>
      <c r="D1957">
        <v>6.3739999999999997</v>
      </c>
      <c r="E1957" s="1">
        <v>44572</v>
      </c>
      <c r="F1957">
        <v>6.3739999999999997</v>
      </c>
    </row>
    <row r="1958" spans="1:6" x14ac:dyDescent="0.25">
      <c r="A1958" s="1">
        <v>44382</v>
      </c>
      <c r="B1958">
        <v>6.4619999999999997</v>
      </c>
      <c r="C1958" s="1">
        <v>44573</v>
      </c>
      <c r="D1958">
        <v>6.3583999999999996</v>
      </c>
      <c r="E1958" s="1">
        <v>44573</v>
      </c>
      <c r="F1958">
        <v>6.3583999999999996</v>
      </c>
    </row>
    <row r="1959" spans="1:6" x14ac:dyDescent="0.25">
      <c r="A1959" s="1">
        <v>44383</v>
      </c>
      <c r="B1959">
        <v>6.4795999999999996</v>
      </c>
      <c r="C1959" s="1">
        <v>44574</v>
      </c>
      <c r="D1959">
        <v>6.3597999999999999</v>
      </c>
      <c r="E1959" s="1">
        <v>44574</v>
      </c>
      <c r="F1959">
        <v>6.3597999999999999</v>
      </c>
    </row>
    <row r="1960" spans="1:6" x14ac:dyDescent="0.25">
      <c r="A1960" s="1">
        <v>44384</v>
      </c>
      <c r="B1960">
        <v>6.4744999999999999</v>
      </c>
      <c r="C1960" s="1">
        <v>44575</v>
      </c>
      <c r="D1960">
        <v>6.3526999999999996</v>
      </c>
      <c r="E1960" s="1">
        <v>44575</v>
      </c>
      <c r="F1960">
        <v>6.3526999999999996</v>
      </c>
    </row>
    <row r="1961" spans="1:6" x14ac:dyDescent="0.25">
      <c r="A1961" s="1">
        <v>44385</v>
      </c>
      <c r="B1961">
        <v>6.4934000000000003</v>
      </c>
      <c r="C1961" s="1">
        <v>44578</v>
      </c>
      <c r="D1961">
        <v>6.3483999999999998</v>
      </c>
      <c r="E1961" s="1">
        <v>44578</v>
      </c>
      <c r="F1961">
        <v>6.3483999999999998</v>
      </c>
    </row>
    <row r="1962" spans="1:6" x14ac:dyDescent="0.25">
      <c r="A1962" s="1">
        <v>44386</v>
      </c>
      <c r="B1962">
        <v>6.4813000000000001</v>
      </c>
      <c r="C1962" s="1">
        <v>44579</v>
      </c>
      <c r="D1962">
        <v>6.3529999999999998</v>
      </c>
      <c r="E1962" s="1">
        <v>44579</v>
      </c>
      <c r="F1962">
        <v>6.3529999999999998</v>
      </c>
    </row>
    <row r="1963" spans="1:6" x14ac:dyDescent="0.25">
      <c r="A1963" s="1">
        <v>44389</v>
      </c>
      <c r="B1963">
        <v>6.4763999999999999</v>
      </c>
      <c r="C1963" s="1">
        <v>44580</v>
      </c>
      <c r="D1963">
        <v>6.3451000000000004</v>
      </c>
      <c r="E1963" s="1">
        <v>44580</v>
      </c>
      <c r="F1963">
        <v>6.3451000000000004</v>
      </c>
    </row>
    <row r="1964" spans="1:6" x14ac:dyDescent="0.25">
      <c r="A1964" s="1">
        <v>44390</v>
      </c>
      <c r="B1964">
        <v>6.4797000000000002</v>
      </c>
      <c r="C1964" s="1">
        <v>44581</v>
      </c>
      <c r="D1964">
        <v>6.3411</v>
      </c>
      <c r="E1964" s="1">
        <v>44581</v>
      </c>
      <c r="F1964">
        <v>6.3411</v>
      </c>
    </row>
    <row r="1965" spans="1:6" x14ac:dyDescent="0.25">
      <c r="A1965" s="1">
        <v>44391</v>
      </c>
      <c r="B1965">
        <v>6.4592000000000001</v>
      </c>
      <c r="C1965" s="1">
        <v>44582</v>
      </c>
      <c r="D1965">
        <v>6.3387000000000002</v>
      </c>
      <c r="E1965" s="1">
        <v>44582</v>
      </c>
      <c r="F1965">
        <v>6.3387000000000002</v>
      </c>
    </row>
    <row r="1966" spans="1:6" x14ac:dyDescent="0.25">
      <c r="A1966" s="1">
        <v>44392</v>
      </c>
      <c r="B1966">
        <v>6.4612999999999996</v>
      </c>
      <c r="C1966" s="1">
        <v>44585</v>
      </c>
      <c r="D1966">
        <v>6.3307000000000002</v>
      </c>
      <c r="E1966" s="1">
        <v>44585</v>
      </c>
      <c r="F1966">
        <v>6.3307000000000002</v>
      </c>
    </row>
    <row r="1967" spans="1:6" x14ac:dyDescent="0.25">
      <c r="A1967" s="1">
        <v>44393</v>
      </c>
      <c r="B1967">
        <v>6.4755000000000003</v>
      </c>
      <c r="C1967" s="1">
        <v>44586</v>
      </c>
      <c r="D1967">
        <v>6.3261000000000003</v>
      </c>
      <c r="E1967" s="1">
        <v>44586</v>
      </c>
      <c r="F1967">
        <v>6.3261000000000003</v>
      </c>
    </row>
    <row r="1968" spans="1:6" x14ac:dyDescent="0.25">
      <c r="A1968" s="1">
        <v>44396</v>
      </c>
      <c r="B1968">
        <v>6.4950000000000001</v>
      </c>
      <c r="C1968" s="1">
        <v>44587</v>
      </c>
      <c r="D1968">
        <v>6.3209</v>
      </c>
      <c r="E1968" s="1">
        <v>44587</v>
      </c>
      <c r="F1968">
        <v>6.3209</v>
      </c>
    </row>
    <row r="1969" spans="1:6" x14ac:dyDescent="0.25">
      <c r="A1969" s="1">
        <v>44397</v>
      </c>
      <c r="B1969">
        <v>6.4882</v>
      </c>
      <c r="C1969" s="1">
        <v>44588</v>
      </c>
      <c r="D1969">
        <v>6.3681999999999999</v>
      </c>
      <c r="E1969" s="1">
        <v>44588</v>
      </c>
      <c r="F1969">
        <v>6.3681999999999999</v>
      </c>
    </row>
    <row r="1970" spans="1:6" x14ac:dyDescent="0.25">
      <c r="A1970" s="1">
        <v>44398</v>
      </c>
      <c r="B1970">
        <v>6.4645000000000001</v>
      </c>
      <c r="C1970" s="1">
        <v>44589</v>
      </c>
      <c r="D1970">
        <v>6.3612000000000002</v>
      </c>
      <c r="E1970" s="1">
        <v>44589</v>
      </c>
      <c r="F1970">
        <v>6.3612000000000002</v>
      </c>
    </row>
    <row r="1971" spans="1:6" x14ac:dyDescent="0.25">
      <c r="A1971" s="1">
        <v>44399</v>
      </c>
      <c r="B1971">
        <v>6.4756999999999998</v>
      </c>
      <c r="C1971" s="1">
        <v>44599</v>
      </c>
      <c r="D1971">
        <v>6.3623000000000003</v>
      </c>
      <c r="E1971" s="1">
        <v>44599</v>
      </c>
      <c r="F1971">
        <v>6.3623000000000003</v>
      </c>
    </row>
    <row r="1972" spans="1:6" x14ac:dyDescent="0.25">
      <c r="A1972" s="1">
        <v>44400</v>
      </c>
      <c r="B1972">
        <v>6.4763999999999999</v>
      </c>
      <c r="C1972" s="1">
        <v>44600</v>
      </c>
      <c r="D1972">
        <v>6.3665000000000003</v>
      </c>
      <c r="E1972" s="1">
        <v>44600</v>
      </c>
      <c r="F1972">
        <v>6.3665000000000003</v>
      </c>
    </row>
    <row r="1973" spans="1:6" x14ac:dyDescent="0.25">
      <c r="A1973" s="1">
        <v>44403</v>
      </c>
      <c r="B1973">
        <v>6.4835000000000003</v>
      </c>
      <c r="C1973" s="1">
        <v>44601</v>
      </c>
      <c r="D1973">
        <v>6.3627000000000002</v>
      </c>
      <c r="E1973" s="1">
        <v>44601</v>
      </c>
      <c r="F1973">
        <v>6.3627000000000002</v>
      </c>
    </row>
    <row r="1974" spans="1:6" x14ac:dyDescent="0.25">
      <c r="A1974" s="1">
        <v>44404</v>
      </c>
      <c r="B1974">
        <v>6.5269000000000004</v>
      </c>
      <c r="C1974" s="1">
        <v>44602</v>
      </c>
      <c r="D1974">
        <v>6.3540999999999999</v>
      </c>
      <c r="E1974" s="1">
        <v>44602</v>
      </c>
      <c r="F1974">
        <v>6.3540999999999999</v>
      </c>
    </row>
    <row r="1975" spans="1:6" x14ac:dyDescent="0.25">
      <c r="A1975" s="1">
        <v>44405</v>
      </c>
      <c r="B1975">
        <v>6.4859</v>
      </c>
      <c r="C1975" s="1">
        <v>44603</v>
      </c>
      <c r="D1975">
        <v>6.3545999999999996</v>
      </c>
      <c r="E1975" s="1">
        <v>44603</v>
      </c>
      <c r="F1975">
        <v>6.3545999999999996</v>
      </c>
    </row>
    <row r="1976" spans="1:6" x14ac:dyDescent="0.25">
      <c r="A1976" s="1">
        <v>44406</v>
      </c>
      <c r="B1976">
        <v>6.4573999999999998</v>
      </c>
      <c r="C1976" s="1">
        <v>44606</v>
      </c>
      <c r="D1976">
        <v>6.3573000000000004</v>
      </c>
      <c r="E1976" s="1">
        <v>44606</v>
      </c>
      <c r="F1976">
        <v>6.3573000000000004</v>
      </c>
    </row>
    <row r="1977" spans="1:6" x14ac:dyDescent="0.25">
      <c r="A1977" s="1">
        <v>44407</v>
      </c>
      <c r="B1977">
        <v>6.4633000000000003</v>
      </c>
      <c r="C1977" s="1">
        <v>44607</v>
      </c>
      <c r="D1977">
        <v>6.3392999999999997</v>
      </c>
      <c r="E1977" s="1">
        <v>44607</v>
      </c>
      <c r="F1977">
        <v>6.3392999999999997</v>
      </c>
    </row>
    <row r="1978" spans="1:6" x14ac:dyDescent="0.25">
      <c r="A1978" s="1">
        <v>44410</v>
      </c>
      <c r="B1978">
        <v>6.4649999999999999</v>
      </c>
      <c r="C1978" s="1">
        <v>44608</v>
      </c>
      <c r="D1978">
        <v>6.3372000000000002</v>
      </c>
      <c r="E1978" s="1">
        <v>44608</v>
      </c>
      <c r="F1978">
        <v>6.3372000000000002</v>
      </c>
    </row>
    <row r="1979" spans="1:6" x14ac:dyDescent="0.25">
      <c r="A1979" s="1">
        <v>44411</v>
      </c>
      <c r="B1979">
        <v>6.4665999999999997</v>
      </c>
      <c r="C1979" s="1">
        <v>44609</v>
      </c>
      <c r="D1979">
        <v>6.3384</v>
      </c>
      <c r="E1979" s="1">
        <v>44609</v>
      </c>
      <c r="F1979">
        <v>6.3384</v>
      </c>
    </row>
    <row r="1980" spans="1:6" x14ac:dyDescent="0.25">
      <c r="A1980" s="1">
        <v>44412</v>
      </c>
      <c r="B1980">
        <v>6.4630000000000001</v>
      </c>
      <c r="C1980" s="1">
        <v>44610</v>
      </c>
      <c r="D1980">
        <v>6.3255999999999997</v>
      </c>
      <c r="E1980" s="1">
        <v>44610</v>
      </c>
      <c r="F1980">
        <v>6.3255999999999997</v>
      </c>
    </row>
    <row r="1981" spans="1:6" x14ac:dyDescent="0.25">
      <c r="A1981" s="1">
        <v>44413</v>
      </c>
      <c r="B1981">
        <v>6.4619999999999997</v>
      </c>
      <c r="C1981" s="1">
        <v>44613</v>
      </c>
      <c r="D1981">
        <v>6.3352000000000004</v>
      </c>
      <c r="E1981" s="1">
        <v>44613</v>
      </c>
      <c r="F1981">
        <v>6.3352000000000004</v>
      </c>
    </row>
    <row r="1982" spans="1:6" x14ac:dyDescent="0.25">
      <c r="A1982" s="1">
        <v>44414</v>
      </c>
      <c r="B1982">
        <v>6.4786000000000001</v>
      </c>
      <c r="C1982" s="1">
        <v>44614</v>
      </c>
      <c r="D1982">
        <v>6.3263999999999996</v>
      </c>
      <c r="E1982" s="1">
        <v>44614</v>
      </c>
      <c r="F1982">
        <v>6.3263999999999996</v>
      </c>
    </row>
    <row r="1983" spans="1:6" x14ac:dyDescent="0.25">
      <c r="A1983" s="1">
        <v>44417</v>
      </c>
      <c r="B1983">
        <v>6.4863999999999997</v>
      </c>
      <c r="C1983" s="1">
        <v>44615</v>
      </c>
      <c r="D1983">
        <v>6.3144999999999998</v>
      </c>
      <c r="E1983" s="1">
        <v>44615</v>
      </c>
      <c r="F1983">
        <v>6.3144999999999998</v>
      </c>
    </row>
    <row r="1984" spans="1:6" x14ac:dyDescent="0.25">
      <c r="A1984" s="1">
        <v>44418</v>
      </c>
      <c r="B1984">
        <v>6.4874000000000001</v>
      </c>
      <c r="C1984" s="1">
        <v>44616</v>
      </c>
      <c r="D1984">
        <v>6.3292000000000002</v>
      </c>
      <c r="E1984" s="1">
        <v>44616</v>
      </c>
      <c r="F1984">
        <v>6.3292000000000002</v>
      </c>
    </row>
    <row r="1985" spans="1:6" x14ac:dyDescent="0.25">
      <c r="A1985" s="1">
        <v>44419</v>
      </c>
      <c r="B1985">
        <v>6.4763000000000002</v>
      </c>
      <c r="C1985" s="1">
        <v>44617</v>
      </c>
      <c r="D1985">
        <v>6.3174999999999999</v>
      </c>
      <c r="E1985" s="1">
        <v>44617</v>
      </c>
      <c r="F1985">
        <v>6.3174999999999999</v>
      </c>
    </row>
    <row r="1986" spans="1:6" x14ac:dyDescent="0.25">
      <c r="A1986" s="1">
        <v>44420</v>
      </c>
      <c r="B1986">
        <v>6.4775999999999998</v>
      </c>
      <c r="C1986" s="1">
        <v>44620</v>
      </c>
      <c r="D1986">
        <v>6.3091999999999997</v>
      </c>
      <c r="E1986" s="1">
        <v>44620</v>
      </c>
      <c r="F1986">
        <v>6.3091999999999997</v>
      </c>
    </row>
    <row r="1987" spans="1:6" x14ac:dyDescent="0.25">
      <c r="A1987" s="1">
        <v>44421</v>
      </c>
      <c r="B1987">
        <v>6.4775999999999998</v>
      </c>
      <c r="C1987" s="1">
        <v>44621</v>
      </c>
      <c r="D1987">
        <v>6.3118999999999996</v>
      </c>
      <c r="E1987" s="1">
        <v>44621</v>
      </c>
      <c r="F1987">
        <v>6.3118999999999996</v>
      </c>
    </row>
    <row r="1988" spans="1:6" x14ac:dyDescent="0.25">
      <c r="A1988" s="1">
        <v>44424</v>
      </c>
      <c r="B1988">
        <v>6.4760999999999997</v>
      </c>
      <c r="C1988" s="1">
        <v>44622</v>
      </c>
      <c r="D1988">
        <v>6.3211000000000004</v>
      </c>
      <c r="E1988" s="1">
        <v>44622</v>
      </c>
      <c r="F1988">
        <v>6.3211000000000004</v>
      </c>
    </row>
    <row r="1989" spans="1:6" x14ac:dyDescent="0.25">
      <c r="A1989" s="1">
        <v>44425</v>
      </c>
      <c r="B1989">
        <v>6.4912000000000001</v>
      </c>
      <c r="C1989" s="1">
        <v>44623</v>
      </c>
      <c r="D1989">
        <v>6.3202999999999996</v>
      </c>
      <c r="E1989" s="1">
        <v>44623</v>
      </c>
      <c r="F1989">
        <v>6.3202999999999996</v>
      </c>
    </row>
    <row r="1990" spans="1:6" x14ac:dyDescent="0.25">
      <c r="A1990" s="1">
        <v>44426</v>
      </c>
      <c r="B1990">
        <v>6.4850000000000003</v>
      </c>
      <c r="C1990" s="1">
        <v>44624</v>
      </c>
      <c r="D1990">
        <v>6.3196000000000003</v>
      </c>
      <c r="E1990" s="1">
        <v>44624</v>
      </c>
      <c r="F1990">
        <v>6.3196000000000003</v>
      </c>
    </row>
    <row r="1991" spans="1:6" x14ac:dyDescent="0.25">
      <c r="A1991" s="1">
        <v>44427</v>
      </c>
      <c r="B1991">
        <v>6.5011000000000001</v>
      </c>
      <c r="C1991" s="1">
        <v>44627</v>
      </c>
      <c r="D1991">
        <v>6.3208000000000002</v>
      </c>
      <c r="E1991" s="1">
        <v>44627</v>
      </c>
      <c r="F1991">
        <v>6.3208000000000002</v>
      </c>
    </row>
    <row r="1992" spans="1:6" x14ac:dyDescent="0.25">
      <c r="A1992" s="1">
        <v>44428</v>
      </c>
      <c r="B1992">
        <v>6.5002000000000004</v>
      </c>
      <c r="C1992" s="1">
        <v>44628</v>
      </c>
      <c r="D1992">
        <v>6.3186999999999998</v>
      </c>
      <c r="E1992" s="1">
        <v>44628</v>
      </c>
      <c r="F1992">
        <v>6.3186999999999998</v>
      </c>
    </row>
    <row r="1993" spans="1:6" x14ac:dyDescent="0.25">
      <c r="A1993" s="1">
        <v>44431</v>
      </c>
      <c r="B1993">
        <v>6.4771000000000001</v>
      </c>
      <c r="C1993" s="1">
        <v>44629</v>
      </c>
      <c r="D1993">
        <v>6.3175999999999997</v>
      </c>
      <c r="E1993" s="1">
        <v>44629</v>
      </c>
      <c r="F1993">
        <v>6.3175999999999997</v>
      </c>
    </row>
    <row r="1994" spans="1:6" x14ac:dyDescent="0.25">
      <c r="A1994" s="1">
        <v>44432</v>
      </c>
      <c r="B1994">
        <v>6.4695999999999998</v>
      </c>
      <c r="C1994" s="1">
        <v>44630</v>
      </c>
      <c r="D1994">
        <v>6.3221999999999996</v>
      </c>
      <c r="E1994" s="1">
        <v>44630</v>
      </c>
      <c r="F1994">
        <v>6.3221999999999996</v>
      </c>
    </row>
    <row r="1995" spans="1:6" x14ac:dyDescent="0.25">
      <c r="A1995" s="1">
        <v>44433</v>
      </c>
      <c r="B1995">
        <v>6.4701000000000004</v>
      </c>
      <c r="C1995" s="1">
        <v>44631</v>
      </c>
      <c r="D1995">
        <v>6.3392999999999997</v>
      </c>
      <c r="E1995" s="1">
        <v>44631</v>
      </c>
      <c r="F1995">
        <v>6.3392999999999997</v>
      </c>
    </row>
    <row r="1996" spans="1:6" x14ac:dyDescent="0.25">
      <c r="A1996" s="1">
        <v>44434</v>
      </c>
      <c r="B1996">
        <v>6.4846000000000004</v>
      </c>
      <c r="C1996" s="1">
        <v>44634</v>
      </c>
      <c r="D1996">
        <v>6.3657000000000004</v>
      </c>
      <c r="E1996" s="1">
        <v>44634</v>
      </c>
      <c r="F1996">
        <v>6.3657000000000004</v>
      </c>
    </row>
    <row r="1997" spans="1:6" x14ac:dyDescent="0.25">
      <c r="A1997" s="1">
        <v>44435</v>
      </c>
      <c r="B1997">
        <v>6.4623999999999997</v>
      </c>
      <c r="C1997" s="1">
        <v>44635</v>
      </c>
      <c r="D1997">
        <v>6.3705999999999996</v>
      </c>
      <c r="E1997" s="1">
        <v>44635</v>
      </c>
      <c r="F1997">
        <v>6.3705999999999996</v>
      </c>
    </row>
    <row r="1998" spans="1:6" x14ac:dyDescent="0.25">
      <c r="A1998" s="1">
        <v>44438</v>
      </c>
      <c r="B1998">
        <v>6.4653999999999998</v>
      </c>
      <c r="C1998" s="1">
        <v>44636</v>
      </c>
      <c r="D1998">
        <v>6.3525999999999998</v>
      </c>
      <c r="E1998" s="1">
        <v>44636</v>
      </c>
      <c r="F1998">
        <v>6.3525999999999998</v>
      </c>
    </row>
    <row r="1999" spans="1:6" x14ac:dyDescent="0.25">
      <c r="A1999" s="1">
        <v>44439</v>
      </c>
      <c r="B1999">
        <v>6.4542000000000002</v>
      </c>
      <c r="C1999" s="1">
        <v>44637</v>
      </c>
      <c r="D1999">
        <v>6.3470000000000004</v>
      </c>
      <c r="E1999" s="1">
        <v>44637</v>
      </c>
      <c r="F1999">
        <v>6.3470000000000004</v>
      </c>
    </row>
    <row r="2000" spans="1:6" x14ac:dyDescent="0.25">
      <c r="A2000" s="1">
        <v>44440</v>
      </c>
      <c r="B2000">
        <v>6.4519000000000002</v>
      </c>
      <c r="C2000" s="1">
        <v>44638</v>
      </c>
      <c r="D2000">
        <v>6.3612000000000002</v>
      </c>
      <c r="E2000" s="1">
        <v>44638</v>
      </c>
      <c r="F2000">
        <v>6.3612000000000002</v>
      </c>
    </row>
    <row r="2001" spans="1:6" x14ac:dyDescent="0.25">
      <c r="A2001" s="1">
        <v>44441</v>
      </c>
      <c r="B2001">
        <v>6.4493</v>
      </c>
      <c r="C2001" s="1">
        <v>44641</v>
      </c>
      <c r="D2001">
        <v>6.3559000000000001</v>
      </c>
      <c r="E2001" s="1">
        <v>44641</v>
      </c>
      <c r="F2001">
        <v>6.3559000000000001</v>
      </c>
    </row>
    <row r="2002" spans="1:6" x14ac:dyDescent="0.25">
      <c r="A2002" s="1">
        <v>44442</v>
      </c>
      <c r="B2002">
        <v>6.4386000000000001</v>
      </c>
      <c r="C2002" s="1">
        <v>44642</v>
      </c>
      <c r="D2002">
        <v>6.3662999999999998</v>
      </c>
      <c r="E2002" s="1">
        <v>44642</v>
      </c>
      <c r="F2002">
        <v>6.3662999999999998</v>
      </c>
    </row>
    <row r="2003" spans="1:6" x14ac:dyDescent="0.25">
      <c r="A2003" s="1">
        <v>44445</v>
      </c>
      <c r="B2003">
        <v>6.4505999999999997</v>
      </c>
      <c r="C2003" s="1">
        <v>44643</v>
      </c>
      <c r="D2003">
        <v>6.3723999999999998</v>
      </c>
      <c r="E2003" s="1">
        <v>44643</v>
      </c>
      <c r="F2003">
        <v>6.3723999999999998</v>
      </c>
    </row>
    <row r="2004" spans="1:6" x14ac:dyDescent="0.25">
      <c r="A2004" s="1">
        <v>44446</v>
      </c>
      <c r="B2004">
        <v>6.4615</v>
      </c>
      <c r="C2004" s="1">
        <v>44644</v>
      </c>
      <c r="D2004">
        <v>6.3677999999999999</v>
      </c>
      <c r="E2004" s="1">
        <v>44644</v>
      </c>
      <c r="F2004">
        <v>6.3677999999999999</v>
      </c>
    </row>
    <row r="2005" spans="1:6" x14ac:dyDescent="0.25">
      <c r="A2005" s="1">
        <v>44447</v>
      </c>
      <c r="B2005">
        <v>6.4569000000000001</v>
      </c>
      <c r="C2005" s="1">
        <v>44645</v>
      </c>
      <c r="D2005">
        <v>6.3662000000000001</v>
      </c>
      <c r="E2005" s="1">
        <v>44645</v>
      </c>
      <c r="F2005">
        <v>6.3662000000000001</v>
      </c>
    </row>
    <row r="2006" spans="1:6" x14ac:dyDescent="0.25">
      <c r="A2006" s="1">
        <v>44448</v>
      </c>
      <c r="B2006">
        <v>6.4512999999999998</v>
      </c>
      <c r="C2006" s="1">
        <v>44648</v>
      </c>
      <c r="D2006">
        <v>6.3720999999999997</v>
      </c>
      <c r="E2006" s="1">
        <v>44648</v>
      </c>
      <c r="F2006">
        <v>6.3720999999999997</v>
      </c>
    </row>
    <row r="2007" spans="1:6" x14ac:dyDescent="0.25">
      <c r="A2007" s="1">
        <v>44449</v>
      </c>
      <c r="B2007">
        <v>6.4432</v>
      </c>
      <c r="C2007" s="1">
        <v>44649</v>
      </c>
      <c r="D2007">
        <v>6.3642000000000003</v>
      </c>
      <c r="E2007" s="1">
        <v>44649</v>
      </c>
      <c r="F2007">
        <v>6.3642000000000003</v>
      </c>
    </row>
    <row r="2008" spans="1:6" x14ac:dyDescent="0.25">
      <c r="A2008" s="1">
        <v>44452</v>
      </c>
      <c r="B2008">
        <v>6.4424000000000001</v>
      </c>
      <c r="C2008" s="1">
        <v>44650</v>
      </c>
      <c r="D2008">
        <v>6.3476999999999997</v>
      </c>
      <c r="E2008" s="1">
        <v>44650</v>
      </c>
      <c r="F2008">
        <v>6.3476999999999997</v>
      </c>
    </row>
    <row r="2009" spans="1:6" x14ac:dyDescent="0.25">
      <c r="A2009" s="1">
        <v>44453</v>
      </c>
      <c r="B2009">
        <v>6.4345999999999997</v>
      </c>
      <c r="C2009" s="1">
        <v>44651</v>
      </c>
      <c r="D2009">
        <v>6.34</v>
      </c>
      <c r="E2009" s="1">
        <v>44651</v>
      </c>
      <c r="F2009">
        <v>6.34</v>
      </c>
    </row>
    <row r="2010" spans="1:6" x14ac:dyDescent="0.25">
      <c r="A2010" s="1">
        <v>44454</v>
      </c>
      <c r="B2010">
        <v>6.4268999999999998</v>
      </c>
      <c r="C2010" s="1">
        <v>44652</v>
      </c>
      <c r="D2010">
        <v>6.3628999999999998</v>
      </c>
      <c r="E2010" s="1">
        <v>44652</v>
      </c>
      <c r="F2010">
        <v>6.3628999999999998</v>
      </c>
    </row>
    <row r="2011" spans="1:6" x14ac:dyDescent="0.25">
      <c r="A2011" s="1">
        <v>44455</v>
      </c>
      <c r="B2011">
        <v>6.4530000000000003</v>
      </c>
      <c r="C2011" s="1">
        <v>44657</v>
      </c>
      <c r="D2011">
        <v>6.3597999999999999</v>
      </c>
      <c r="E2011" s="1">
        <v>44657</v>
      </c>
      <c r="F2011">
        <v>6.3597999999999999</v>
      </c>
    </row>
    <row r="2012" spans="1:6" x14ac:dyDescent="0.25">
      <c r="A2012" s="1">
        <v>44456</v>
      </c>
      <c r="B2012">
        <v>6.4713000000000003</v>
      </c>
      <c r="C2012" s="1">
        <v>44658</v>
      </c>
      <c r="D2012">
        <v>6.3604000000000003</v>
      </c>
      <c r="E2012" s="1">
        <v>44658</v>
      </c>
      <c r="F2012">
        <v>6.3604000000000003</v>
      </c>
    </row>
    <row r="2013" spans="1:6" x14ac:dyDescent="0.25">
      <c r="A2013" s="1">
        <v>44459</v>
      </c>
      <c r="B2013">
        <v>6.4829999999999997</v>
      </c>
      <c r="C2013" s="1">
        <v>44659</v>
      </c>
      <c r="D2013">
        <v>6.3650000000000002</v>
      </c>
      <c r="E2013" s="1">
        <v>44659</v>
      </c>
      <c r="F2013">
        <v>6.3650000000000002</v>
      </c>
    </row>
    <row r="2014" spans="1:6" x14ac:dyDescent="0.25">
      <c r="A2014" s="1">
        <v>44460</v>
      </c>
      <c r="B2014">
        <v>6.4816000000000003</v>
      </c>
      <c r="C2014" s="1">
        <v>44662</v>
      </c>
      <c r="D2014">
        <v>6.37</v>
      </c>
      <c r="E2014" s="1">
        <v>44662</v>
      </c>
      <c r="F2014">
        <v>6.37</v>
      </c>
    </row>
    <row r="2015" spans="1:6" x14ac:dyDescent="0.25">
      <c r="A2015" s="1">
        <v>44461</v>
      </c>
      <c r="B2015">
        <v>6.4661999999999997</v>
      </c>
      <c r="C2015" s="1">
        <v>44663</v>
      </c>
      <c r="D2015">
        <v>6.3657000000000004</v>
      </c>
      <c r="E2015" s="1">
        <v>44663</v>
      </c>
      <c r="F2015">
        <v>6.3657000000000004</v>
      </c>
    </row>
    <row r="2016" spans="1:6" x14ac:dyDescent="0.25">
      <c r="A2016" s="1">
        <v>44462</v>
      </c>
      <c r="B2016">
        <v>6.4623999999999997</v>
      </c>
      <c r="C2016" s="1">
        <v>44664</v>
      </c>
      <c r="D2016">
        <v>6.3681999999999999</v>
      </c>
      <c r="E2016" s="1">
        <v>44664</v>
      </c>
      <c r="F2016">
        <v>6.3681999999999999</v>
      </c>
    </row>
    <row r="2017" spans="1:6" x14ac:dyDescent="0.25">
      <c r="A2017" s="1">
        <v>44463</v>
      </c>
      <c r="B2017">
        <v>6.4619</v>
      </c>
      <c r="C2017" s="1">
        <v>44665</v>
      </c>
      <c r="D2017">
        <v>6.3784000000000001</v>
      </c>
      <c r="E2017" s="1">
        <v>44665</v>
      </c>
      <c r="F2017">
        <v>6.3784000000000001</v>
      </c>
    </row>
    <row r="2018" spans="1:6" x14ac:dyDescent="0.25">
      <c r="A2018" s="1">
        <v>44466</v>
      </c>
      <c r="B2018">
        <v>6.4580000000000002</v>
      </c>
      <c r="C2018" s="1">
        <v>44666</v>
      </c>
      <c r="D2018">
        <v>6.3715000000000002</v>
      </c>
      <c r="E2018" s="1">
        <v>44666</v>
      </c>
      <c r="F2018">
        <v>6.3715000000000002</v>
      </c>
    </row>
    <row r="2019" spans="1:6" x14ac:dyDescent="0.25">
      <c r="A2019" s="1">
        <v>44467</v>
      </c>
      <c r="B2019">
        <v>6.4661999999999997</v>
      </c>
      <c r="C2019" s="1">
        <v>44669</v>
      </c>
      <c r="D2019">
        <v>6.3670999999999998</v>
      </c>
      <c r="E2019" s="1">
        <v>44669</v>
      </c>
      <c r="F2019">
        <v>6.3670999999999998</v>
      </c>
    </row>
    <row r="2020" spans="1:6" x14ac:dyDescent="0.25">
      <c r="A2020" s="1">
        <v>44468</v>
      </c>
      <c r="B2020">
        <v>6.4776999999999996</v>
      </c>
      <c r="C2020" s="1">
        <v>44670</v>
      </c>
      <c r="D2020">
        <v>6.3935000000000004</v>
      </c>
      <c r="E2020" s="1">
        <v>44670</v>
      </c>
      <c r="F2020">
        <v>6.3935000000000004</v>
      </c>
    </row>
    <row r="2021" spans="1:6" x14ac:dyDescent="0.25">
      <c r="A2021" s="1">
        <v>44469</v>
      </c>
      <c r="B2021">
        <v>6.4492000000000003</v>
      </c>
      <c r="C2021" s="1">
        <v>44671</v>
      </c>
      <c r="D2021">
        <v>6.4192</v>
      </c>
      <c r="E2021" s="1">
        <v>44671</v>
      </c>
      <c r="F2021">
        <v>6.4192</v>
      </c>
    </row>
    <row r="2022" spans="1:6" x14ac:dyDescent="0.25">
      <c r="A2022" s="1">
        <v>44470</v>
      </c>
      <c r="B2022">
        <v>6.4368999999999996</v>
      </c>
      <c r="C2022" s="1">
        <v>44672</v>
      </c>
      <c r="D2022">
        <v>6.4507000000000003</v>
      </c>
      <c r="E2022" s="1">
        <v>44672</v>
      </c>
      <c r="F2022">
        <v>6.4507000000000003</v>
      </c>
    </row>
    <row r="2023" spans="1:6" x14ac:dyDescent="0.25">
      <c r="A2023" s="1">
        <v>44473</v>
      </c>
      <c r="B2023">
        <v>6.4504999999999999</v>
      </c>
      <c r="C2023" s="1">
        <v>44673</v>
      </c>
      <c r="D2023">
        <v>6.5014000000000003</v>
      </c>
      <c r="E2023" s="1">
        <v>44673</v>
      </c>
      <c r="F2023">
        <v>6.5014000000000003</v>
      </c>
    </row>
    <row r="2024" spans="1:6" x14ac:dyDescent="0.25">
      <c r="A2024" s="1">
        <v>44474</v>
      </c>
      <c r="B2024">
        <v>6.4493</v>
      </c>
      <c r="C2024" s="1">
        <v>44676</v>
      </c>
      <c r="D2024">
        <v>6.5594000000000001</v>
      </c>
      <c r="E2024" s="1">
        <v>44676</v>
      </c>
      <c r="F2024">
        <v>6.5594000000000001</v>
      </c>
    </row>
    <row r="2025" spans="1:6" x14ac:dyDescent="0.25">
      <c r="A2025" s="1">
        <v>44475</v>
      </c>
      <c r="B2025">
        <v>6.4539999999999997</v>
      </c>
      <c r="C2025" s="1">
        <v>44677</v>
      </c>
      <c r="D2025">
        <v>6.5566000000000004</v>
      </c>
      <c r="E2025" s="1">
        <v>44677</v>
      </c>
      <c r="F2025">
        <v>6.5566000000000004</v>
      </c>
    </row>
    <row r="2026" spans="1:6" x14ac:dyDescent="0.25">
      <c r="A2026" s="1">
        <v>44476</v>
      </c>
      <c r="B2026">
        <v>6.4523999999999999</v>
      </c>
      <c r="C2026" s="1">
        <v>44678</v>
      </c>
      <c r="D2026">
        <v>6.5606</v>
      </c>
      <c r="E2026" s="1">
        <v>44678</v>
      </c>
      <c r="F2026">
        <v>6.5606</v>
      </c>
    </row>
    <row r="2027" spans="1:6" x14ac:dyDescent="0.25">
      <c r="A2027" s="1">
        <v>44477</v>
      </c>
      <c r="B2027">
        <v>6.4455</v>
      </c>
      <c r="C2027" s="1">
        <v>44679</v>
      </c>
      <c r="D2027">
        <v>6.6265999999999998</v>
      </c>
      <c r="E2027" s="1">
        <v>44679</v>
      </c>
      <c r="F2027">
        <v>6.6265999999999998</v>
      </c>
    </row>
    <row r="2028" spans="1:6" x14ac:dyDescent="0.25">
      <c r="A2028" s="1">
        <v>44480</v>
      </c>
      <c r="B2028">
        <v>6.4591000000000003</v>
      </c>
      <c r="C2028" s="1">
        <v>44680</v>
      </c>
      <c r="D2028">
        <v>6.6085000000000003</v>
      </c>
      <c r="E2028" s="1">
        <v>44680</v>
      </c>
      <c r="F2028">
        <v>6.6085000000000003</v>
      </c>
    </row>
    <row r="2029" spans="1:6" x14ac:dyDescent="0.25">
      <c r="A2029" s="1">
        <v>44481</v>
      </c>
      <c r="B2029">
        <v>6.4558</v>
      </c>
      <c r="C2029" s="1">
        <v>44686</v>
      </c>
      <c r="D2029">
        <v>6.6558000000000002</v>
      </c>
      <c r="E2029" s="1">
        <v>44686</v>
      </c>
      <c r="F2029">
        <v>6.6558000000000002</v>
      </c>
    </row>
    <row r="2030" spans="1:6" x14ac:dyDescent="0.25">
      <c r="A2030" s="1">
        <v>44482</v>
      </c>
      <c r="B2030">
        <v>6.4280999999999997</v>
      </c>
      <c r="C2030" s="1">
        <v>44687</v>
      </c>
      <c r="D2030">
        <v>6.6668000000000003</v>
      </c>
      <c r="E2030" s="1">
        <v>44687</v>
      </c>
      <c r="F2030">
        <v>6.6668000000000003</v>
      </c>
    </row>
    <row r="2031" spans="1:6" x14ac:dyDescent="0.25">
      <c r="A2031" s="1">
        <v>44483</v>
      </c>
      <c r="B2031">
        <v>6.4359000000000002</v>
      </c>
      <c r="C2031" s="1">
        <v>44690</v>
      </c>
      <c r="D2031">
        <v>6.7308000000000003</v>
      </c>
      <c r="E2031" s="1">
        <v>44690</v>
      </c>
      <c r="F2031">
        <v>6.7308000000000003</v>
      </c>
    </row>
    <row r="2032" spans="1:6" x14ac:dyDescent="0.25">
      <c r="A2032" s="1">
        <v>44484</v>
      </c>
      <c r="B2032">
        <v>6.4345999999999997</v>
      </c>
      <c r="C2032" s="1">
        <v>44691</v>
      </c>
      <c r="D2032">
        <v>6.7347000000000001</v>
      </c>
      <c r="E2032" s="1">
        <v>44691</v>
      </c>
      <c r="F2032">
        <v>6.7347000000000001</v>
      </c>
    </row>
    <row r="2033" spans="1:6" x14ac:dyDescent="0.25">
      <c r="A2033" s="1">
        <v>44487</v>
      </c>
      <c r="B2033">
        <v>6.4278000000000004</v>
      </c>
      <c r="C2033" s="1">
        <v>44692</v>
      </c>
      <c r="D2033">
        <v>6.7217000000000002</v>
      </c>
      <c r="E2033" s="1">
        <v>44692</v>
      </c>
      <c r="F2033">
        <v>6.7217000000000002</v>
      </c>
    </row>
    <row r="2034" spans="1:6" x14ac:dyDescent="0.25">
      <c r="A2034" s="1">
        <v>44488</v>
      </c>
      <c r="B2034">
        <v>6.3762999999999996</v>
      </c>
      <c r="C2034" s="1">
        <v>44693</v>
      </c>
      <c r="D2034">
        <v>6.7862999999999998</v>
      </c>
      <c r="E2034" s="1">
        <v>44693</v>
      </c>
      <c r="F2034">
        <v>6.7862999999999998</v>
      </c>
    </row>
    <row r="2035" spans="1:6" x14ac:dyDescent="0.25">
      <c r="A2035" s="1">
        <v>44489</v>
      </c>
      <c r="B2035">
        <v>6.3945999999999996</v>
      </c>
      <c r="C2035" s="1">
        <v>44694</v>
      </c>
      <c r="D2035">
        <v>6.7892000000000001</v>
      </c>
      <c r="E2035" s="1">
        <v>44694</v>
      </c>
      <c r="F2035">
        <v>6.7892000000000001</v>
      </c>
    </row>
    <row r="2036" spans="1:6" x14ac:dyDescent="0.25">
      <c r="A2036" s="1">
        <v>44490</v>
      </c>
      <c r="B2036">
        <v>6.3941999999999997</v>
      </c>
      <c r="C2036" s="1">
        <v>44697</v>
      </c>
      <c r="D2036">
        <v>6.7861000000000002</v>
      </c>
      <c r="E2036" s="1">
        <v>44697</v>
      </c>
      <c r="F2036">
        <v>6.7861000000000002</v>
      </c>
    </row>
    <row r="2037" spans="1:6" x14ac:dyDescent="0.25">
      <c r="A2037" s="1">
        <v>44491</v>
      </c>
      <c r="B2037">
        <v>6.3837000000000002</v>
      </c>
      <c r="C2037" s="1">
        <v>44698</v>
      </c>
      <c r="D2037">
        <v>6.7377000000000002</v>
      </c>
      <c r="E2037" s="1">
        <v>44698</v>
      </c>
      <c r="F2037">
        <v>6.7377000000000002</v>
      </c>
    </row>
    <row r="2038" spans="1:6" x14ac:dyDescent="0.25">
      <c r="A2038" s="1">
        <v>44494</v>
      </c>
      <c r="B2038">
        <v>6.3829000000000002</v>
      </c>
      <c r="C2038" s="1">
        <v>44699</v>
      </c>
      <c r="D2038">
        <v>6.7542</v>
      </c>
      <c r="E2038" s="1">
        <v>44699</v>
      </c>
      <c r="F2038">
        <v>6.7542</v>
      </c>
    </row>
    <row r="2039" spans="1:6" x14ac:dyDescent="0.25">
      <c r="A2039" s="1">
        <v>44495</v>
      </c>
      <c r="B2039">
        <v>6.3787000000000003</v>
      </c>
      <c r="C2039" s="1">
        <v>44700</v>
      </c>
      <c r="D2039">
        <v>6.7125000000000004</v>
      </c>
      <c r="E2039" s="1">
        <v>44700</v>
      </c>
      <c r="F2039">
        <v>6.7125000000000004</v>
      </c>
    </row>
    <row r="2040" spans="1:6" x14ac:dyDescent="0.25">
      <c r="A2040" s="1">
        <v>44496</v>
      </c>
      <c r="B2040">
        <v>6.3939000000000004</v>
      </c>
      <c r="C2040" s="1">
        <v>44701</v>
      </c>
      <c r="D2040">
        <v>6.6929999999999996</v>
      </c>
      <c r="E2040" s="1">
        <v>44701</v>
      </c>
      <c r="F2040">
        <v>6.6929999999999996</v>
      </c>
    </row>
    <row r="2041" spans="1:6" x14ac:dyDescent="0.25">
      <c r="A2041" s="1">
        <v>44497</v>
      </c>
      <c r="B2041">
        <v>6.3891999999999998</v>
      </c>
      <c r="C2041" s="1">
        <v>44704</v>
      </c>
      <c r="D2041">
        <v>6.6497000000000002</v>
      </c>
      <c r="E2041" s="1">
        <v>44704</v>
      </c>
      <c r="F2041">
        <v>6.6497000000000002</v>
      </c>
    </row>
    <row r="2042" spans="1:6" x14ac:dyDescent="0.25">
      <c r="A2042" s="1">
        <v>44498</v>
      </c>
      <c r="B2042">
        <v>6.4048999999999996</v>
      </c>
      <c r="C2042" s="1">
        <v>44705</v>
      </c>
      <c r="D2042">
        <v>6.6536999999999997</v>
      </c>
      <c r="E2042" s="1">
        <v>44705</v>
      </c>
      <c r="F2042">
        <v>6.6536999999999997</v>
      </c>
    </row>
    <row r="2043" spans="1:6" x14ac:dyDescent="0.25">
      <c r="A2043" s="1">
        <v>44501</v>
      </c>
      <c r="B2043">
        <v>6.3941999999999997</v>
      </c>
      <c r="C2043" s="1">
        <v>44706</v>
      </c>
      <c r="D2043">
        <v>6.6932</v>
      </c>
      <c r="E2043" s="1">
        <v>44706</v>
      </c>
      <c r="F2043">
        <v>6.6932</v>
      </c>
    </row>
    <row r="2044" spans="1:6" x14ac:dyDescent="0.25">
      <c r="A2044" s="1">
        <v>44502</v>
      </c>
      <c r="B2044">
        <v>6.4028</v>
      </c>
      <c r="C2044" s="1">
        <v>44707</v>
      </c>
      <c r="D2044">
        <v>6.7389000000000001</v>
      </c>
      <c r="E2044" s="1">
        <v>44707</v>
      </c>
      <c r="F2044">
        <v>6.7389000000000001</v>
      </c>
    </row>
    <row r="2045" spans="1:6" x14ac:dyDescent="0.25">
      <c r="A2045" s="1">
        <v>44503</v>
      </c>
      <c r="B2045">
        <v>6.3948</v>
      </c>
      <c r="C2045" s="1">
        <v>44708</v>
      </c>
      <c r="D2045">
        <v>6.6993999999999998</v>
      </c>
      <c r="E2045" s="1">
        <v>44708</v>
      </c>
      <c r="F2045">
        <v>6.6993999999999998</v>
      </c>
    </row>
    <row r="2046" spans="1:6" x14ac:dyDescent="0.25">
      <c r="A2046" s="1">
        <v>44504</v>
      </c>
      <c r="B2046">
        <v>6.3974000000000002</v>
      </c>
      <c r="C2046" s="1">
        <v>44711</v>
      </c>
      <c r="D2046">
        <v>6.6614000000000004</v>
      </c>
      <c r="E2046" s="1">
        <v>44711</v>
      </c>
      <c r="F2046">
        <v>6.6614000000000004</v>
      </c>
    </row>
    <row r="2047" spans="1:6" x14ac:dyDescent="0.25">
      <c r="A2047" s="1">
        <v>44505</v>
      </c>
      <c r="B2047">
        <v>6.3944000000000001</v>
      </c>
      <c r="C2047" s="1">
        <v>44712</v>
      </c>
      <c r="D2047">
        <v>6.6718000000000002</v>
      </c>
      <c r="E2047" s="1">
        <v>44712</v>
      </c>
      <c r="F2047">
        <v>6.6718000000000002</v>
      </c>
    </row>
    <row r="2048" spans="1:6" x14ac:dyDescent="0.25">
      <c r="A2048" s="1">
        <v>44508</v>
      </c>
      <c r="B2048">
        <v>6.3883999999999999</v>
      </c>
      <c r="C2048" s="1">
        <v>44713</v>
      </c>
      <c r="D2048">
        <v>6.6862000000000004</v>
      </c>
      <c r="E2048" s="1">
        <v>44713</v>
      </c>
      <c r="F2048">
        <v>6.6862000000000004</v>
      </c>
    </row>
    <row r="2049" spans="1:6" x14ac:dyDescent="0.25">
      <c r="A2049" s="1">
        <v>44509</v>
      </c>
      <c r="B2049">
        <v>6.3897000000000004</v>
      </c>
      <c r="C2049" s="1">
        <v>44714</v>
      </c>
      <c r="D2049">
        <v>6.6603000000000003</v>
      </c>
      <c r="E2049" s="1">
        <v>44714</v>
      </c>
      <c r="F2049">
        <v>6.6603000000000003</v>
      </c>
    </row>
    <row r="2050" spans="1:6" x14ac:dyDescent="0.25">
      <c r="A2050" s="1">
        <v>44510</v>
      </c>
      <c r="B2050">
        <v>6.4002999999999997</v>
      </c>
      <c r="C2050" s="1">
        <v>44718</v>
      </c>
      <c r="D2050">
        <v>6.6539000000000001</v>
      </c>
      <c r="E2050" s="1">
        <v>44718</v>
      </c>
      <c r="F2050">
        <v>6.6539000000000001</v>
      </c>
    </row>
    <row r="2051" spans="1:6" x14ac:dyDescent="0.25">
      <c r="A2051" s="1">
        <v>44511</v>
      </c>
      <c r="B2051">
        <v>6.391</v>
      </c>
      <c r="C2051" s="1">
        <v>44719</v>
      </c>
      <c r="D2051">
        <v>6.6704999999999997</v>
      </c>
      <c r="E2051" s="1">
        <v>44719</v>
      </c>
      <c r="F2051">
        <v>6.6704999999999997</v>
      </c>
    </row>
    <row r="2052" spans="1:6" x14ac:dyDescent="0.25">
      <c r="A2052" s="1">
        <v>44512</v>
      </c>
      <c r="B2052">
        <v>6.38</v>
      </c>
      <c r="C2052" s="1">
        <v>44720</v>
      </c>
      <c r="D2052">
        <v>6.6837999999999997</v>
      </c>
      <c r="E2052" s="1">
        <v>44720</v>
      </c>
      <c r="F2052">
        <v>6.6837999999999997</v>
      </c>
    </row>
    <row r="2053" spans="1:6" x14ac:dyDescent="0.25">
      <c r="A2053" s="1">
        <v>44515</v>
      </c>
      <c r="B2053">
        <v>6.3829000000000002</v>
      </c>
      <c r="C2053" s="1">
        <v>44721</v>
      </c>
      <c r="D2053">
        <v>6.6924999999999999</v>
      </c>
      <c r="E2053" s="1">
        <v>44721</v>
      </c>
      <c r="F2053">
        <v>6.6924999999999999</v>
      </c>
    </row>
    <row r="2054" spans="1:6" x14ac:dyDescent="0.25">
      <c r="A2054" s="1">
        <v>44516</v>
      </c>
      <c r="B2054">
        <v>6.3902999999999999</v>
      </c>
      <c r="C2054" s="1">
        <v>44722</v>
      </c>
      <c r="D2054">
        <v>6.7091000000000003</v>
      </c>
      <c r="E2054" s="1">
        <v>44722</v>
      </c>
      <c r="F2054">
        <v>6.7091000000000003</v>
      </c>
    </row>
    <row r="2055" spans="1:6" x14ac:dyDescent="0.25">
      <c r="A2055" s="1">
        <v>44517</v>
      </c>
      <c r="B2055">
        <v>6.3753000000000002</v>
      </c>
      <c r="C2055" s="1">
        <v>44725</v>
      </c>
      <c r="D2055">
        <v>6.7545999999999999</v>
      </c>
      <c r="E2055" s="1">
        <v>44725</v>
      </c>
      <c r="F2055">
        <v>6.7545999999999999</v>
      </c>
    </row>
    <row r="2056" spans="1:6" x14ac:dyDescent="0.25">
      <c r="A2056" s="1">
        <v>44518</v>
      </c>
      <c r="B2056">
        <v>6.3802000000000003</v>
      </c>
      <c r="C2056" s="1">
        <v>44726</v>
      </c>
      <c r="D2056">
        <v>6.7409999999999997</v>
      </c>
      <c r="E2056" s="1">
        <v>44726</v>
      </c>
      <c r="F2056">
        <v>6.7409999999999997</v>
      </c>
    </row>
    <row r="2057" spans="1:6" x14ac:dyDescent="0.25">
      <c r="A2057" s="1">
        <v>44519</v>
      </c>
      <c r="B2057">
        <v>6.3902999999999999</v>
      </c>
      <c r="C2057" s="1">
        <v>44727</v>
      </c>
      <c r="D2057">
        <v>6.7149000000000001</v>
      </c>
      <c r="E2057" s="1">
        <v>44727</v>
      </c>
      <c r="F2057">
        <v>6.7149000000000001</v>
      </c>
    </row>
    <row r="2058" spans="1:6" x14ac:dyDescent="0.25">
      <c r="A2058" s="1">
        <v>44522</v>
      </c>
      <c r="B2058">
        <v>6.3906999999999998</v>
      </c>
      <c r="C2058" s="1">
        <v>44728</v>
      </c>
      <c r="D2058">
        <v>6.7043999999999997</v>
      </c>
      <c r="E2058" s="1">
        <v>44728</v>
      </c>
      <c r="F2058">
        <v>6.7043999999999997</v>
      </c>
    </row>
    <row r="2059" spans="1:6" x14ac:dyDescent="0.25">
      <c r="A2059" s="1">
        <v>44523</v>
      </c>
      <c r="B2059">
        <v>6.3910999999999998</v>
      </c>
      <c r="C2059" s="1">
        <v>44729</v>
      </c>
      <c r="D2059">
        <v>6.7167000000000003</v>
      </c>
      <c r="E2059" s="1">
        <v>44729</v>
      </c>
      <c r="F2059">
        <v>6.7167000000000003</v>
      </c>
    </row>
    <row r="2060" spans="1:6" x14ac:dyDescent="0.25">
      <c r="A2060" s="1">
        <v>44524</v>
      </c>
      <c r="B2060">
        <v>6.3956</v>
      </c>
      <c r="C2060" s="1">
        <v>44732</v>
      </c>
      <c r="D2060">
        <v>6.6924999999999999</v>
      </c>
      <c r="E2060" s="1">
        <v>44732</v>
      </c>
      <c r="F2060">
        <v>6.6924999999999999</v>
      </c>
    </row>
    <row r="2061" spans="1:6" x14ac:dyDescent="0.25">
      <c r="A2061" s="1">
        <v>44525</v>
      </c>
      <c r="B2061">
        <v>6.3876999999999997</v>
      </c>
      <c r="C2061" s="1">
        <v>44733</v>
      </c>
      <c r="D2061">
        <v>6.6894999999999998</v>
      </c>
      <c r="E2061" s="1">
        <v>44733</v>
      </c>
      <c r="F2061">
        <v>6.6894999999999998</v>
      </c>
    </row>
    <row r="2062" spans="1:6" x14ac:dyDescent="0.25">
      <c r="A2062" s="1">
        <v>44526</v>
      </c>
      <c r="B2062">
        <v>6.3975</v>
      </c>
      <c r="C2062" s="1">
        <v>44734</v>
      </c>
      <c r="D2062">
        <v>6.7023000000000001</v>
      </c>
      <c r="E2062" s="1">
        <v>44734</v>
      </c>
      <c r="F2062">
        <v>6.7023000000000001</v>
      </c>
    </row>
    <row r="2063" spans="1:6" x14ac:dyDescent="0.25">
      <c r="A2063" s="1">
        <v>44529</v>
      </c>
      <c r="B2063">
        <v>6.3864999999999998</v>
      </c>
      <c r="C2063" s="1">
        <v>44735</v>
      </c>
      <c r="D2063">
        <v>6.6989999999999998</v>
      </c>
      <c r="E2063" s="1">
        <v>44735</v>
      </c>
      <c r="F2063">
        <v>6.6989999999999998</v>
      </c>
    </row>
    <row r="2064" spans="1:6" x14ac:dyDescent="0.25">
      <c r="A2064" s="1">
        <v>44530</v>
      </c>
      <c r="B2064">
        <v>6.3670999999999998</v>
      </c>
      <c r="C2064" s="1">
        <v>44736</v>
      </c>
      <c r="D2064">
        <v>6.6898</v>
      </c>
      <c r="E2064" s="1">
        <v>44736</v>
      </c>
      <c r="F2064">
        <v>6.6898</v>
      </c>
    </row>
    <row r="2065" spans="1:6" x14ac:dyDescent="0.25">
      <c r="A2065" s="1">
        <v>44531</v>
      </c>
      <c r="B2065">
        <v>6.3720999999999997</v>
      </c>
      <c r="C2065" s="1">
        <v>44739</v>
      </c>
      <c r="D2065">
        <v>6.6917999999999997</v>
      </c>
      <c r="E2065" s="1">
        <v>44739</v>
      </c>
      <c r="F2065">
        <v>6.6917999999999997</v>
      </c>
    </row>
    <row r="2066" spans="1:6" x14ac:dyDescent="0.25">
      <c r="A2066" s="1">
        <v>44532</v>
      </c>
      <c r="B2066">
        <v>6.3728999999999996</v>
      </c>
      <c r="C2066" s="1">
        <v>44740</v>
      </c>
      <c r="D2066">
        <v>6.7080000000000002</v>
      </c>
      <c r="E2066" s="1">
        <v>44740</v>
      </c>
      <c r="F2066">
        <v>6.7080000000000002</v>
      </c>
    </row>
    <row r="2067" spans="1:6" x14ac:dyDescent="0.25">
      <c r="A2067" s="1">
        <v>44533</v>
      </c>
      <c r="B2067">
        <v>6.3747999999999996</v>
      </c>
      <c r="C2067" s="1">
        <v>44741</v>
      </c>
      <c r="D2067">
        <v>6.7008999999999999</v>
      </c>
      <c r="E2067" s="1">
        <v>44741</v>
      </c>
      <c r="F2067">
        <v>6.7008999999999999</v>
      </c>
    </row>
    <row r="2068" spans="1:6" x14ac:dyDescent="0.25">
      <c r="A2068" s="1">
        <v>44536</v>
      </c>
      <c r="B2068">
        <v>6.3747999999999996</v>
      </c>
      <c r="C2068" s="1">
        <v>44742</v>
      </c>
      <c r="D2068">
        <v>6.6993</v>
      </c>
      <c r="E2068" s="1">
        <v>44742</v>
      </c>
      <c r="F2068">
        <v>6.6993</v>
      </c>
    </row>
    <row r="2069" spans="1:6" x14ac:dyDescent="0.25">
      <c r="A2069" s="1">
        <v>44537</v>
      </c>
      <c r="B2069">
        <v>6.3639999999999999</v>
      </c>
      <c r="C2069" s="1">
        <v>44743</v>
      </c>
      <c r="D2069">
        <v>6.7015000000000002</v>
      </c>
      <c r="E2069" s="1">
        <v>44743</v>
      </c>
      <c r="F2069">
        <v>6.7015000000000002</v>
      </c>
    </row>
    <row r="2070" spans="1:6" x14ac:dyDescent="0.25">
      <c r="A2070" s="1">
        <v>44538</v>
      </c>
      <c r="B2070">
        <v>6.3459000000000003</v>
      </c>
      <c r="C2070" s="1">
        <v>44746</v>
      </c>
      <c r="D2070">
        <v>6.7005999999999997</v>
      </c>
      <c r="E2070" s="1">
        <v>44746</v>
      </c>
      <c r="F2070">
        <v>6.7005999999999997</v>
      </c>
    </row>
    <row r="2071" spans="1:6" x14ac:dyDescent="0.25">
      <c r="A2071" s="1">
        <v>44539</v>
      </c>
      <c r="B2071">
        <v>6.3798000000000004</v>
      </c>
      <c r="C2071" s="1">
        <v>44747</v>
      </c>
      <c r="D2071">
        <v>6.7196999999999996</v>
      </c>
      <c r="E2071" s="1">
        <v>44747</v>
      </c>
      <c r="F2071">
        <v>6.7196999999999996</v>
      </c>
    </row>
    <row r="2072" spans="1:6" x14ac:dyDescent="0.25">
      <c r="A2072" s="1">
        <v>44540</v>
      </c>
      <c r="B2072">
        <v>6.3762999999999996</v>
      </c>
      <c r="C2072" s="1">
        <v>44748</v>
      </c>
      <c r="D2072">
        <v>6.7080000000000002</v>
      </c>
      <c r="E2072" s="1">
        <v>44748</v>
      </c>
      <c r="F2072">
        <v>6.7080000000000002</v>
      </c>
    </row>
    <row r="2073" spans="1:6" x14ac:dyDescent="0.25">
      <c r="A2073" s="1">
        <v>44543</v>
      </c>
      <c r="B2073">
        <v>6.3756000000000004</v>
      </c>
      <c r="C2073" s="1">
        <v>44749</v>
      </c>
      <c r="D2073">
        <v>6.7007000000000003</v>
      </c>
      <c r="E2073" s="1">
        <v>44749</v>
      </c>
      <c r="F2073">
        <v>6.7007000000000003</v>
      </c>
    </row>
    <row r="2074" spans="1:6" x14ac:dyDescent="0.25">
      <c r="A2074" s="1">
        <v>44544</v>
      </c>
      <c r="B2074">
        <v>6.3742000000000001</v>
      </c>
      <c r="C2074" s="1">
        <v>44750</v>
      </c>
      <c r="D2074">
        <v>6.6946000000000003</v>
      </c>
      <c r="E2074" s="1">
        <v>44750</v>
      </c>
      <c r="F2074">
        <v>6.6946000000000003</v>
      </c>
    </row>
    <row r="2075" spans="1:6" x14ac:dyDescent="0.25">
      <c r="A2075" s="1">
        <v>44545</v>
      </c>
      <c r="B2075">
        <v>6.3742000000000001</v>
      </c>
      <c r="C2075" s="1">
        <v>44753</v>
      </c>
      <c r="D2075">
        <v>6.7190000000000003</v>
      </c>
      <c r="E2075" s="1">
        <v>44753</v>
      </c>
      <c r="F2075">
        <v>6.7190000000000003</v>
      </c>
    </row>
    <row r="2076" spans="1:6" x14ac:dyDescent="0.25">
      <c r="A2076" s="1">
        <v>44546</v>
      </c>
      <c r="B2076">
        <v>6.3806000000000003</v>
      </c>
      <c r="C2076" s="1">
        <v>44754</v>
      </c>
      <c r="D2076">
        <v>6.7248999999999999</v>
      </c>
      <c r="E2076" s="1">
        <v>44754</v>
      </c>
      <c r="F2076">
        <v>6.7248999999999999</v>
      </c>
    </row>
    <row r="2077" spans="1:6" x14ac:dyDescent="0.25">
      <c r="A2077" s="1">
        <v>44547</v>
      </c>
      <c r="B2077">
        <v>6.3872</v>
      </c>
      <c r="C2077" s="1">
        <v>44755</v>
      </c>
      <c r="D2077">
        <v>6.7187000000000001</v>
      </c>
      <c r="E2077" s="1">
        <v>44755</v>
      </c>
      <c r="F2077">
        <v>6.7187000000000001</v>
      </c>
    </row>
    <row r="2078" spans="1:6" x14ac:dyDescent="0.25">
      <c r="A2078" s="1">
        <v>44550</v>
      </c>
      <c r="B2078">
        <v>6.3826999999999998</v>
      </c>
      <c r="C2078" s="1">
        <v>44756</v>
      </c>
      <c r="D2078">
        <v>6.7561</v>
      </c>
      <c r="E2078" s="1">
        <v>44756</v>
      </c>
      <c r="F2078">
        <v>6.7561</v>
      </c>
    </row>
    <row r="2079" spans="1:6" x14ac:dyDescent="0.25">
      <c r="A2079" s="1">
        <v>44551</v>
      </c>
      <c r="B2079">
        <v>6.3761999999999999</v>
      </c>
      <c r="C2079" s="1">
        <v>44757</v>
      </c>
      <c r="D2079">
        <v>6.7572000000000001</v>
      </c>
      <c r="E2079" s="1">
        <v>44757</v>
      </c>
      <c r="F2079">
        <v>6.7572000000000001</v>
      </c>
    </row>
    <row r="2080" spans="1:6" x14ac:dyDescent="0.25">
      <c r="A2080" s="1">
        <v>44552</v>
      </c>
      <c r="B2080">
        <v>6.3776000000000002</v>
      </c>
      <c r="C2080" s="1">
        <v>44760</v>
      </c>
      <c r="D2080">
        <v>6.7431999999999999</v>
      </c>
      <c r="E2080" s="1">
        <v>44760</v>
      </c>
      <c r="F2080">
        <v>6.7431999999999999</v>
      </c>
    </row>
    <row r="2081" spans="1:6" x14ac:dyDescent="0.25">
      <c r="A2081" s="1">
        <v>44553</v>
      </c>
      <c r="B2081">
        <v>6.3753000000000002</v>
      </c>
      <c r="C2081" s="1">
        <v>44761</v>
      </c>
      <c r="D2081">
        <v>6.7442000000000002</v>
      </c>
      <c r="E2081" s="1">
        <v>44761</v>
      </c>
      <c r="F2081">
        <v>6.7442000000000002</v>
      </c>
    </row>
    <row r="2082" spans="1:6" x14ac:dyDescent="0.25">
      <c r="A2082" s="1">
        <v>44554</v>
      </c>
      <c r="B2082">
        <v>6.3738999999999999</v>
      </c>
      <c r="C2082" s="1">
        <v>44762</v>
      </c>
      <c r="D2082">
        <v>6.7557999999999998</v>
      </c>
      <c r="E2082" s="1">
        <v>44762</v>
      </c>
      <c r="F2082">
        <v>6.7557999999999998</v>
      </c>
    </row>
    <row r="2083" spans="1:6" x14ac:dyDescent="0.25">
      <c r="A2083" s="1">
        <v>44557</v>
      </c>
      <c r="B2083">
        <v>6.375</v>
      </c>
      <c r="C2083" s="1">
        <v>44763</v>
      </c>
      <c r="D2083">
        <v>6.7667999999999999</v>
      </c>
      <c r="E2083" s="1">
        <v>44763</v>
      </c>
      <c r="F2083">
        <v>6.7667999999999999</v>
      </c>
    </row>
    <row r="2084" spans="1:6" x14ac:dyDescent="0.25">
      <c r="A2084" s="1">
        <v>44558</v>
      </c>
      <c r="B2084">
        <v>6.3745000000000003</v>
      </c>
      <c r="C2084" s="1">
        <v>44764</v>
      </c>
      <c r="D2084">
        <v>6.7515000000000001</v>
      </c>
      <c r="E2084" s="1">
        <v>44764</v>
      </c>
      <c r="F2084">
        <v>6.7515000000000001</v>
      </c>
    </row>
    <row r="2085" spans="1:6" x14ac:dyDescent="0.25">
      <c r="A2085" s="1">
        <v>44559</v>
      </c>
      <c r="B2085">
        <v>6.3711000000000002</v>
      </c>
      <c r="C2085" s="1">
        <v>44767</v>
      </c>
      <c r="D2085">
        <v>6.7508999999999997</v>
      </c>
      <c r="E2085" s="1">
        <v>44767</v>
      </c>
      <c r="F2085">
        <v>6.7508999999999997</v>
      </c>
    </row>
    <row r="2086" spans="1:6" x14ac:dyDescent="0.25">
      <c r="A2086" s="1">
        <v>44560</v>
      </c>
      <c r="B2086">
        <v>6.3757999999999999</v>
      </c>
      <c r="C2086" s="1">
        <v>44768</v>
      </c>
      <c r="D2086">
        <v>6.7637999999999998</v>
      </c>
      <c r="E2086" s="1">
        <v>44768</v>
      </c>
      <c r="F2086">
        <v>6.7637999999999998</v>
      </c>
    </row>
    <row r="2087" spans="1:6" x14ac:dyDescent="0.25">
      <c r="A2087" s="1">
        <v>44561</v>
      </c>
      <c r="B2087">
        <v>6.3570000000000002</v>
      </c>
      <c r="C2087" s="1">
        <v>44769</v>
      </c>
      <c r="D2087">
        <v>6.7590000000000003</v>
      </c>
      <c r="E2087" s="1">
        <v>44769</v>
      </c>
      <c r="F2087">
        <v>6.7590000000000003</v>
      </c>
    </row>
    <row r="2088" spans="1:6" x14ac:dyDescent="0.25">
      <c r="A2088" s="1">
        <v>44564</v>
      </c>
      <c r="B2088">
        <v>6.3743999999999996</v>
      </c>
      <c r="C2088" s="1">
        <v>44770</v>
      </c>
      <c r="D2088">
        <v>6.7473000000000001</v>
      </c>
      <c r="E2088" s="1">
        <v>44770</v>
      </c>
      <c r="F2088">
        <v>6.7473000000000001</v>
      </c>
    </row>
    <row r="2089" spans="1:6" x14ac:dyDescent="0.25">
      <c r="A2089" s="1">
        <v>44565</v>
      </c>
      <c r="B2089">
        <v>6.3757000000000001</v>
      </c>
      <c r="C2089" s="1">
        <v>44771</v>
      </c>
      <c r="D2089">
        <v>6.7445000000000004</v>
      </c>
      <c r="E2089" s="1">
        <v>44771</v>
      </c>
      <c r="F2089">
        <v>6.7445000000000004</v>
      </c>
    </row>
    <row r="2090" spans="1:6" x14ac:dyDescent="0.25">
      <c r="A2090" s="1">
        <v>44566</v>
      </c>
      <c r="B2090">
        <v>6.3754999999999997</v>
      </c>
      <c r="C2090" s="1">
        <v>44774</v>
      </c>
      <c r="D2090">
        <v>6.7687999999999997</v>
      </c>
      <c r="E2090" s="1">
        <v>44774</v>
      </c>
      <c r="F2090">
        <v>6.7687999999999997</v>
      </c>
    </row>
    <row r="2091" spans="1:6" x14ac:dyDescent="0.25">
      <c r="A2091" s="1">
        <v>44567</v>
      </c>
      <c r="B2091">
        <v>6.3944000000000001</v>
      </c>
      <c r="C2091" s="1">
        <v>44775</v>
      </c>
      <c r="D2091">
        <v>6.7525000000000004</v>
      </c>
      <c r="E2091" s="1">
        <v>44775</v>
      </c>
      <c r="F2091">
        <v>6.7525000000000004</v>
      </c>
    </row>
    <row r="2092" spans="1:6" x14ac:dyDescent="0.25">
      <c r="A2092" s="1">
        <v>44568</v>
      </c>
      <c r="B2092">
        <v>6.3829000000000002</v>
      </c>
      <c r="C2092" s="1">
        <v>44776</v>
      </c>
      <c r="D2092">
        <v>6.758</v>
      </c>
      <c r="E2092" s="1">
        <v>44776</v>
      </c>
      <c r="F2092">
        <v>6.758</v>
      </c>
    </row>
    <row r="2093" spans="1:6" x14ac:dyDescent="0.25">
      <c r="A2093" s="1">
        <v>44571</v>
      </c>
      <c r="B2093">
        <v>6.3806000000000003</v>
      </c>
      <c r="C2093" s="1">
        <v>44777</v>
      </c>
      <c r="D2093">
        <v>6.7492999999999999</v>
      </c>
      <c r="E2093" s="1">
        <v>44777</v>
      </c>
      <c r="F2093">
        <v>6.7492999999999999</v>
      </c>
    </row>
    <row r="2094" spans="1:6" x14ac:dyDescent="0.25">
      <c r="A2094" s="1">
        <v>44572</v>
      </c>
      <c r="B2094">
        <v>6.3773999999999997</v>
      </c>
      <c r="C2094" s="1">
        <v>44778</v>
      </c>
      <c r="D2094">
        <v>6.7618999999999998</v>
      </c>
      <c r="E2094" s="1">
        <v>44778</v>
      </c>
      <c r="F2094">
        <v>6.7618999999999998</v>
      </c>
    </row>
    <row r="2095" spans="1:6" x14ac:dyDescent="0.25">
      <c r="A2095" s="1">
        <v>44573</v>
      </c>
      <c r="B2095">
        <v>6.3625999999999996</v>
      </c>
      <c r="C2095" s="1">
        <v>44781</v>
      </c>
      <c r="D2095">
        <v>6.7511999999999999</v>
      </c>
      <c r="E2095" s="1">
        <v>44781</v>
      </c>
      <c r="F2095">
        <v>6.7511999999999999</v>
      </c>
    </row>
    <row r="2096" spans="1:6" x14ac:dyDescent="0.25">
      <c r="A2096" s="1">
        <v>44574</v>
      </c>
      <c r="B2096">
        <v>6.3644999999999996</v>
      </c>
      <c r="C2096" s="1">
        <v>44782</v>
      </c>
      <c r="D2096">
        <v>6.7526999999999999</v>
      </c>
      <c r="E2096" s="1">
        <v>44782</v>
      </c>
      <c r="F2096">
        <v>6.7526999999999999</v>
      </c>
    </row>
    <row r="2097" spans="1:6" x14ac:dyDescent="0.25">
      <c r="A2097" s="1">
        <v>44575</v>
      </c>
      <c r="B2097">
        <v>6.3578000000000001</v>
      </c>
      <c r="C2097" s="1">
        <v>44783</v>
      </c>
      <c r="D2097">
        <v>6.7237999999999998</v>
      </c>
      <c r="E2097" s="1">
        <v>44783</v>
      </c>
      <c r="F2097">
        <v>6.7237999999999998</v>
      </c>
    </row>
    <row r="2098" spans="1:6" x14ac:dyDescent="0.25">
      <c r="A2098" s="1">
        <v>44578</v>
      </c>
      <c r="B2098">
        <v>6.3512000000000004</v>
      </c>
      <c r="C2098" s="1">
        <v>44784</v>
      </c>
      <c r="D2098">
        <v>6.7447999999999997</v>
      </c>
      <c r="E2098" s="1">
        <v>44784</v>
      </c>
      <c r="F2098">
        <v>6.7447999999999997</v>
      </c>
    </row>
    <row r="2099" spans="1:6" x14ac:dyDescent="0.25">
      <c r="A2099" s="1">
        <v>44579</v>
      </c>
      <c r="B2099">
        <v>6.3605999999999998</v>
      </c>
      <c r="C2099" s="1">
        <v>44785</v>
      </c>
      <c r="D2099">
        <v>6.7427999999999999</v>
      </c>
      <c r="E2099" s="1">
        <v>44785</v>
      </c>
      <c r="F2099">
        <v>6.7427999999999999</v>
      </c>
    </row>
    <row r="2100" spans="1:6" x14ac:dyDescent="0.25">
      <c r="A2100" s="1">
        <v>44580</v>
      </c>
      <c r="B2100">
        <v>6.3510999999999997</v>
      </c>
      <c r="C2100" s="1">
        <v>44788</v>
      </c>
      <c r="D2100">
        <v>6.7735000000000003</v>
      </c>
      <c r="E2100" s="1">
        <v>44788</v>
      </c>
      <c r="F2100">
        <v>6.7735000000000003</v>
      </c>
    </row>
    <row r="2101" spans="1:6" x14ac:dyDescent="0.25">
      <c r="A2101" s="1">
        <v>44581</v>
      </c>
      <c r="B2101">
        <v>6.3470000000000004</v>
      </c>
      <c r="C2101" s="1">
        <v>44789</v>
      </c>
      <c r="D2101">
        <v>6.7881999999999998</v>
      </c>
      <c r="E2101" s="1">
        <v>44789</v>
      </c>
      <c r="F2101">
        <v>6.7881999999999998</v>
      </c>
    </row>
    <row r="2102" spans="1:6" x14ac:dyDescent="0.25">
      <c r="A2102" s="1">
        <v>44582</v>
      </c>
      <c r="B2102">
        <v>6.3414000000000001</v>
      </c>
      <c r="C2102" s="1">
        <v>44790</v>
      </c>
      <c r="D2102">
        <v>6.7811000000000003</v>
      </c>
      <c r="E2102" s="1">
        <v>44790</v>
      </c>
      <c r="F2102">
        <v>6.7811000000000003</v>
      </c>
    </row>
    <row r="2103" spans="1:6" x14ac:dyDescent="0.25">
      <c r="A2103" s="1">
        <v>44585</v>
      </c>
      <c r="B2103">
        <v>6.3337000000000003</v>
      </c>
      <c r="C2103" s="1">
        <v>44791</v>
      </c>
      <c r="D2103">
        <v>6.7862999999999998</v>
      </c>
      <c r="E2103" s="1">
        <v>44791</v>
      </c>
      <c r="F2103">
        <v>6.7862999999999998</v>
      </c>
    </row>
    <row r="2104" spans="1:6" x14ac:dyDescent="0.25">
      <c r="A2104" s="1">
        <v>44586</v>
      </c>
      <c r="B2104">
        <v>6.3311000000000002</v>
      </c>
      <c r="C2104" s="1">
        <v>44792</v>
      </c>
      <c r="D2104">
        <v>6.8175999999999997</v>
      </c>
      <c r="E2104" s="1">
        <v>44792</v>
      </c>
      <c r="F2104">
        <v>6.8175999999999997</v>
      </c>
    </row>
    <row r="2105" spans="1:6" x14ac:dyDescent="0.25">
      <c r="A2105" s="1">
        <v>44587</v>
      </c>
      <c r="B2105">
        <v>6.3354999999999997</v>
      </c>
      <c r="C2105" s="1">
        <v>44795</v>
      </c>
      <c r="D2105">
        <v>6.8483000000000001</v>
      </c>
      <c r="E2105" s="1">
        <v>44795</v>
      </c>
      <c r="F2105">
        <v>6.8483000000000001</v>
      </c>
    </row>
    <row r="2106" spans="1:6" x14ac:dyDescent="0.25">
      <c r="A2106" s="1">
        <v>44588</v>
      </c>
      <c r="B2106">
        <v>6.3685</v>
      </c>
      <c r="C2106" s="1">
        <v>44796</v>
      </c>
      <c r="D2106">
        <v>6.835</v>
      </c>
      <c r="E2106" s="1">
        <v>44796</v>
      </c>
      <c r="F2106">
        <v>6.835</v>
      </c>
    </row>
    <row r="2107" spans="1:6" x14ac:dyDescent="0.25">
      <c r="A2107" s="1">
        <v>44589</v>
      </c>
      <c r="B2107">
        <v>6.3677999999999999</v>
      </c>
      <c r="C2107" s="1">
        <v>44797</v>
      </c>
      <c r="D2107">
        <v>6.8594999999999997</v>
      </c>
      <c r="E2107" s="1">
        <v>44797</v>
      </c>
      <c r="F2107">
        <v>6.8594999999999997</v>
      </c>
    </row>
    <row r="2108" spans="1:6" x14ac:dyDescent="0.25">
      <c r="A2108" s="1">
        <v>44592</v>
      </c>
      <c r="B2108">
        <v>6.3707000000000003</v>
      </c>
      <c r="C2108" s="1">
        <v>44798</v>
      </c>
      <c r="D2108">
        <v>6.8491999999999997</v>
      </c>
      <c r="E2108" s="1">
        <v>44798</v>
      </c>
      <c r="F2108">
        <v>6.8491999999999997</v>
      </c>
    </row>
    <row r="2109" spans="1:6" x14ac:dyDescent="0.25">
      <c r="A2109" s="1">
        <v>44593</v>
      </c>
      <c r="B2109">
        <v>6.3691000000000004</v>
      </c>
      <c r="C2109" s="1">
        <v>44799</v>
      </c>
      <c r="D2109">
        <v>6.8716999999999997</v>
      </c>
      <c r="E2109" s="1">
        <v>44799</v>
      </c>
      <c r="F2109">
        <v>6.8716999999999997</v>
      </c>
    </row>
    <row r="2110" spans="1:6" x14ac:dyDescent="0.25">
      <c r="A2110" s="1">
        <v>44594</v>
      </c>
      <c r="B2110">
        <v>6.3578999999999999</v>
      </c>
      <c r="C2110" s="1">
        <v>44802</v>
      </c>
      <c r="D2110">
        <v>6.9088000000000003</v>
      </c>
      <c r="E2110" s="1">
        <v>44802</v>
      </c>
      <c r="F2110">
        <v>6.9088000000000003</v>
      </c>
    </row>
    <row r="2111" spans="1:6" x14ac:dyDescent="0.25">
      <c r="A2111" s="1">
        <v>44595</v>
      </c>
      <c r="B2111">
        <v>6.3536000000000001</v>
      </c>
      <c r="C2111" s="1">
        <v>44803</v>
      </c>
      <c r="D2111">
        <v>6.9114000000000004</v>
      </c>
      <c r="E2111" s="1">
        <v>44803</v>
      </c>
      <c r="F2111">
        <v>6.9114000000000004</v>
      </c>
    </row>
    <row r="2112" spans="1:6" x14ac:dyDescent="0.25">
      <c r="A2112" s="1">
        <v>44596</v>
      </c>
      <c r="B2112">
        <v>6.3635000000000002</v>
      </c>
      <c r="C2112" s="1">
        <v>44804</v>
      </c>
      <c r="D2112">
        <v>6.8903999999999996</v>
      </c>
      <c r="E2112" s="1">
        <v>44804</v>
      </c>
      <c r="F2112">
        <v>6.8903999999999996</v>
      </c>
    </row>
    <row r="2113" spans="1:6" x14ac:dyDescent="0.25">
      <c r="A2113" s="1">
        <v>44599</v>
      </c>
      <c r="B2113">
        <v>6.3625999999999996</v>
      </c>
      <c r="C2113" s="1">
        <v>44805</v>
      </c>
      <c r="D2113">
        <v>6.907</v>
      </c>
      <c r="E2113" s="1">
        <v>44805</v>
      </c>
      <c r="F2113">
        <v>6.907</v>
      </c>
    </row>
    <row r="2114" spans="1:6" x14ac:dyDescent="0.25">
      <c r="A2114" s="1">
        <v>44600</v>
      </c>
      <c r="B2114">
        <v>6.3661000000000003</v>
      </c>
      <c r="C2114" s="1">
        <v>44806</v>
      </c>
      <c r="D2114">
        <v>6.9</v>
      </c>
      <c r="E2114" s="1">
        <v>44806</v>
      </c>
      <c r="F2114">
        <v>6.9</v>
      </c>
    </row>
    <row r="2115" spans="1:6" x14ac:dyDescent="0.25">
      <c r="A2115" s="1">
        <v>44601</v>
      </c>
      <c r="B2115">
        <v>6.3631000000000002</v>
      </c>
      <c r="C2115" s="1">
        <v>44809</v>
      </c>
      <c r="D2115">
        <v>6.9340000000000002</v>
      </c>
      <c r="E2115" s="1">
        <v>44809</v>
      </c>
      <c r="F2115">
        <v>6.9340000000000002</v>
      </c>
    </row>
    <row r="2116" spans="1:6" x14ac:dyDescent="0.25">
      <c r="A2116" s="1">
        <v>44602</v>
      </c>
      <c r="B2116">
        <v>6.3635999999999999</v>
      </c>
      <c r="C2116" s="1">
        <v>44810</v>
      </c>
      <c r="D2116">
        <v>6.9545000000000003</v>
      </c>
      <c r="E2116" s="1">
        <v>44810</v>
      </c>
      <c r="F2116">
        <v>6.9545000000000003</v>
      </c>
    </row>
    <row r="2117" spans="1:6" x14ac:dyDescent="0.25">
      <c r="A2117" s="1">
        <v>44603</v>
      </c>
      <c r="B2117">
        <v>6.3654999999999999</v>
      </c>
      <c r="C2117" s="1">
        <v>44811</v>
      </c>
      <c r="D2117">
        <v>6.9656000000000002</v>
      </c>
      <c r="E2117" s="1">
        <v>44811</v>
      </c>
      <c r="F2117">
        <v>6.9656000000000002</v>
      </c>
    </row>
    <row r="2118" spans="1:6" x14ac:dyDescent="0.25">
      <c r="A2118" s="1">
        <v>44606</v>
      </c>
      <c r="B2118">
        <v>6.3574999999999999</v>
      </c>
      <c r="C2118" s="1">
        <v>44812</v>
      </c>
      <c r="D2118">
        <v>6.9576000000000002</v>
      </c>
      <c r="E2118" s="1">
        <v>44812</v>
      </c>
      <c r="F2118">
        <v>6.9576000000000002</v>
      </c>
    </row>
    <row r="2119" spans="1:6" x14ac:dyDescent="0.25">
      <c r="A2119" s="1">
        <v>44607</v>
      </c>
      <c r="B2119">
        <v>6.3365999999999998</v>
      </c>
      <c r="C2119" s="1">
        <v>44813</v>
      </c>
      <c r="D2119">
        <v>6.9264999999999999</v>
      </c>
      <c r="E2119" s="1">
        <v>44813</v>
      </c>
      <c r="F2119">
        <v>6.9264999999999999</v>
      </c>
    </row>
    <row r="2120" spans="1:6" x14ac:dyDescent="0.25">
      <c r="A2120" s="1">
        <v>44608</v>
      </c>
      <c r="B2120">
        <v>6.3323999999999998</v>
      </c>
      <c r="C2120" s="1">
        <v>44817</v>
      </c>
      <c r="D2120">
        <v>6.9305000000000003</v>
      </c>
      <c r="E2120" s="1">
        <v>44817</v>
      </c>
      <c r="F2120">
        <v>6.9305000000000003</v>
      </c>
    </row>
    <row r="2121" spans="1:6" x14ac:dyDescent="0.25">
      <c r="A2121" s="1">
        <v>44609</v>
      </c>
      <c r="B2121">
        <v>6.3346</v>
      </c>
      <c r="C2121" s="1">
        <v>44818</v>
      </c>
      <c r="D2121">
        <v>6.9618000000000002</v>
      </c>
      <c r="E2121" s="1">
        <v>44818</v>
      </c>
      <c r="F2121">
        <v>6.9618000000000002</v>
      </c>
    </row>
    <row r="2122" spans="1:6" x14ac:dyDescent="0.25">
      <c r="A2122" s="1">
        <v>44610</v>
      </c>
      <c r="B2122">
        <v>6.3247999999999998</v>
      </c>
      <c r="C2122" s="1">
        <v>44819</v>
      </c>
      <c r="D2122">
        <v>6.9946000000000002</v>
      </c>
      <c r="E2122" s="1">
        <v>44819</v>
      </c>
      <c r="F2122">
        <v>6.9946000000000002</v>
      </c>
    </row>
    <row r="2123" spans="1:6" x14ac:dyDescent="0.25">
      <c r="A2123" s="1">
        <v>44613</v>
      </c>
      <c r="B2123">
        <v>6.3262999999999998</v>
      </c>
      <c r="C2123" s="1">
        <v>44820</v>
      </c>
      <c r="D2123">
        <v>6.9870000000000001</v>
      </c>
      <c r="E2123" s="1">
        <v>44820</v>
      </c>
      <c r="F2123">
        <v>6.9870000000000001</v>
      </c>
    </row>
    <row r="2124" spans="1:6" x14ac:dyDescent="0.25">
      <c r="A2124" s="1">
        <v>44614</v>
      </c>
      <c r="B2124">
        <v>6.3239000000000001</v>
      </c>
      <c r="C2124" s="1">
        <v>44823</v>
      </c>
      <c r="D2124">
        <v>7.0049999999999999</v>
      </c>
      <c r="E2124" s="1">
        <v>44823</v>
      </c>
      <c r="F2124">
        <v>7.0049999999999999</v>
      </c>
    </row>
    <row r="2125" spans="1:6" x14ac:dyDescent="0.25">
      <c r="A2125" s="1">
        <v>44615</v>
      </c>
      <c r="B2125">
        <v>6.3121</v>
      </c>
      <c r="C2125" s="1">
        <v>44824</v>
      </c>
      <c r="D2125">
        <v>7.0183</v>
      </c>
      <c r="E2125" s="1">
        <v>44824</v>
      </c>
      <c r="F2125">
        <v>7.0183</v>
      </c>
    </row>
    <row r="2126" spans="1:6" x14ac:dyDescent="0.25">
      <c r="A2126" s="1">
        <v>44616</v>
      </c>
      <c r="B2126">
        <v>6.3228999999999997</v>
      </c>
      <c r="C2126" s="1">
        <v>44825</v>
      </c>
      <c r="D2126">
        <v>7.0502000000000002</v>
      </c>
      <c r="E2126" s="1">
        <v>44825</v>
      </c>
      <c r="F2126">
        <v>7.0502000000000002</v>
      </c>
    </row>
    <row r="2127" spans="1:6" x14ac:dyDescent="0.25">
      <c r="A2127" s="1">
        <v>44617</v>
      </c>
      <c r="B2127">
        <v>6.3140999999999998</v>
      </c>
      <c r="C2127" s="1">
        <v>44826</v>
      </c>
      <c r="D2127">
        <v>7.0781000000000001</v>
      </c>
      <c r="E2127" s="1">
        <v>44826</v>
      </c>
      <c r="F2127">
        <v>7.0781000000000001</v>
      </c>
    </row>
    <row r="2128" spans="1:6" x14ac:dyDescent="0.25">
      <c r="A2128" s="1">
        <v>44620</v>
      </c>
      <c r="B2128">
        <v>6.3140000000000001</v>
      </c>
      <c r="C2128" s="1">
        <v>44827</v>
      </c>
      <c r="D2128">
        <v>7.1283000000000003</v>
      </c>
      <c r="E2128" s="1">
        <v>44827</v>
      </c>
      <c r="F2128">
        <v>7.1283000000000003</v>
      </c>
    </row>
    <row r="2129" spans="1:6" x14ac:dyDescent="0.25">
      <c r="A2129" s="1">
        <v>44621</v>
      </c>
      <c r="B2129">
        <v>6.319</v>
      </c>
      <c r="C2129" s="1">
        <v>44830</v>
      </c>
      <c r="D2129">
        <v>7.1372</v>
      </c>
      <c r="E2129" s="1">
        <v>44830</v>
      </c>
      <c r="F2129">
        <v>7.1372</v>
      </c>
    </row>
    <row r="2130" spans="1:6" x14ac:dyDescent="0.25">
      <c r="A2130" s="1">
        <v>44622</v>
      </c>
      <c r="B2130">
        <v>6.3232999999999997</v>
      </c>
      <c r="C2130" s="1">
        <v>44831</v>
      </c>
      <c r="D2130">
        <v>7.1760999999999999</v>
      </c>
      <c r="E2130" s="1">
        <v>44831</v>
      </c>
      <c r="F2130">
        <v>7.1760999999999999</v>
      </c>
    </row>
    <row r="2131" spans="1:6" x14ac:dyDescent="0.25">
      <c r="A2131" s="1">
        <v>44623</v>
      </c>
      <c r="B2131">
        <v>6.3224999999999998</v>
      </c>
      <c r="C2131" s="1">
        <v>44832</v>
      </c>
      <c r="D2131">
        <v>7.2004999999999999</v>
      </c>
      <c r="E2131" s="1">
        <v>44832</v>
      </c>
      <c r="F2131">
        <v>7.2004999999999999</v>
      </c>
    </row>
    <row r="2132" spans="1:6" x14ac:dyDescent="0.25">
      <c r="A2132" s="1">
        <v>44624</v>
      </c>
      <c r="B2132">
        <v>6.3251999999999997</v>
      </c>
      <c r="C2132" s="1">
        <v>44833</v>
      </c>
      <c r="D2132">
        <v>7.1249000000000002</v>
      </c>
      <c r="E2132" s="1">
        <v>44833</v>
      </c>
      <c r="F2132">
        <v>7.1249000000000002</v>
      </c>
    </row>
    <row r="2133" spans="1:6" x14ac:dyDescent="0.25">
      <c r="A2133" s="1">
        <v>44627</v>
      </c>
      <c r="B2133">
        <v>6.327</v>
      </c>
      <c r="C2133" s="1">
        <v>44834</v>
      </c>
      <c r="D2133">
        <v>7.1159999999999997</v>
      </c>
      <c r="E2133" s="1">
        <v>44834</v>
      </c>
      <c r="F2133">
        <v>7.1159999999999997</v>
      </c>
    </row>
    <row r="2134" spans="1:6" x14ac:dyDescent="0.25">
      <c r="A2134" s="1">
        <v>44628</v>
      </c>
      <c r="B2134">
        <v>6.3258000000000001</v>
      </c>
      <c r="C2134" s="1">
        <v>44844</v>
      </c>
      <c r="D2134">
        <v>7.1554000000000002</v>
      </c>
      <c r="E2134" s="1">
        <v>44844</v>
      </c>
      <c r="F2134">
        <v>7.1554000000000002</v>
      </c>
    </row>
    <row r="2135" spans="1:6" x14ac:dyDescent="0.25">
      <c r="A2135" s="1">
        <v>44629</v>
      </c>
      <c r="B2135">
        <v>6.3232999999999997</v>
      </c>
      <c r="C2135" s="1">
        <v>44845</v>
      </c>
      <c r="D2135">
        <v>7.1687000000000003</v>
      </c>
      <c r="E2135" s="1">
        <v>44845</v>
      </c>
      <c r="F2135">
        <v>7.1687000000000003</v>
      </c>
    </row>
    <row r="2136" spans="1:6" x14ac:dyDescent="0.25">
      <c r="A2136" s="1">
        <v>44630</v>
      </c>
      <c r="B2136">
        <v>6.3272000000000004</v>
      </c>
      <c r="C2136" s="1">
        <v>44846</v>
      </c>
      <c r="D2136">
        <v>7.1748000000000003</v>
      </c>
      <c r="E2136" s="1">
        <v>44846</v>
      </c>
      <c r="F2136">
        <v>7.1748000000000003</v>
      </c>
    </row>
    <row r="2137" spans="1:6" x14ac:dyDescent="0.25">
      <c r="A2137" s="1">
        <v>44631</v>
      </c>
      <c r="B2137">
        <v>6.3579999999999997</v>
      </c>
      <c r="C2137" s="1">
        <v>44847</v>
      </c>
      <c r="D2137">
        <v>7.1695000000000002</v>
      </c>
      <c r="E2137" s="1">
        <v>44847</v>
      </c>
      <c r="F2137">
        <v>7.1695000000000002</v>
      </c>
    </row>
    <row r="2138" spans="1:6" x14ac:dyDescent="0.25">
      <c r="A2138" s="1">
        <v>44634</v>
      </c>
      <c r="B2138">
        <v>6.3949999999999996</v>
      </c>
      <c r="C2138" s="1">
        <v>44848</v>
      </c>
      <c r="D2138">
        <v>7.1924999999999999</v>
      </c>
      <c r="E2138" s="1">
        <v>44848</v>
      </c>
      <c r="F2138">
        <v>7.1924999999999999</v>
      </c>
    </row>
    <row r="2139" spans="1:6" x14ac:dyDescent="0.25">
      <c r="A2139" s="1">
        <v>44635</v>
      </c>
      <c r="B2139">
        <v>6.3815999999999997</v>
      </c>
      <c r="C2139" s="1">
        <v>44851</v>
      </c>
      <c r="D2139">
        <v>7.1965000000000003</v>
      </c>
      <c r="E2139" s="1">
        <v>44851</v>
      </c>
      <c r="F2139">
        <v>7.1965000000000003</v>
      </c>
    </row>
    <row r="2140" spans="1:6" x14ac:dyDescent="0.25">
      <c r="A2140" s="1">
        <v>44636</v>
      </c>
      <c r="B2140">
        <v>6.3636999999999997</v>
      </c>
      <c r="C2140" s="1">
        <v>44852</v>
      </c>
      <c r="D2140">
        <v>7.2023000000000001</v>
      </c>
      <c r="E2140" s="1">
        <v>44852</v>
      </c>
      <c r="F2140">
        <v>7.2023000000000001</v>
      </c>
    </row>
    <row r="2141" spans="1:6" x14ac:dyDescent="0.25">
      <c r="A2141" s="1">
        <v>44637</v>
      </c>
      <c r="B2141">
        <v>6.3631000000000002</v>
      </c>
      <c r="C2141" s="1">
        <v>44853</v>
      </c>
      <c r="D2141">
        <v>7.2286999999999999</v>
      </c>
      <c r="E2141" s="1">
        <v>44853</v>
      </c>
      <c r="F2141">
        <v>7.2286999999999999</v>
      </c>
    </row>
    <row r="2142" spans="1:6" x14ac:dyDescent="0.25">
      <c r="A2142" s="1">
        <v>44638</v>
      </c>
      <c r="B2142">
        <v>6.367</v>
      </c>
      <c r="C2142" s="1">
        <v>44854</v>
      </c>
      <c r="D2142">
        <v>7.2145000000000001</v>
      </c>
      <c r="E2142" s="1">
        <v>44854</v>
      </c>
      <c r="F2142">
        <v>7.2145000000000001</v>
      </c>
    </row>
    <row r="2143" spans="1:6" x14ac:dyDescent="0.25">
      <c r="A2143" s="1">
        <v>44641</v>
      </c>
      <c r="B2143">
        <v>6.3711000000000002</v>
      </c>
      <c r="C2143" s="1">
        <v>44855</v>
      </c>
      <c r="D2143">
        <v>7.2305999999999999</v>
      </c>
      <c r="E2143" s="1">
        <v>44855</v>
      </c>
      <c r="F2143">
        <v>7.2305999999999999</v>
      </c>
    </row>
    <row r="2144" spans="1:6" x14ac:dyDescent="0.25">
      <c r="A2144" s="1">
        <v>44642</v>
      </c>
      <c r="B2144">
        <v>6.3765000000000001</v>
      </c>
      <c r="C2144" s="1">
        <v>44858</v>
      </c>
      <c r="D2144">
        <v>7.2629999999999999</v>
      </c>
      <c r="E2144" s="1">
        <v>44858</v>
      </c>
      <c r="F2144">
        <v>7.2629999999999999</v>
      </c>
    </row>
    <row r="2145" spans="1:6" x14ac:dyDescent="0.25">
      <c r="A2145" s="1">
        <v>44643</v>
      </c>
      <c r="B2145">
        <v>6.3890000000000002</v>
      </c>
      <c r="C2145" s="1">
        <v>44859</v>
      </c>
      <c r="D2145">
        <v>7.2686999999999999</v>
      </c>
      <c r="E2145" s="1">
        <v>44859</v>
      </c>
      <c r="F2145">
        <v>7.2686999999999999</v>
      </c>
    </row>
    <row r="2146" spans="1:6" x14ac:dyDescent="0.25">
      <c r="A2146" s="1">
        <v>44644</v>
      </c>
      <c r="B2146">
        <v>6.3832000000000004</v>
      </c>
      <c r="C2146" s="1">
        <v>44860</v>
      </c>
      <c r="D2146">
        <v>7.173</v>
      </c>
      <c r="E2146" s="1">
        <v>44860</v>
      </c>
      <c r="F2146">
        <v>7.173</v>
      </c>
    </row>
    <row r="2147" spans="1:6" x14ac:dyDescent="0.25">
      <c r="A2147" s="1">
        <v>44645</v>
      </c>
      <c r="B2147">
        <v>6.3837999999999999</v>
      </c>
      <c r="C2147" s="1">
        <v>44861</v>
      </c>
      <c r="D2147">
        <v>7.2290000000000001</v>
      </c>
      <c r="E2147" s="1">
        <v>44861</v>
      </c>
      <c r="F2147">
        <v>7.2290000000000001</v>
      </c>
    </row>
    <row r="2148" spans="1:6" x14ac:dyDescent="0.25">
      <c r="A2148" s="1">
        <v>44648</v>
      </c>
      <c r="B2148">
        <v>6.3868</v>
      </c>
      <c r="C2148" s="1">
        <v>44862</v>
      </c>
      <c r="D2148">
        <v>7.2523999999999997</v>
      </c>
      <c r="E2148" s="1">
        <v>44862</v>
      </c>
      <c r="F2148">
        <v>7.2523999999999997</v>
      </c>
    </row>
    <row r="2149" spans="1:6" x14ac:dyDescent="0.25">
      <c r="A2149" s="1">
        <v>44649</v>
      </c>
      <c r="B2149">
        <v>6.3754999999999997</v>
      </c>
      <c r="C2149" s="1">
        <v>44865</v>
      </c>
      <c r="D2149">
        <v>7.3049999999999997</v>
      </c>
      <c r="E2149" s="1">
        <v>44865</v>
      </c>
      <c r="F2149">
        <v>7.3049999999999997</v>
      </c>
    </row>
    <row r="2150" spans="1:6" x14ac:dyDescent="0.25">
      <c r="A2150" s="1">
        <v>44650</v>
      </c>
      <c r="B2150">
        <v>6.3597999999999999</v>
      </c>
      <c r="C2150" s="1">
        <v>44866</v>
      </c>
      <c r="D2150">
        <v>7.2774999999999999</v>
      </c>
      <c r="E2150" s="1">
        <v>44866</v>
      </c>
      <c r="F2150">
        <v>7.2774999999999999</v>
      </c>
    </row>
    <row r="2151" spans="1:6" x14ac:dyDescent="0.25">
      <c r="A2151" s="1">
        <v>44651</v>
      </c>
      <c r="B2151">
        <v>6.3547000000000002</v>
      </c>
      <c r="C2151" s="1">
        <v>44867</v>
      </c>
      <c r="D2151">
        <v>7.29</v>
      </c>
      <c r="E2151" s="1">
        <v>44867</v>
      </c>
      <c r="F2151">
        <v>7.29</v>
      </c>
    </row>
    <row r="2152" spans="1:6" x14ac:dyDescent="0.25">
      <c r="A2152" s="1">
        <v>44652</v>
      </c>
      <c r="B2152">
        <v>6.3677999999999999</v>
      </c>
      <c r="C2152" s="1">
        <v>44868</v>
      </c>
      <c r="D2152">
        <v>7.3014999999999999</v>
      </c>
      <c r="E2152" s="1">
        <v>44868</v>
      </c>
      <c r="F2152">
        <v>7.3014999999999999</v>
      </c>
    </row>
    <row r="2153" spans="1:6" x14ac:dyDescent="0.25">
      <c r="A2153" s="1">
        <v>44655</v>
      </c>
      <c r="B2153">
        <v>6.3741000000000003</v>
      </c>
      <c r="C2153" s="1">
        <v>44869</v>
      </c>
      <c r="D2153">
        <v>7.1851000000000003</v>
      </c>
      <c r="E2153" s="1">
        <v>44869</v>
      </c>
      <c r="F2153">
        <v>7.1851000000000003</v>
      </c>
    </row>
    <row r="2154" spans="1:6" x14ac:dyDescent="0.25">
      <c r="A2154" s="1">
        <v>44656</v>
      </c>
      <c r="B2154">
        <v>6.3775000000000004</v>
      </c>
      <c r="C2154" s="1">
        <v>44872</v>
      </c>
      <c r="D2154">
        <v>7.2312000000000003</v>
      </c>
      <c r="E2154" s="1">
        <v>44872</v>
      </c>
      <c r="F2154">
        <v>7.2312000000000003</v>
      </c>
    </row>
    <row r="2155" spans="1:6" x14ac:dyDescent="0.25">
      <c r="A2155" s="1">
        <v>44657</v>
      </c>
      <c r="B2155">
        <v>6.359</v>
      </c>
      <c r="C2155" s="1">
        <v>44873</v>
      </c>
      <c r="D2155">
        <v>7.2309999999999999</v>
      </c>
      <c r="E2155" s="1">
        <v>44873</v>
      </c>
      <c r="F2155">
        <v>7.2309999999999999</v>
      </c>
    </row>
    <row r="2156" spans="1:6" x14ac:dyDescent="0.25">
      <c r="A2156" s="1">
        <v>44658</v>
      </c>
      <c r="B2156">
        <v>6.3632</v>
      </c>
      <c r="C2156" s="1">
        <v>44874</v>
      </c>
      <c r="D2156">
        <v>7.2409999999999997</v>
      </c>
      <c r="E2156" s="1">
        <v>44874</v>
      </c>
      <c r="F2156">
        <v>7.2409999999999997</v>
      </c>
    </row>
    <row r="2157" spans="1:6" x14ac:dyDescent="0.25">
      <c r="A2157" s="1">
        <v>44659</v>
      </c>
      <c r="B2157">
        <v>6.3699000000000003</v>
      </c>
      <c r="C2157" s="1">
        <v>44875</v>
      </c>
      <c r="D2157">
        <v>7.1864999999999997</v>
      </c>
      <c r="E2157" s="1">
        <v>44875</v>
      </c>
      <c r="F2157">
        <v>7.1864999999999997</v>
      </c>
    </row>
    <row r="2158" spans="1:6" x14ac:dyDescent="0.25">
      <c r="A2158" s="1">
        <v>44662</v>
      </c>
      <c r="B2158">
        <v>6.3883999999999999</v>
      </c>
      <c r="C2158" s="1">
        <v>44876</v>
      </c>
      <c r="D2158">
        <v>7.0972999999999997</v>
      </c>
      <c r="E2158" s="1">
        <v>44876</v>
      </c>
      <c r="F2158">
        <v>7.0972999999999997</v>
      </c>
    </row>
    <row r="2159" spans="1:6" x14ac:dyDescent="0.25">
      <c r="A2159" s="1">
        <v>44663</v>
      </c>
      <c r="B2159">
        <v>6.3765000000000001</v>
      </c>
      <c r="C2159" s="1">
        <v>44879</v>
      </c>
      <c r="D2159">
        <v>7.069</v>
      </c>
      <c r="E2159" s="1">
        <v>44879</v>
      </c>
      <c r="F2159">
        <v>7.069</v>
      </c>
    </row>
    <row r="2160" spans="1:6" x14ac:dyDescent="0.25">
      <c r="A2160" s="1">
        <v>44664</v>
      </c>
      <c r="B2160">
        <v>6.3777999999999997</v>
      </c>
      <c r="C2160" s="1">
        <v>44880</v>
      </c>
      <c r="D2160">
        <v>7.0454999999999997</v>
      </c>
      <c r="E2160" s="1">
        <v>44880</v>
      </c>
      <c r="F2160">
        <v>7.0454999999999997</v>
      </c>
    </row>
    <row r="2161" spans="1:6" x14ac:dyDescent="0.25">
      <c r="A2161" s="1">
        <v>44665</v>
      </c>
      <c r="B2161">
        <v>6.3898000000000001</v>
      </c>
      <c r="C2161" s="1">
        <v>44881</v>
      </c>
      <c r="D2161">
        <v>7.0982000000000003</v>
      </c>
      <c r="E2161" s="1">
        <v>44881</v>
      </c>
      <c r="F2161">
        <v>7.0982000000000003</v>
      </c>
    </row>
    <row r="2162" spans="1:6" x14ac:dyDescent="0.25">
      <c r="A2162" s="1">
        <v>44666</v>
      </c>
      <c r="B2162">
        <v>6.3815</v>
      </c>
      <c r="C2162" s="1">
        <v>44882</v>
      </c>
      <c r="D2162">
        <v>7.1577999999999999</v>
      </c>
      <c r="E2162" s="1">
        <v>44882</v>
      </c>
      <c r="F2162">
        <v>7.1577999999999999</v>
      </c>
    </row>
    <row r="2163" spans="1:6" x14ac:dyDescent="0.25">
      <c r="A2163" s="1">
        <v>44669</v>
      </c>
      <c r="B2163">
        <v>6.3776999999999999</v>
      </c>
      <c r="C2163" s="1">
        <v>44883</v>
      </c>
      <c r="D2163">
        <v>7.1197999999999997</v>
      </c>
      <c r="E2163" s="1">
        <v>44883</v>
      </c>
      <c r="F2163">
        <v>7.1197999999999997</v>
      </c>
    </row>
    <row r="2164" spans="1:6" x14ac:dyDescent="0.25">
      <c r="A2164" s="1">
        <v>44670</v>
      </c>
      <c r="B2164">
        <v>6.4192</v>
      </c>
      <c r="C2164" s="1">
        <v>44886</v>
      </c>
      <c r="D2164">
        <v>7.1653000000000002</v>
      </c>
      <c r="E2164" s="1">
        <v>44886</v>
      </c>
      <c r="F2164">
        <v>7.1653000000000002</v>
      </c>
    </row>
    <row r="2165" spans="1:6" x14ac:dyDescent="0.25">
      <c r="A2165" s="1">
        <v>44671</v>
      </c>
      <c r="B2165">
        <v>6.4448999999999996</v>
      </c>
      <c r="C2165" s="1">
        <v>44887</v>
      </c>
      <c r="D2165">
        <v>7.1398999999999999</v>
      </c>
      <c r="E2165" s="1">
        <v>44887</v>
      </c>
      <c r="F2165">
        <v>7.1398999999999999</v>
      </c>
    </row>
    <row r="2166" spans="1:6" x14ac:dyDescent="0.25">
      <c r="A2166" s="1">
        <v>44672</v>
      </c>
      <c r="B2166">
        <v>6.4808000000000003</v>
      </c>
      <c r="C2166" s="1">
        <v>44888</v>
      </c>
      <c r="D2166">
        <v>7.1604999999999999</v>
      </c>
      <c r="E2166" s="1">
        <v>44888</v>
      </c>
      <c r="F2166">
        <v>7.1604999999999999</v>
      </c>
    </row>
    <row r="2167" spans="1:6" x14ac:dyDescent="0.25">
      <c r="A2167" s="1">
        <v>44673</v>
      </c>
      <c r="B2167">
        <v>6.5262000000000002</v>
      </c>
      <c r="C2167" s="1">
        <v>44889</v>
      </c>
      <c r="D2167">
        <v>7.1520000000000001</v>
      </c>
      <c r="E2167" s="1">
        <v>44889</v>
      </c>
      <c r="F2167">
        <v>7.1520000000000001</v>
      </c>
    </row>
    <row r="2168" spans="1:6" x14ac:dyDescent="0.25">
      <c r="A2168" s="1">
        <v>44676</v>
      </c>
      <c r="B2168">
        <v>6.5720999999999998</v>
      </c>
      <c r="C2168" s="1">
        <v>44890</v>
      </c>
      <c r="D2168">
        <v>7.165</v>
      </c>
      <c r="E2168" s="1">
        <v>44890</v>
      </c>
      <c r="F2168">
        <v>7.165</v>
      </c>
    </row>
    <row r="2169" spans="1:6" x14ac:dyDescent="0.25">
      <c r="A2169" s="1">
        <v>44677</v>
      </c>
      <c r="B2169">
        <v>6.5898000000000003</v>
      </c>
      <c r="C2169" s="1">
        <v>44893</v>
      </c>
      <c r="D2169">
        <v>7.2069000000000001</v>
      </c>
      <c r="E2169" s="1">
        <v>44893</v>
      </c>
      <c r="F2169">
        <v>7.2069000000000001</v>
      </c>
    </row>
    <row r="2170" spans="1:6" x14ac:dyDescent="0.25">
      <c r="A2170" s="1">
        <v>44678</v>
      </c>
      <c r="B2170">
        <v>6.5868000000000002</v>
      </c>
      <c r="C2170" s="1">
        <v>44894</v>
      </c>
      <c r="D2170">
        <v>7.1593</v>
      </c>
      <c r="E2170" s="1">
        <v>44894</v>
      </c>
      <c r="F2170">
        <v>7.1593</v>
      </c>
    </row>
    <row r="2171" spans="1:6" x14ac:dyDescent="0.25">
      <c r="A2171" s="1">
        <v>44679</v>
      </c>
      <c r="B2171">
        <v>6.6597</v>
      </c>
      <c r="C2171" s="1">
        <v>44895</v>
      </c>
      <c r="D2171">
        <v>7.0923999999999996</v>
      </c>
      <c r="E2171" s="1">
        <v>44895</v>
      </c>
      <c r="F2171">
        <v>7.0923999999999996</v>
      </c>
    </row>
    <row r="2172" spans="1:6" x14ac:dyDescent="0.25">
      <c r="A2172" s="1">
        <v>44680</v>
      </c>
      <c r="B2172">
        <v>6.6403999999999996</v>
      </c>
      <c r="C2172" s="1">
        <v>44896</v>
      </c>
      <c r="D2172">
        <v>7.0533999999999999</v>
      </c>
      <c r="E2172" s="1">
        <v>44896</v>
      </c>
      <c r="F2172">
        <v>7.0533999999999999</v>
      </c>
    </row>
    <row r="2173" spans="1:6" x14ac:dyDescent="0.25">
      <c r="A2173" s="1">
        <v>44683</v>
      </c>
      <c r="B2173">
        <v>6.6741999999999999</v>
      </c>
      <c r="C2173" s="1">
        <v>44897</v>
      </c>
      <c r="D2173">
        <v>7.0534999999999997</v>
      </c>
      <c r="E2173" s="1">
        <v>44897</v>
      </c>
      <c r="F2173">
        <v>7.0534999999999997</v>
      </c>
    </row>
    <row r="2174" spans="1:6" x14ac:dyDescent="0.25">
      <c r="A2174" s="1">
        <v>44684</v>
      </c>
      <c r="B2174">
        <v>6.6486999999999998</v>
      </c>
      <c r="C2174" s="1">
        <v>44900</v>
      </c>
      <c r="D2174">
        <v>6.9625000000000004</v>
      </c>
      <c r="E2174" s="1">
        <v>44900</v>
      </c>
      <c r="F2174">
        <v>6.9625000000000004</v>
      </c>
    </row>
    <row r="2175" spans="1:6" x14ac:dyDescent="0.25">
      <c r="A2175" s="1">
        <v>44685</v>
      </c>
      <c r="B2175">
        <v>6.6223000000000001</v>
      </c>
      <c r="C2175" s="1">
        <v>44901</v>
      </c>
      <c r="D2175">
        <v>6.9950000000000001</v>
      </c>
      <c r="E2175" s="1">
        <v>44901</v>
      </c>
      <c r="F2175">
        <v>6.9950000000000001</v>
      </c>
    </row>
    <row r="2176" spans="1:6" x14ac:dyDescent="0.25">
      <c r="A2176" s="1">
        <v>44686</v>
      </c>
      <c r="B2176">
        <v>6.6818999999999997</v>
      </c>
      <c r="C2176" s="1">
        <v>44902</v>
      </c>
      <c r="D2176">
        <v>6.97</v>
      </c>
      <c r="E2176" s="1">
        <v>44902</v>
      </c>
      <c r="F2176">
        <v>6.97</v>
      </c>
    </row>
    <row r="2177" spans="1:6" x14ac:dyDescent="0.25">
      <c r="A2177" s="1">
        <v>44687</v>
      </c>
      <c r="B2177">
        <v>6.718</v>
      </c>
      <c r="C2177" s="1">
        <v>44903</v>
      </c>
      <c r="D2177">
        <v>6.9673999999999996</v>
      </c>
      <c r="E2177" s="1">
        <v>44903</v>
      </c>
      <c r="F2177">
        <v>6.9673999999999996</v>
      </c>
    </row>
    <row r="2178" spans="1:6" x14ac:dyDescent="0.25">
      <c r="A2178" s="1">
        <v>44690</v>
      </c>
      <c r="B2178">
        <v>6.7565999999999997</v>
      </c>
      <c r="C2178" s="1">
        <v>44904</v>
      </c>
      <c r="D2178">
        <v>6.9584000000000001</v>
      </c>
      <c r="E2178" s="1">
        <v>44904</v>
      </c>
      <c r="F2178">
        <v>6.9584000000000001</v>
      </c>
    </row>
    <row r="2179" spans="1:6" x14ac:dyDescent="0.25">
      <c r="A2179" s="1">
        <v>44691</v>
      </c>
      <c r="B2179">
        <v>6.7477</v>
      </c>
      <c r="C2179" s="1">
        <v>44907</v>
      </c>
      <c r="D2179">
        <v>6.9775999999999998</v>
      </c>
      <c r="E2179" s="1">
        <v>44907</v>
      </c>
      <c r="F2179">
        <v>6.9775999999999998</v>
      </c>
    </row>
    <row r="2180" spans="1:6" x14ac:dyDescent="0.25">
      <c r="A2180" s="1">
        <v>44692</v>
      </c>
      <c r="B2180">
        <v>6.7643000000000004</v>
      </c>
      <c r="C2180" s="1">
        <v>44908</v>
      </c>
      <c r="D2180">
        <v>6.9516999999999998</v>
      </c>
      <c r="E2180" s="1">
        <v>44908</v>
      </c>
      <c r="F2180">
        <v>6.9516999999999998</v>
      </c>
    </row>
    <row r="2181" spans="1:6" x14ac:dyDescent="0.25">
      <c r="A2181" s="1">
        <v>44693</v>
      </c>
      <c r="B2181">
        <v>6.8273000000000001</v>
      </c>
      <c r="C2181" s="1">
        <v>44909</v>
      </c>
      <c r="D2181">
        <v>6.9500999999999999</v>
      </c>
      <c r="E2181" s="1">
        <v>44909</v>
      </c>
      <c r="F2181">
        <v>6.9500999999999999</v>
      </c>
    </row>
    <row r="2182" spans="1:6" x14ac:dyDescent="0.25">
      <c r="A2182" s="1">
        <v>44694</v>
      </c>
      <c r="B2182">
        <v>6.7999000000000001</v>
      </c>
      <c r="C2182" s="1">
        <v>44910</v>
      </c>
      <c r="D2182">
        <v>6.9737999999999998</v>
      </c>
      <c r="E2182" s="1">
        <v>44910</v>
      </c>
      <c r="F2182">
        <v>6.9737999999999998</v>
      </c>
    </row>
    <row r="2183" spans="1:6" x14ac:dyDescent="0.25">
      <c r="A2183" s="1">
        <v>44697</v>
      </c>
      <c r="B2183">
        <v>6.7975000000000003</v>
      </c>
      <c r="C2183" s="1">
        <v>44911</v>
      </c>
      <c r="D2183">
        <v>6.9740000000000002</v>
      </c>
      <c r="E2183" s="1">
        <v>44911</v>
      </c>
      <c r="F2183">
        <v>6.9740000000000002</v>
      </c>
    </row>
    <row r="2184" spans="1:6" x14ac:dyDescent="0.25">
      <c r="A2184" s="1">
        <v>44698</v>
      </c>
      <c r="B2184">
        <v>6.7412000000000001</v>
      </c>
      <c r="C2184" s="1">
        <v>44914</v>
      </c>
      <c r="D2184">
        <v>6.9797000000000002</v>
      </c>
      <c r="E2184" s="1">
        <v>44914</v>
      </c>
      <c r="F2184">
        <v>6.9797000000000002</v>
      </c>
    </row>
    <row r="2185" spans="1:6" x14ac:dyDescent="0.25">
      <c r="A2185" s="1">
        <v>44699</v>
      </c>
      <c r="B2185">
        <v>6.7807000000000004</v>
      </c>
      <c r="C2185" s="1">
        <v>44915</v>
      </c>
      <c r="D2185">
        <v>6.9619</v>
      </c>
      <c r="E2185" s="1">
        <v>44915</v>
      </c>
      <c r="F2185">
        <v>6.9619</v>
      </c>
    </row>
    <row r="2186" spans="1:6" x14ac:dyDescent="0.25">
      <c r="A2186" s="1">
        <v>44700</v>
      </c>
      <c r="B2186">
        <v>6.7252999999999998</v>
      </c>
      <c r="C2186" s="1">
        <v>44916</v>
      </c>
      <c r="D2186">
        <v>6.9817999999999998</v>
      </c>
      <c r="E2186" s="1">
        <v>44916</v>
      </c>
      <c r="F2186">
        <v>6.9817999999999998</v>
      </c>
    </row>
    <row r="2187" spans="1:6" x14ac:dyDescent="0.25">
      <c r="A2187" s="1">
        <v>44701</v>
      </c>
      <c r="B2187">
        <v>6.6997999999999998</v>
      </c>
      <c r="C2187" s="1">
        <v>44917</v>
      </c>
      <c r="D2187">
        <v>6.9854000000000003</v>
      </c>
      <c r="E2187" s="1">
        <v>44917</v>
      </c>
      <c r="F2187">
        <v>6.9854000000000003</v>
      </c>
    </row>
    <row r="2188" spans="1:6" x14ac:dyDescent="0.25">
      <c r="A2188" s="1">
        <v>44704</v>
      </c>
      <c r="B2188">
        <v>6.6616999999999997</v>
      </c>
      <c r="C2188" s="1">
        <v>44918</v>
      </c>
      <c r="D2188">
        <v>6.99</v>
      </c>
      <c r="E2188" s="1">
        <v>44918</v>
      </c>
      <c r="F2188">
        <v>6.99</v>
      </c>
    </row>
    <row r="2189" spans="1:6" x14ac:dyDescent="0.25">
      <c r="A2189" s="1">
        <v>44705</v>
      </c>
      <c r="B2189">
        <v>6.6574</v>
      </c>
      <c r="C2189" s="1">
        <v>44921</v>
      </c>
      <c r="D2189">
        <v>6.9626999999999999</v>
      </c>
      <c r="E2189" s="1">
        <v>44921</v>
      </c>
      <c r="F2189">
        <v>6.9626999999999999</v>
      </c>
    </row>
    <row r="2190" spans="1:6" x14ac:dyDescent="0.25">
      <c r="A2190" s="1">
        <v>44706</v>
      </c>
      <c r="B2190">
        <v>6.7126999999999999</v>
      </c>
      <c r="C2190" s="1">
        <v>44922</v>
      </c>
      <c r="D2190">
        <v>6.9600999999999997</v>
      </c>
      <c r="E2190" s="1">
        <v>44922</v>
      </c>
      <c r="F2190">
        <v>6.9600999999999997</v>
      </c>
    </row>
    <row r="2191" spans="1:6" x14ac:dyDescent="0.25">
      <c r="A2191" s="1">
        <v>44707</v>
      </c>
      <c r="B2191">
        <v>6.7674000000000003</v>
      </c>
      <c r="C2191" s="1">
        <v>44923</v>
      </c>
      <c r="D2191">
        <v>6.9819000000000004</v>
      </c>
      <c r="E2191" s="1">
        <v>44923</v>
      </c>
      <c r="F2191">
        <v>6.9819000000000004</v>
      </c>
    </row>
    <row r="2192" spans="1:6" x14ac:dyDescent="0.25">
      <c r="A2192" s="1">
        <v>44708</v>
      </c>
      <c r="B2192">
        <v>6.7207999999999997</v>
      </c>
      <c r="C2192" s="1">
        <v>44924</v>
      </c>
      <c r="D2192">
        <v>6.9642999999999997</v>
      </c>
      <c r="E2192" s="1">
        <v>44924</v>
      </c>
      <c r="F2192">
        <v>6.9642999999999997</v>
      </c>
    </row>
    <row r="2193" spans="1:6" x14ac:dyDescent="0.25">
      <c r="A2193" s="1">
        <v>44711</v>
      </c>
      <c r="B2193">
        <v>6.6715</v>
      </c>
      <c r="C2193" s="1">
        <v>44925</v>
      </c>
      <c r="D2193">
        <v>6.8986000000000001</v>
      </c>
      <c r="E2193" s="1">
        <v>44925</v>
      </c>
      <c r="F2193">
        <v>6.8986000000000001</v>
      </c>
    </row>
    <row r="2194" spans="1:6" x14ac:dyDescent="0.25">
      <c r="A2194" s="1">
        <v>44712</v>
      </c>
      <c r="B2194">
        <v>6.6787000000000001</v>
      </c>
      <c r="C2194" s="1">
        <v>44929</v>
      </c>
      <c r="D2194">
        <v>6.915</v>
      </c>
      <c r="E2194" s="1">
        <v>44929</v>
      </c>
      <c r="F2194">
        <v>6.915</v>
      </c>
    </row>
    <row r="2195" spans="1:6" x14ac:dyDescent="0.25">
      <c r="A2195" s="1">
        <v>44713</v>
      </c>
      <c r="B2195">
        <v>6.6980000000000004</v>
      </c>
      <c r="C2195" s="1">
        <v>44930</v>
      </c>
      <c r="D2195">
        <v>6.8973000000000004</v>
      </c>
      <c r="E2195" s="1">
        <v>44930</v>
      </c>
      <c r="F2195">
        <v>6.8973000000000004</v>
      </c>
    </row>
    <row r="2196" spans="1:6" x14ac:dyDescent="0.25">
      <c r="A2196" s="1">
        <v>44714</v>
      </c>
      <c r="B2196">
        <v>6.6566999999999998</v>
      </c>
      <c r="C2196" s="1">
        <v>44931</v>
      </c>
      <c r="D2196">
        <v>6.8803999999999998</v>
      </c>
      <c r="E2196" s="1">
        <v>44931</v>
      </c>
      <c r="F2196">
        <v>6.8803999999999998</v>
      </c>
    </row>
    <row r="2197" spans="1:6" x14ac:dyDescent="0.25">
      <c r="A2197" s="1">
        <v>44715</v>
      </c>
      <c r="B2197">
        <v>6.6557000000000004</v>
      </c>
      <c r="C2197" s="1">
        <v>44932</v>
      </c>
      <c r="D2197">
        <v>6.8280000000000003</v>
      </c>
      <c r="E2197" s="1">
        <v>44932</v>
      </c>
      <c r="F2197">
        <v>6.8280000000000003</v>
      </c>
    </row>
    <row r="2198" spans="1:6" x14ac:dyDescent="0.25">
      <c r="A2198" s="1">
        <v>44718</v>
      </c>
      <c r="B2198">
        <v>6.657</v>
      </c>
      <c r="C2198" s="1">
        <v>44935</v>
      </c>
      <c r="D2198">
        <v>6.7718999999999996</v>
      </c>
      <c r="E2198" s="1">
        <v>44935</v>
      </c>
      <c r="F2198">
        <v>6.7718999999999996</v>
      </c>
    </row>
    <row r="2199" spans="1:6" x14ac:dyDescent="0.25">
      <c r="A2199" s="1">
        <v>44719</v>
      </c>
      <c r="B2199">
        <v>6.6717000000000004</v>
      </c>
      <c r="C2199" s="1">
        <v>44936</v>
      </c>
      <c r="D2199">
        <v>6.7794999999999996</v>
      </c>
      <c r="E2199" s="1">
        <v>44936</v>
      </c>
      <c r="F2199">
        <v>6.7794999999999996</v>
      </c>
    </row>
    <row r="2200" spans="1:6" x14ac:dyDescent="0.25">
      <c r="A2200" s="1">
        <v>44720</v>
      </c>
      <c r="B2200">
        <v>6.7011000000000003</v>
      </c>
      <c r="C2200" s="1">
        <v>44937</v>
      </c>
      <c r="D2200">
        <v>6.7649999999999997</v>
      </c>
      <c r="E2200" s="1">
        <v>44937</v>
      </c>
      <c r="F2200">
        <v>6.7649999999999997</v>
      </c>
    </row>
    <row r="2201" spans="1:6" x14ac:dyDescent="0.25">
      <c r="A2201" s="1">
        <v>44721</v>
      </c>
      <c r="B2201">
        <v>6.7008999999999999</v>
      </c>
      <c r="C2201" s="1">
        <v>44938</v>
      </c>
      <c r="D2201">
        <v>6.7294999999999998</v>
      </c>
      <c r="E2201" s="1">
        <v>44938</v>
      </c>
      <c r="F2201">
        <v>6.7294999999999998</v>
      </c>
    </row>
    <row r="2202" spans="1:6" x14ac:dyDescent="0.25">
      <c r="A2202" s="1">
        <v>44722</v>
      </c>
      <c r="B2202">
        <v>6.7302999999999997</v>
      </c>
      <c r="C2202" s="1">
        <v>44939</v>
      </c>
      <c r="D2202">
        <v>6.7009999999999996</v>
      </c>
      <c r="E2202" s="1">
        <v>44939</v>
      </c>
      <c r="F2202">
        <v>6.7009999999999996</v>
      </c>
    </row>
    <row r="2203" spans="1:6" x14ac:dyDescent="0.25">
      <c r="A2203" s="1">
        <v>44725</v>
      </c>
      <c r="B2203">
        <v>6.7826000000000004</v>
      </c>
      <c r="C2203" s="1">
        <v>44942</v>
      </c>
      <c r="D2203">
        <v>6.7382</v>
      </c>
      <c r="E2203" s="1">
        <v>44942</v>
      </c>
      <c r="F2203">
        <v>6.7382</v>
      </c>
    </row>
    <row r="2204" spans="1:6" x14ac:dyDescent="0.25">
      <c r="A2204" s="1">
        <v>44726</v>
      </c>
      <c r="B2204">
        <v>6.7549000000000001</v>
      </c>
      <c r="C2204" s="1">
        <v>44943</v>
      </c>
      <c r="D2204">
        <v>6.7718999999999996</v>
      </c>
      <c r="E2204" s="1">
        <v>44943</v>
      </c>
      <c r="F2204">
        <v>6.7718999999999996</v>
      </c>
    </row>
    <row r="2205" spans="1:6" x14ac:dyDescent="0.25">
      <c r="A2205" s="1">
        <v>44727</v>
      </c>
      <c r="B2205">
        <v>6.6687000000000003</v>
      </c>
      <c r="C2205" s="1">
        <v>44944</v>
      </c>
      <c r="D2205">
        <v>6.7577999999999996</v>
      </c>
      <c r="E2205" s="1">
        <v>44944</v>
      </c>
      <c r="F2205">
        <v>6.7577999999999996</v>
      </c>
    </row>
    <row r="2206" spans="1:6" x14ac:dyDescent="0.25">
      <c r="A2206" s="1">
        <v>44728</v>
      </c>
      <c r="B2206">
        <v>6.6843000000000004</v>
      </c>
      <c r="C2206" s="1">
        <v>44945</v>
      </c>
      <c r="D2206">
        <v>6.7755000000000001</v>
      </c>
      <c r="E2206" s="1">
        <v>44945</v>
      </c>
      <c r="F2206">
        <v>6.7755000000000001</v>
      </c>
    </row>
    <row r="2207" spans="1:6" x14ac:dyDescent="0.25">
      <c r="A2207" s="1">
        <v>44729</v>
      </c>
      <c r="B2207">
        <v>6.7092000000000001</v>
      </c>
      <c r="C2207" s="1">
        <v>44946</v>
      </c>
      <c r="D2207">
        <v>6.7845000000000004</v>
      </c>
      <c r="E2207" s="1">
        <v>44946</v>
      </c>
      <c r="F2207">
        <v>6.7845000000000004</v>
      </c>
    </row>
    <row r="2208" spans="1:6" x14ac:dyDescent="0.25">
      <c r="A2208" s="1">
        <v>44732</v>
      </c>
      <c r="B2208">
        <v>6.6893000000000002</v>
      </c>
      <c r="C2208" s="1">
        <v>44956</v>
      </c>
      <c r="D2208">
        <v>6.7523</v>
      </c>
      <c r="E2208" s="1">
        <v>44956</v>
      </c>
      <c r="F2208">
        <v>6.7523</v>
      </c>
    </row>
    <row r="2209" spans="1:6" x14ac:dyDescent="0.25">
      <c r="A2209" s="1">
        <v>44733</v>
      </c>
      <c r="B2209">
        <v>6.6921999999999997</v>
      </c>
      <c r="C2209" s="1">
        <v>44957</v>
      </c>
      <c r="D2209">
        <v>6.7553000000000001</v>
      </c>
      <c r="E2209" s="1">
        <v>44957</v>
      </c>
      <c r="F2209">
        <v>6.7553000000000001</v>
      </c>
    </row>
    <row r="2210" spans="1:6" x14ac:dyDescent="0.25">
      <c r="A2210" s="1">
        <v>44734</v>
      </c>
      <c r="B2210">
        <v>6.7126999999999999</v>
      </c>
      <c r="C2210" s="1">
        <v>44958</v>
      </c>
      <c r="D2210">
        <v>6.7422000000000004</v>
      </c>
      <c r="E2210" s="1">
        <v>44958</v>
      </c>
      <c r="F2210">
        <v>6.7422000000000004</v>
      </c>
    </row>
    <row r="2211" spans="1:6" x14ac:dyDescent="0.25">
      <c r="A2211" s="1">
        <v>44735</v>
      </c>
      <c r="B2211">
        <v>6.6994999999999996</v>
      </c>
      <c r="C2211" s="1">
        <v>44959</v>
      </c>
      <c r="D2211">
        <v>6.7310999999999996</v>
      </c>
      <c r="E2211" s="1">
        <v>44959</v>
      </c>
      <c r="F2211">
        <v>6.7310999999999996</v>
      </c>
    </row>
    <row r="2212" spans="1:6" x14ac:dyDescent="0.25">
      <c r="A2212" s="1">
        <v>44736</v>
      </c>
      <c r="B2212">
        <v>6.6816000000000004</v>
      </c>
      <c r="C2212" s="1">
        <v>44960</v>
      </c>
      <c r="D2212">
        <v>6.798</v>
      </c>
      <c r="E2212" s="1">
        <v>44960</v>
      </c>
      <c r="F2212">
        <v>6.798</v>
      </c>
    </row>
    <row r="2213" spans="1:6" x14ac:dyDescent="0.25">
      <c r="A2213" s="1">
        <v>44739</v>
      </c>
      <c r="B2213">
        <v>6.6927000000000003</v>
      </c>
      <c r="C2213" s="1">
        <v>44963</v>
      </c>
      <c r="D2213">
        <v>6.7964000000000002</v>
      </c>
      <c r="E2213" s="1">
        <v>44963</v>
      </c>
      <c r="F2213">
        <v>6.7964000000000002</v>
      </c>
    </row>
    <row r="2214" spans="1:6" x14ac:dyDescent="0.25">
      <c r="A2214" s="1">
        <v>44740</v>
      </c>
      <c r="B2214">
        <v>6.7023999999999999</v>
      </c>
      <c r="C2214" s="1">
        <v>44964</v>
      </c>
      <c r="D2214">
        <v>6.7846000000000002</v>
      </c>
      <c r="E2214" s="1">
        <v>44964</v>
      </c>
      <c r="F2214">
        <v>6.7846000000000002</v>
      </c>
    </row>
    <row r="2215" spans="1:6" x14ac:dyDescent="0.25">
      <c r="A2215" s="1">
        <v>44741</v>
      </c>
      <c r="B2215">
        <v>6.7081</v>
      </c>
      <c r="C2215" s="1">
        <v>44965</v>
      </c>
      <c r="D2215">
        <v>6.7920999999999996</v>
      </c>
      <c r="E2215" s="1">
        <v>44965</v>
      </c>
      <c r="F2215">
        <v>6.7920999999999996</v>
      </c>
    </row>
    <row r="2216" spans="1:6" x14ac:dyDescent="0.25">
      <c r="A2216" s="1">
        <v>44742</v>
      </c>
      <c r="B2216">
        <v>6.6940999999999997</v>
      </c>
      <c r="C2216" s="1">
        <v>44966</v>
      </c>
      <c r="D2216">
        <v>6.7864000000000004</v>
      </c>
      <c r="E2216" s="1">
        <v>44966</v>
      </c>
      <c r="F2216">
        <v>6.7864000000000004</v>
      </c>
    </row>
    <row r="2217" spans="1:6" x14ac:dyDescent="0.25">
      <c r="A2217" s="1">
        <v>44743</v>
      </c>
      <c r="B2217">
        <v>6.6974</v>
      </c>
      <c r="C2217" s="1">
        <v>44967</v>
      </c>
      <c r="D2217">
        <v>6.8144999999999998</v>
      </c>
      <c r="E2217" s="1">
        <v>44967</v>
      </c>
      <c r="F2217">
        <v>6.8144999999999998</v>
      </c>
    </row>
    <row r="2218" spans="1:6" x14ac:dyDescent="0.25">
      <c r="A2218" s="1">
        <v>44746</v>
      </c>
      <c r="B2218">
        <v>6.6942000000000004</v>
      </c>
      <c r="C2218" s="1">
        <v>44970</v>
      </c>
      <c r="D2218">
        <v>6.8182999999999998</v>
      </c>
      <c r="E2218" s="1">
        <v>44970</v>
      </c>
      <c r="F2218">
        <v>6.8182999999999998</v>
      </c>
    </row>
    <row r="2219" spans="1:6" x14ac:dyDescent="0.25">
      <c r="A2219" s="1">
        <v>44747</v>
      </c>
      <c r="B2219">
        <v>6.7118000000000002</v>
      </c>
      <c r="C2219" s="1">
        <v>44971</v>
      </c>
      <c r="D2219">
        <v>6.8278999999999996</v>
      </c>
      <c r="E2219" s="1">
        <v>44971</v>
      </c>
      <c r="F2219">
        <v>6.8278999999999996</v>
      </c>
    </row>
    <row r="2220" spans="1:6" x14ac:dyDescent="0.25">
      <c r="A2220" s="1">
        <v>44748</v>
      </c>
      <c r="B2220">
        <v>6.7149999999999999</v>
      </c>
      <c r="C2220" s="1">
        <v>44972</v>
      </c>
      <c r="D2220">
        <v>6.8550000000000004</v>
      </c>
      <c r="E2220" s="1">
        <v>44972</v>
      </c>
      <c r="F2220">
        <v>6.8550000000000004</v>
      </c>
    </row>
    <row r="2221" spans="1:6" x14ac:dyDescent="0.25">
      <c r="A2221" s="1">
        <v>44749</v>
      </c>
      <c r="B2221">
        <v>6.6931000000000003</v>
      </c>
      <c r="C2221" s="1">
        <v>44973</v>
      </c>
      <c r="D2221">
        <v>6.8574999999999999</v>
      </c>
      <c r="E2221" s="1">
        <v>44973</v>
      </c>
      <c r="F2221">
        <v>6.8574999999999999</v>
      </c>
    </row>
    <row r="2222" spans="1:6" x14ac:dyDescent="0.25">
      <c r="A2222" s="1">
        <v>44750</v>
      </c>
      <c r="B2222">
        <v>6.6862000000000004</v>
      </c>
      <c r="C2222" s="1">
        <v>44974</v>
      </c>
      <c r="D2222">
        <v>6.8685999999999998</v>
      </c>
      <c r="E2222" s="1">
        <v>44974</v>
      </c>
      <c r="F2222">
        <v>6.8685999999999998</v>
      </c>
    </row>
    <row r="2223" spans="1:6" x14ac:dyDescent="0.25">
      <c r="A2223" s="1">
        <v>44753</v>
      </c>
      <c r="B2223">
        <v>6.7259000000000002</v>
      </c>
      <c r="C2223" s="1">
        <v>44977</v>
      </c>
      <c r="D2223">
        <v>6.8552</v>
      </c>
      <c r="E2223" s="1">
        <v>44977</v>
      </c>
      <c r="F2223">
        <v>6.8552</v>
      </c>
    </row>
    <row r="2224" spans="1:6" x14ac:dyDescent="0.25">
      <c r="A2224" s="1">
        <v>44754</v>
      </c>
      <c r="B2224">
        <v>6.7351999999999999</v>
      </c>
      <c r="C2224" s="1">
        <v>44978</v>
      </c>
      <c r="D2224">
        <v>6.8795000000000002</v>
      </c>
      <c r="E2224" s="1">
        <v>44978</v>
      </c>
      <c r="F2224">
        <v>6.8795000000000002</v>
      </c>
    </row>
    <row r="2225" spans="1:6" x14ac:dyDescent="0.25">
      <c r="A2225" s="1">
        <v>44755</v>
      </c>
      <c r="B2225">
        <v>6.726</v>
      </c>
      <c r="C2225" s="1">
        <v>44979</v>
      </c>
      <c r="D2225">
        <v>6.8929</v>
      </c>
      <c r="E2225" s="1">
        <v>44979</v>
      </c>
      <c r="F2225">
        <v>6.8929</v>
      </c>
    </row>
    <row r="2226" spans="1:6" x14ac:dyDescent="0.25">
      <c r="A2226" s="1">
        <v>44756</v>
      </c>
      <c r="B2226">
        <v>6.7611999999999997</v>
      </c>
      <c r="C2226" s="1">
        <v>44980</v>
      </c>
      <c r="D2226">
        <v>6.9081000000000001</v>
      </c>
      <c r="E2226" s="1">
        <v>44980</v>
      </c>
      <c r="F2226">
        <v>6.9081000000000001</v>
      </c>
    </row>
    <row r="2227" spans="1:6" x14ac:dyDescent="0.25">
      <c r="A2227" s="1">
        <v>44757</v>
      </c>
      <c r="B2227">
        <v>6.7606999999999999</v>
      </c>
      <c r="C2227" s="1">
        <v>44981</v>
      </c>
      <c r="D2227">
        <v>6.9600999999999997</v>
      </c>
      <c r="E2227" s="1">
        <v>44981</v>
      </c>
      <c r="F2227">
        <v>6.9600999999999997</v>
      </c>
    </row>
    <row r="2228" spans="1:6" x14ac:dyDescent="0.25">
      <c r="A2228" s="1">
        <v>44760</v>
      </c>
      <c r="B2228">
        <v>6.7603</v>
      </c>
      <c r="C2228" s="1">
        <v>44984</v>
      </c>
      <c r="D2228">
        <v>6.9440999999999997</v>
      </c>
      <c r="E2228" s="1">
        <v>44984</v>
      </c>
      <c r="F2228">
        <v>6.9440999999999997</v>
      </c>
    </row>
    <row r="2229" spans="1:6" x14ac:dyDescent="0.25">
      <c r="A2229" s="1">
        <v>44761</v>
      </c>
      <c r="B2229">
        <v>6.7454000000000001</v>
      </c>
      <c r="C2229" s="1">
        <v>44985</v>
      </c>
      <c r="D2229">
        <v>6.9356</v>
      </c>
      <c r="E2229" s="1">
        <v>44985</v>
      </c>
      <c r="F2229">
        <v>6.9356</v>
      </c>
    </row>
    <row r="2230" spans="1:6" x14ac:dyDescent="0.25">
      <c r="A2230" s="1">
        <v>44762</v>
      </c>
      <c r="B2230">
        <v>6.7740999999999998</v>
      </c>
      <c r="C2230" s="1">
        <v>44986</v>
      </c>
      <c r="D2230">
        <v>6.8697999999999997</v>
      </c>
      <c r="E2230" s="1">
        <v>44986</v>
      </c>
      <c r="F2230">
        <v>6.8697999999999997</v>
      </c>
    </row>
    <row r="2231" spans="1:6" x14ac:dyDescent="0.25">
      <c r="A2231" s="1">
        <v>44763</v>
      </c>
      <c r="B2231">
        <v>6.7706999999999997</v>
      </c>
      <c r="C2231" s="1">
        <v>44987</v>
      </c>
      <c r="D2231">
        <v>6.9168000000000003</v>
      </c>
      <c r="E2231" s="1">
        <v>44987</v>
      </c>
      <c r="F2231">
        <v>6.9168000000000003</v>
      </c>
    </row>
    <row r="2232" spans="1:6" x14ac:dyDescent="0.25">
      <c r="A2232" s="1">
        <v>44764</v>
      </c>
      <c r="B2232">
        <v>6.7668999999999997</v>
      </c>
      <c r="C2232" s="1">
        <v>44988</v>
      </c>
      <c r="D2232">
        <v>6.9043000000000001</v>
      </c>
      <c r="E2232" s="1">
        <v>44988</v>
      </c>
      <c r="F2232">
        <v>6.9043000000000001</v>
      </c>
    </row>
    <row r="2233" spans="1:6" x14ac:dyDescent="0.25">
      <c r="A2233" s="1">
        <v>44767</v>
      </c>
      <c r="B2233">
        <v>6.7521000000000004</v>
      </c>
      <c r="C2233" s="1">
        <v>44991</v>
      </c>
      <c r="D2233">
        <v>6.9318</v>
      </c>
      <c r="E2233" s="1">
        <v>44991</v>
      </c>
      <c r="F2233">
        <v>6.9318</v>
      </c>
    </row>
    <row r="2234" spans="1:6" x14ac:dyDescent="0.25">
      <c r="A2234" s="1">
        <v>44768</v>
      </c>
      <c r="B2234">
        <v>6.7672999999999996</v>
      </c>
      <c r="C2234" s="1">
        <v>44992</v>
      </c>
      <c r="D2234">
        <v>6.9661999999999997</v>
      </c>
      <c r="E2234" s="1">
        <v>44992</v>
      </c>
      <c r="F2234">
        <v>6.9661999999999997</v>
      </c>
    </row>
    <row r="2235" spans="1:6" x14ac:dyDescent="0.25">
      <c r="A2235" s="1">
        <v>44769</v>
      </c>
      <c r="B2235">
        <v>6.7439999999999998</v>
      </c>
      <c r="C2235" s="1">
        <v>44993</v>
      </c>
      <c r="D2235">
        <v>6.9592000000000001</v>
      </c>
      <c r="E2235" s="1">
        <v>44993</v>
      </c>
      <c r="F2235">
        <v>6.9592000000000001</v>
      </c>
    </row>
    <row r="2236" spans="1:6" x14ac:dyDescent="0.25">
      <c r="A2236" s="1">
        <v>44770</v>
      </c>
      <c r="B2236">
        <v>6.7445000000000004</v>
      </c>
      <c r="C2236" s="1">
        <v>44994</v>
      </c>
      <c r="D2236">
        <v>6.9650999999999996</v>
      </c>
      <c r="E2236" s="1">
        <v>44994</v>
      </c>
      <c r="F2236">
        <v>6.9650999999999996</v>
      </c>
    </row>
    <row r="2237" spans="1:6" x14ac:dyDescent="0.25">
      <c r="A2237" s="1">
        <v>44771</v>
      </c>
      <c r="B2237">
        <v>6.7497999999999996</v>
      </c>
      <c r="C2237" s="1">
        <v>44995</v>
      </c>
      <c r="D2237">
        <v>6.9172000000000002</v>
      </c>
      <c r="E2237" s="1">
        <v>44995</v>
      </c>
      <c r="F2237">
        <v>6.9172000000000002</v>
      </c>
    </row>
    <row r="2238" spans="1:6" x14ac:dyDescent="0.25">
      <c r="A2238" s="1">
        <v>44774</v>
      </c>
      <c r="B2238">
        <v>6.7836999999999996</v>
      </c>
      <c r="C2238" s="1">
        <v>44998</v>
      </c>
      <c r="D2238">
        <v>6.8483000000000001</v>
      </c>
      <c r="E2238" s="1">
        <v>44998</v>
      </c>
      <c r="F2238">
        <v>6.8483000000000001</v>
      </c>
    </row>
    <row r="2239" spans="1:6" x14ac:dyDescent="0.25">
      <c r="A2239" s="1">
        <v>44775</v>
      </c>
      <c r="B2239">
        <v>6.7786</v>
      </c>
      <c r="C2239" s="1">
        <v>44999</v>
      </c>
      <c r="D2239">
        <v>6.8734999999999999</v>
      </c>
      <c r="E2239" s="1">
        <v>44999</v>
      </c>
      <c r="F2239">
        <v>6.8734999999999999</v>
      </c>
    </row>
    <row r="2240" spans="1:6" x14ac:dyDescent="0.25">
      <c r="A2240" s="1">
        <v>44776</v>
      </c>
      <c r="B2240">
        <v>6.7628000000000004</v>
      </c>
      <c r="C2240" s="1">
        <v>45000</v>
      </c>
      <c r="D2240">
        <v>6.9062999999999999</v>
      </c>
      <c r="E2240" s="1">
        <v>45000</v>
      </c>
      <c r="F2240">
        <v>6.9062999999999999</v>
      </c>
    </row>
    <row r="2241" spans="1:6" x14ac:dyDescent="0.25">
      <c r="A2241" s="1">
        <v>44777</v>
      </c>
      <c r="B2241">
        <v>6.7511000000000001</v>
      </c>
      <c r="C2241" s="1">
        <v>45001</v>
      </c>
      <c r="D2241">
        <v>6.8979999999999997</v>
      </c>
      <c r="E2241" s="1">
        <v>45001</v>
      </c>
      <c r="F2241">
        <v>6.8979999999999997</v>
      </c>
    </row>
    <row r="2242" spans="1:6" x14ac:dyDescent="0.25">
      <c r="A2242" s="1">
        <v>44778</v>
      </c>
      <c r="B2242">
        <v>6.7659000000000002</v>
      </c>
      <c r="C2242" s="1">
        <v>45002</v>
      </c>
      <c r="D2242">
        <v>6.8867000000000003</v>
      </c>
      <c r="E2242" s="1">
        <v>45002</v>
      </c>
      <c r="F2242">
        <v>6.8867000000000003</v>
      </c>
    </row>
    <row r="2243" spans="1:6" x14ac:dyDescent="0.25">
      <c r="A2243" s="1">
        <v>44781</v>
      </c>
      <c r="B2243">
        <v>6.7622</v>
      </c>
      <c r="C2243" s="1">
        <v>45005</v>
      </c>
      <c r="D2243">
        <v>6.8769999999999998</v>
      </c>
      <c r="E2243" s="1">
        <v>45005</v>
      </c>
      <c r="F2243">
        <v>6.8769999999999998</v>
      </c>
    </row>
    <row r="2244" spans="1:6" x14ac:dyDescent="0.25">
      <c r="A2244" s="1">
        <v>44782</v>
      </c>
      <c r="B2244">
        <v>6.7552000000000003</v>
      </c>
      <c r="C2244" s="1">
        <v>45006</v>
      </c>
      <c r="D2244">
        <v>6.8792999999999997</v>
      </c>
      <c r="E2244" s="1">
        <v>45006</v>
      </c>
      <c r="F2244">
        <v>6.8792999999999997</v>
      </c>
    </row>
    <row r="2245" spans="1:6" x14ac:dyDescent="0.25">
      <c r="A2245" s="1">
        <v>44783</v>
      </c>
      <c r="B2245">
        <v>6.7230999999999996</v>
      </c>
      <c r="C2245" s="1">
        <v>45007</v>
      </c>
      <c r="D2245">
        <v>6.87</v>
      </c>
      <c r="E2245" s="1">
        <v>45007</v>
      </c>
      <c r="F2245">
        <v>6.87</v>
      </c>
    </row>
    <row r="2246" spans="1:6" x14ac:dyDescent="0.25">
      <c r="A2246" s="1">
        <v>44784</v>
      </c>
      <c r="B2246">
        <v>6.7438000000000002</v>
      </c>
      <c r="C2246" s="1">
        <v>45008</v>
      </c>
      <c r="D2246">
        <v>6.8231999999999999</v>
      </c>
      <c r="E2246" s="1">
        <v>45008</v>
      </c>
      <c r="F2246">
        <v>6.8231999999999999</v>
      </c>
    </row>
    <row r="2247" spans="1:6" x14ac:dyDescent="0.25">
      <c r="A2247" s="1">
        <v>44785</v>
      </c>
      <c r="B2247">
        <v>6.7380000000000004</v>
      </c>
      <c r="C2247" s="1">
        <v>45009</v>
      </c>
      <c r="D2247">
        <v>6.8673000000000002</v>
      </c>
      <c r="E2247" s="1">
        <v>45009</v>
      </c>
      <c r="F2247">
        <v>6.8673000000000002</v>
      </c>
    </row>
    <row r="2248" spans="1:6" x14ac:dyDescent="0.25">
      <c r="A2248" s="1">
        <v>44788</v>
      </c>
      <c r="B2248">
        <v>6.8158000000000003</v>
      </c>
      <c r="C2248" s="1">
        <v>45012</v>
      </c>
      <c r="D2248">
        <v>6.8819999999999997</v>
      </c>
      <c r="E2248" s="1">
        <v>45012</v>
      </c>
      <c r="F2248">
        <v>6.8819999999999997</v>
      </c>
    </row>
    <row r="2249" spans="1:6" x14ac:dyDescent="0.25">
      <c r="A2249" s="1">
        <v>44789</v>
      </c>
      <c r="B2249">
        <v>6.7919999999999998</v>
      </c>
      <c r="C2249" s="1">
        <v>45013</v>
      </c>
      <c r="D2249">
        <v>6.8762999999999996</v>
      </c>
      <c r="E2249" s="1">
        <v>45013</v>
      </c>
      <c r="F2249">
        <v>6.8762999999999996</v>
      </c>
    </row>
    <row r="2250" spans="1:6" x14ac:dyDescent="0.25">
      <c r="A2250" s="1">
        <v>44790</v>
      </c>
      <c r="B2250">
        <v>6.7942</v>
      </c>
      <c r="C2250" s="1">
        <v>45014</v>
      </c>
      <c r="D2250">
        <v>6.8895</v>
      </c>
      <c r="E2250" s="1">
        <v>45014</v>
      </c>
      <c r="F2250">
        <v>6.8895</v>
      </c>
    </row>
    <row r="2251" spans="1:6" x14ac:dyDescent="0.25">
      <c r="A2251" s="1">
        <v>44791</v>
      </c>
      <c r="B2251">
        <v>6.8030999999999997</v>
      </c>
      <c r="C2251" s="1">
        <v>45015</v>
      </c>
      <c r="D2251">
        <v>6.8705999999999996</v>
      </c>
      <c r="E2251" s="1">
        <v>45015</v>
      </c>
      <c r="F2251">
        <v>6.8705999999999996</v>
      </c>
    </row>
    <row r="2252" spans="1:6" x14ac:dyDescent="0.25">
      <c r="A2252" s="1">
        <v>44792</v>
      </c>
      <c r="B2252">
        <v>6.8357999999999999</v>
      </c>
      <c r="C2252" s="1">
        <v>45016</v>
      </c>
      <c r="D2252">
        <v>6.8735999999999997</v>
      </c>
      <c r="E2252" s="1">
        <v>45016</v>
      </c>
      <c r="F2252">
        <v>6.8735999999999997</v>
      </c>
    </row>
    <row r="2253" spans="1:6" x14ac:dyDescent="0.25">
      <c r="A2253" s="1">
        <v>44795</v>
      </c>
      <c r="B2253">
        <v>6.8677999999999999</v>
      </c>
      <c r="C2253" s="1">
        <v>45019</v>
      </c>
      <c r="D2253">
        <v>6.8776999999999999</v>
      </c>
      <c r="E2253" s="1">
        <v>45019</v>
      </c>
      <c r="F2253">
        <v>6.8776999999999999</v>
      </c>
    </row>
    <row r="2254" spans="1:6" x14ac:dyDescent="0.25">
      <c r="A2254" s="1">
        <v>44796</v>
      </c>
      <c r="B2254">
        <v>6.8544</v>
      </c>
      <c r="C2254" s="1">
        <v>45020</v>
      </c>
      <c r="D2254">
        <v>6.8792999999999997</v>
      </c>
      <c r="E2254" s="1">
        <v>45020</v>
      </c>
      <c r="F2254">
        <v>6.8792999999999997</v>
      </c>
    </row>
    <row r="2255" spans="1:6" x14ac:dyDescent="0.25">
      <c r="A2255" s="1">
        <v>44797</v>
      </c>
      <c r="B2255">
        <v>6.8773999999999997</v>
      </c>
      <c r="C2255" s="1">
        <v>45022</v>
      </c>
      <c r="D2255">
        <v>6.8730000000000002</v>
      </c>
      <c r="E2255" s="1">
        <v>45022</v>
      </c>
      <c r="F2255">
        <v>6.8730000000000002</v>
      </c>
    </row>
    <row r="2256" spans="1:6" x14ac:dyDescent="0.25">
      <c r="A2256" s="1">
        <v>44798</v>
      </c>
      <c r="B2256">
        <v>6.8514999999999997</v>
      </c>
      <c r="C2256" s="1">
        <v>45023</v>
      </c>
      <c r="D2256">
        <v>6.8678999999999997</v>
      </c>
      <c r="E2256" s="1">
        <v>45023</v>
      </c>
      <c r="F2256">
        <v>6.8678999999999997</v>
      </c>
    </row>
    <row r="2257" spans="1:6" x14ac:dyDescent="0.25">
      <c r="A2257" s="1">
        <v>44799</v>
      </c>
      <c r="B2257">
        <v>6.8947000000000003</v>
      </c>
      <c r="C2257" s="1">
        <v>45026</v>
      </c>
      <c r="D2257">
        <v>6.8846999999999996</v>
      </c>
      <c r="E2257" s="1">
        <v>45026</v>
      </c>
      <c r="F2257">
        <v>6.8846999999999996</v>
      </c>
    </row>
    <row r="2258" spans="1:6" x14ac:dyDescent="0.25">
      <c r="A2258" s="1">
        <v>44802</v>
      </c>
      <c r="B2258">
        <v>6.9154999999999998</v>
      </c>
      <c r="C2258" s="1">
        <v>45027</v>
      </c>
      <c r="D2258">
        <v>6.8860000000000001</v>
      </c>
      <c r="E2258" s="1">
        <v>45027</v>
      </c>
      <c r="F2258">
        <v>6.8860000000000001</v>
      </c>
    </row>
    <row r="2259" spans="1:6" x14ac:dyDescent="0.25">
      <c r="A2259" s="1">
        <v>44803</v>
      </c>
      <c r="B2259">
        <v>6.9236000000000004</v>
      </c>
      <c r="C2259" s="1">
        <v>45028</v>
      </c>
      <c r="D2259">
        <v>6.8730000000000002</v>
      </c>
      <c r="E2259" s="1">
        <v>45028</v>
      </c>
      <c r="F2259">
        <v>6.8730000000000002</v>
      </c>
    </row>
    <row r="2260" spans="1:6" x14ac:dyDescent="0.25">
      <c r="A2260" s="1">
        <v>44804</v>
      </c>
      <c r="B2260">
        <v>6.9069000000000003</v>
      </c>
      <c r="C2260" s="1">
        <v>45029</v>
      </c>
      <c r="D2260">
        <v>6.8676000000000004</v>
      </c>
      <c r="E2260" s="1">
        <v>45029</v>
      </c>
      <c r="F2260">
        <v>6.8676000000000004</v>
      </c>
    </row>
    <row r="2261" spans="1:6" x14ac:dyDescent="0.25">
      <c r="A2261" s="1">
        <v>44805</v>
      </c>
      <c r="B2261">
        <v>6.9157000000000002</v>
      </c>
      <c r="C2261" s="1">
        <v>45030</v>
      </c>
      <c r="D2261">
        <v>6.8691000000000004</v>
      </c>
      <c r="E2261" s="1">
        <v>45030</v>
      </c>
      <c r="F2261">
        <v>6.8691000000000004</v>
      </c>
    </row>
    <row r="2262" spans="1:6" x14ac:dyDescent="0.25">
      <c r="A2262" s="1">
        <v>44806</v>
      </c>
      <c r="B2262">
        <v>6.9160000000000004</v>
      </c>
      <c r="C2262" s="1">
        <v>45033</v>
      </c>
      <c r="D2262">
        <v>6.8799000000000001</v>
      </c>
      <c r="E2262" s="1">
        <v>45033</v>
      </c>
      <c r="F2262">
        <v>6.8799000000000001</v>
      </c>
    </row>
    <row r="2263" spans="1:6" x14ac:dyDescent="0.25">
      <c r="A2263" s="1">
        <v>44809</v>
      </c>
      <c r="B2263">
        <v>6.9428000000000001</v>
      </c>
      <c r="C2263" s="1">
        <v>45034</v>
      </c>
      <c r="D2263">
        <v>6.8761999999999999</v>
      </c>
      <c r="E2263" s="1">
        <v>45034</v>
      </c>
      <c r="F2263">
        <v>6.8761999999999999</v>
      </c>
    </row>
    <row r="2264" spans="1:6" x14ac:dyDescent="0.25">
      <c r="A2264" s="1">
        <v>44810</v>
      </c>
      <c r="B2264">
        <v>6.9702999999999999</v>
      </c>
      <c r="C2264" s="1">
        <v>45035</v>
      </c>
      <c r="D2264">
        <v>6.8846999999999996</v>
      </c>
      <c r="E2264" s="1">
        <v>45035</v>
      </c>
      <c r="F2264">
        <v>6.8846999999999996</v>
      </c>
    </row>
    <row r="2265" spans="1:6" x14ac:dyDescent="0.25">
      <c r="A2265" s="1">
        <v>44811</v>
      </c>
      <c r="B2265">
        <v>6.9591000000000003</v>
      </c>
      <c r="C2265" s="1">
        <v>45036</v>
      </c>
      <c r="D2265">
        <v>6.8742000000000001</v>
      </c>
      <c r="E2265" s="1">
        <v>45036</v>
      </c>
      <c r="F2265">
        <v>6.8742000000000001</v>
      </c>
    </row>
    <row r="2266" spans="1:6" x14ac:dyDescent="0.25">
      <c r="A2266" s="1">
        <v>44812</v>
      </c>
      <c r="B2266">
        <v>6.9615</v>
      </c>
      <c r="C2266" s="1">
        <v>45037</v>
      </c>
      <c r="D2266">
        <v>6.8914</v>
      </c>
      <c r="E2266" s="1">
        <v>45037</v>
      </c>
      <c r="F2266">
        <v>6.8914</v>
      </c>
    </row>
    <row r="2267" spans="1:6" x14ac:dyDescent="0.25">
      <c r="A2267" s="1">
        <v>44813</v>
      </c>
      <c r="B2267">
        <v>6.9377000000000004</v>
      </c>
      <c r="C2267" s="1">
        <v>45040</v>
      </c>
      <c r="D2267">
        <v>6.8958000000000004</v>
      </c>
      <c r="E2267" s="1">
        <v>45040</v>
      </c>
      <c r="F2267">
        <v>6.8958000000000004</v>
      </c>
    </row>
    <row r="2268" spans="1:6" x14ac:dyDescent="0.25">
      <c r="A2268" s="1">
        <v>44816</v>
      </c>
      <c r="B2268">
        <v>6.9180999999999999</v>
      </c>
      <c r="C2268" s="1">
        <v>45041</v>
      </c>
      <c r="D2268">
        <v>6.9325999999999999</v>
      </c>
      <c r="E2268" s="1">
        <v>45041</v>
      </c>
      <c r="F2268">
        <v>6.9325999999999999</v>
      </c>
    </row>
    <row r="2269" spans="1:6" x14ac:dyDescent="0.25">
      <c r="A2269" s="1">
        <v>44817</v>
      </c>
      <c r="B2269">
        <v>6.9828000000000001</v>
      </c>
      <c r="C2269" s="1">
        <v>45042</v>
      </c>
      <c r="D2269">
        <v>6.9279999999999999</v>
      </c>
      <c r="E2269" s="1">
        <v>45042</v>
      </c>
      <c r="F2269">
        <v>6.9279999999999999</v>
      </c>
    </row>
    <row r="2270" spans="1:6" x14ac:dyDescent="0.25">
      <c r="A2270" s="1">
        <v>44818</v>
      </c>
      <c r="B2270">
        <v>6.9729999999999999</v>
      </c>
      <c r="C2270" s="1">
        <v>45043</v>
      </c>
      <c r="D2270">
        <v>6.9225000000000003</v>
      </c>
      <c r="E2270" s="1">
        <v>45043</v>
      </c>
      <c r="F2270">
        <v>6.9225000000000003</v>
      </c>
    </row>
    <row r="2271" spans="1:6" x14ac:dyDescent="0.25">
      <c r="A2271" s="1">
        <v>44819</v>
      </c>
      <c r="B2271">
        <v>7.0130999999999997</v>
      </c>
      <c r="C2271" s="1">
        <v>45044</v>
      </c>
      <c r="D2271">
        <v>6.9126000000000003</v>
      </c>
      <c r="E2271" s="1">
        <v>45044</v>
      </c>
      <c r="F2271">
        <v>6.9126000000000003</v>
      </c>
    </row>
    <row r="2272" spans="1:6" x14ac:dyDescent="0.25">
      <c r="A2272" s="1">
        <v>44820</v>
      </c>
      <c r="B2272">
        <v>6.9996999999999998</v>
      </c>
      <c r="C2272" s="1">
        <v>45050</v>
      </c>
      <c r="D2272">
        <v>6.9112999999999998</v>
      </c>
      <c r="E2272" s="1">
        <v>45050</v>
      </c>
      <c r="F2272">
        <v>6.9112999999999998</v>
      </c>
    </row>
    <row r="2273" spans="1:6" x14ac:dyDescent="0.25">
      <c r="A2273" s="1">
        <v>44823</v>
      </c>
      <c r="B2273">
        <v>7.0048000000000004</v>
      </c>
      <c r="C2273" s="1">
        <v>45051</v>
      </c>
      <c r="D2273">
        <v>6.9093999999999998</v>
      </c>
      <c r="E2273" s="1">
        <v>45051</v>
      </c>
      <c r="F2273">
        <v>6.9093999999999998</v>
      </c>
    </row>
    <row r="2274" spans="1:6" x14ac:dyDescent="0.25">
      <c r="A2274" s="1">
        <v>44824</v>
      </c>
      <c r="B2274">
        <v>7.0305</v>
      </c>
      <c r="C2274" s="1">
        <v>45054</v>
      </c>
      <c r="D2274">
        <v>6.9142000000000001</v>
      </c>
      <c r="E2274" s="1">
        <v>45054</v>
      </c>
      <c r="F2274">
        <v>6.9142000000000001</v>
      </c>
    </row>
    <row r="2275" spans="1:6" x14ac:dyDescent="0.25">
      <c r="A2275" s="1">
        <v>44825</v>
      </c>
      <c r="B2275">
        <v>7.0751999999999997</v>
      </c>
      <c r="C2275" s="1">
        <v>45055</v>
      </c>
      <c r="D2275">
        <v>6.9203999999999999</v>
      </c>
      <c r="E2275" s="1">
        <v>45055</v>
      </c>
      <c r="F2275">
        <v>6.9203999999999999</v>
      </c>
    </row>
    <row r="2276" spans="1:6" x14ac:dyDescent="0.25">
      <c r="A2276" s="1">
        <v>44826</v>
      </c>
      <c r="B2276">
        <v>7.0819000000000001</v>
      </c>
      <c r="C2276" s="1">
        <v>45056</v>
      </c>
      <c r="D2276">
        <v>6.9303999999999997</v>
      </c>
      <c r="E2276" s="1">
        <v>45056</v>
      </c>
      <c r="F2276">
        <v>6.9303999999999997</v>
      </c>
    </row>
    <row r="2277" spans="1:6" x14ac:dyDescent="0.25">
      <c r="A2277" s="1">
        <v>44827</v>
      </c>
      <c r="B2277">
        <v>7.1376999999999997</v>
      </c>
      <c r="C2277" s="1">
        <v>45057</v>
      </c>
      <c r="D2277">
        <v>6.9489000000000001</v>
      </c>
      <c r="E2277" s="1">
        <v>45057</v>
      </c>
      <c r="F2277">
        <v>6.9489000000000001</v>
      </c>
    </row>
    <row r="2278" spans="1:6" x14ac:dyDescent="0.25">
      <c r="A2278" s="1">
        <v>44830</v>
      </c>
      <c r="B2278">
        <v>7.1738999999999997</v>
      </c>
      <c r="C2278" s="1">
        <v>45058</v>
      </c>
      <c r="D2278">
        <v>6.9591000000000003</v>
      </c>
      <c r="E2278" s="1">
        <v>45058</v>
      </c>
      <c r="F2278">
        <v>6.9591000000000003</v>
      </c>
    </row>
    <row r="2279" spans="1:6" x14ac:dyDescent="0.25">
      <c r="A2279" s="1">
        <v>44831</v>
      </c>
      <c r="B2279">
        <v>7.1794000000000002</v>
      </c>
      <c r="C2279" s="1">
        <v>45061</v>
      </c>
      <c r="D2279">
        <v>6.9516999999999998</v>
      </c>
      <c r="E2279" s="1">
        <v>45061</v>
      </c>
      <c r="F2279">
        <v>6.9516999999999998</v>
      </c>
    </row>
    <row r="2280" spans="1:6" x14ac:dyDescent="0.25">
      <c r="A2280" s="1">
        <v>44832</v>
      </c>
      <c r="B2280">
        <v>7.1623999999999999</v>
      </c>
      <c r="C2280" s="1">
        <v>45062</v>
      </c>
      <c r="D2280">
        <v>6.9772999999999996</v>
      </c>
      <c r="E2280" s="1">
        <v>45062</v>
      </c>
      <c r="F2280">
        <v>6.9772999999999996</v>
      </c>
    </row>
    <row r="2281" spans="1:6" x14ac:dyDescent="0.25">
      <c r="A2281" s="1">
        <v>44833</v>
      </c>
      <c r="B2281">
        <v>7.0978000000000003</v>
      </c>
      <c r="C2281" s="1">
        <v>45063</v>
      </c>
      <c r="D2281">
        <v>6.9965000000000002</v>
      </c>
      <c r="E2281" s="1">
        <v>45063</v>
      </c>
      <c r="F2281">
        <v>6.9965000000000002</v>
      </c>
    </row>
    <row r="2282" spans="1:6" x14ac:dyDescent="0.25">
      <c r="A2282" s="1">
        <v>44834</v>
      </c>
      <c r="B2282">
        <v>7.1418999999999997</v>
      </c>
      <c r="C2282" s="1">
        <v>45064</v>
      </c>
      <c r="D2282">
        <v>7.0374999999999996</v>
      </c>
      <c r="E2282" s="1">
        <v>45064</v>
      </c>
      <c r="F2282">
        <v>7.0374999999999996</v>
      </c>
    </row>
    <row r="2283" spans="1:6" x14ac:dyDescent="0.25">
      <c r="A2283" s="1">
        <v>44837</v>
      </c>
      <c r="B2283">
        <v>7.1045999999999996</v>
      </c>
      <c r="C2283" s="1">
        <v>45065</v>
      </c>
      <c r="D2283">
        <v>7.0119999999999996</v>
      </c>
      <c r="E2283" s="1">
        <v>45065</v>
      </c>
      <c r="F2283">
        <v>7.0119999999999996</v>
      </c>
    </row>
    <row r="2284" spans="1:6" x14ac:dyDescent="0.25">
      <c r="A2284" s="1">
        <v>44838</v>
      </c>
      <c r="B2284">
        <v>7.0415999999999999</v>
      </c>
      <c r="C2284" s="1">
        <v>45068</v>
      </c>
      <c r="D2284">
        <v>7.032</v>
      </c>
      <c r="E2284" s="1">
        <v>45068</v>
      </c>
      <c r="F2284">
        <v>7.032</v>
      </c>
    </row>
    <row r="2285" spans="1:6" x14ac:dyDescent="0.25">
      <c r="A2285" s="1">
        <v>44839</v>
      </c>
      <c r="B2285">
        <v>7.0683999999999996</v>
      </c>
      <c r="C2285" s="1">
        <v>45069</v>
      </c>
      <c r="D2285">
        <v>7.056</v>
      </c>
      <c r="E2285" s="1">
        <v>45069</v>
      </c>
      <c r="F2285">
        <v>7.056</v>
      </c>
    </row>
    <row r="2286" spans="1:6" x14ac:dyDescent="0.25">
      <c r="A2286" s="1">
        <v>44840</v>
      </c>
      <c r="B2286">
        <v>7.0837000000000003</v>
      </c>
      <c r="C2286" s="1">
        <v>45070</v>
      </c>
      <c r="D2286">
        <v>7.0609000000000002</v>
      </c>
      <c r="E2286" s="1">
        <v>45070</v>
      </c>
      <c r="F2286">
        <v>7.0609000000000002</v>
      </c>
    </row>
    <row r="2287" spans="1:6" x14ac:dyDescent="0.25">
      <c r="A2287" s="1">
        <v>44841</v>
      </c>
      <c r="B2287">
        <v>7.1336000000000004</v>
      </c>
      <c r="C2287" s="1">
        <v>45071</v>
      </c>
      <c r="D2287">
        <v>7.0792000000000002</v>
      </c>
      <c r="E2287" s="1">
        <v>45071</v>
      </c>
      <c r="F2287">
        <v>7.0792000000000002</v>
      </c>
    </row>
    <row r="2288" spans="1:6" x14ac:dyDescent="0.25">
      <c r="A2288" s="1">
        <v>44844</v>
      </c>
      <c r="B2288">
        <v>7.1536</v>
      </c>
      <c r="C2288" s="1">
        <v>45072</v>
      </c>
      <c r="D2288">
        <v>7.0640000000000001</v>
      </c>
      <c r="E2288" s="1">
        <v>45072</v>
      </c>
      <c r="F2288">
        <v>7.0640000000000001</v>
      </c>
    </row>
    <row r="2289" spans="1:6" x14ac:dyDescent="0.25">
      <c r="A2289" s="1">
        <v>44845</v>
      </c>
      <c r="B2289">
        <v>7.1733000000000002</v>
      </c>
      <c r="C2289" s="1">
        <v>45075</v>
      </c>
      <c r="D2289">
        <v>7.0711000000000004</v>
      </c>
      <c r="E2289" s="1">
        <v>45075</v>
      </c>
      <c r="F2289">
        <v>7.0711000000000004</v>
      </c>
    </row>
    <row r="2290" spans="1:6" x14ac:dyDescent="0.25">
      <c r="A2290" s="1">
        <v>44846</v>
      </c>
      <c r="B2290">
        <v>7.1749999999999998</v>
      </c>
      <c r="C2290" s="1">
        <v>45076</v>
      </c>
      <c r="D2290">
        <v>7.0799000000000003</v>
      </c>
      <c r="E2290" s="1">
        <v>45076</v>
      </c>
      <c r="F2290">
        <v>7.0799000000000003</v>
      </c>
    </row>
    <row r="2291" spans="1:6" x14ac:dyDescent="0.25">
      <c r="A2291" s="1">
        <v>44847</v>
      </c>
      <c r="B2291">
        <v>7.1772999999999998</v>
      </c>
      <c r="C2291" s="1">
        <v>45077</v>
      </c>
      <c r="D2291">
        <v>7.1085000000000003</v>
      </c>
      <c r="E2291" s="1">
        <v>45077</v>
      </c>
      <c r="F2291">
        <v>7.1085000000000003</v>
      </c>
    </row>
    <row r="2292" spans="1:6" x14ac:dyDescent="0.25">
      <c r="A2292" s="1">
        <v>44848</v>
      </c>
      <c r="B2292">
        <v>7.2202999999999999</v>
      </c>
      <c r="C2292" s="1">
        <v>45078</v>
      </c>
      <c r="D2292">
        <v>7.0975999999999999</v>
      </c>
      <c r="E2292" s="1">
        <v>45078</v>
      </c>
      <c r="F2292">
        <v>7.0975999999999999</v>
      </c>
    </row>
    <row r="2293" spans="1:6" x14ac:dyDescent="0.25">
      <c r="A2293" s="1">
        <v>44851</v>
      </c>
      <c r="B2293">
        <v>7.2091000000000003</v>
      </c>
      <c r="C2293" s="1">
        <v>45079</v>
      </c>
      <c r="D2293">
        <v>7.0986000000000002</v>
      </c>
      <c r="E2293" s="1">
        <v>45079</v>
      </c>
      <c r="F2293">
        <v>7.0986000000000002</v>
      </c>
    </row>
    <row r="2294" spans="1:6" x14ac:dyDescent="0.25">
      <c r="A2294" s="1">
        <v>44852</v>
      </c>
      <c r="B2294">
        <v>7.2241</v>
      </c>
      <c r="C2294" s="1">
        <v>45082</v>
      </c>
      <c r="D2294">
        <v>7.1022999999999996</v>
      </c>
      <c r="E2294" s="1">
        <v>45082</v>
      </c>
      <c r="F2294">
        <v>7.1022999999999996</v>
      </c>
    </row>
    <row r="2295" spans="1:6" x14ac:dyDescent="0.25">
      <c r="A2295" s="1">
        <v>44853</v>
      </c>
      <c r="B2295">
        <v>7.2683</v>
      </c>
      <c r="C2295" s="1">
        <v>45083</v>
      </c>
      <c r="D2295">
        <v>7.1176000000000004</v>
      </c>
      <c r="E2295" s="1">
        <v>45083</v>
      </c>
      <c r="F2295">
        <v>7.1176000000000004</v>
      </c>
    </row>
    <row r="2296" spans="1:6" x14ac:dyDescent="0.25">
      <c r="A2296" s="1">
        <v>44854</v>
      </c>
      <c r="B2296">
        <v>7.2535999999999996</v>
      </c>
      <c r="C2296" s="1">
        <v>45084</v>
      </c>
      <c r="D2296">
        <v>7.1349999999999998</v>
      </c>
      <c r="E2296" s="1">
        <v>45084</v>
      </c>
      <c r="F2296">
        <v>7.1349999999999998</v>
      </c>
    </row>
    <row r="2297" spans="1:6" x14ac:dyDescent="0.25">
      <c r="A2297" s="1">
        <v>44855</v>
      </c>
      <c r="B2297">
        <v>7.2298999999999998</v>
      </c>
      <c r="C2297" s="1">
        <v>45085</v>
      </c>
      <c r="D2297">
        <v>7.1117999999999997</v>
      </c>
      <c r="E2297" s="1">
        <v>45085</v>
      </c>
      <c r="F2297">
        <v>7.1117999999999997</v>
      </c>
    </row>
    <row r="2298" spans="1:6" x14ac:dyDescent="0.25">
      <c r="A2298" s="1">
        <v>44858</v>
      </c>
      <c r="B2298">
        <v>7.3263999999999996</v>
      </c>
      <c r="C2298" s="1">
        <v>45086</v>
      </c>
      <c r="D2298">
        <v>7.1304999999999996</v>
      </c>
      <c r="E2298" s="1">
        <v>45086</v>
      </c>
      <c r="F2298">
        <v>7.1304999999999996</v>
      </c>
    </row>
    <row r="2299" spans="1:6" x14ac:dyDescent="0.25">
      <c r="A2299" s="1">
        <v>44859</v>
      </c>
      <c r="B2299">
        <v>7.3140000000000001</v>
      </c>
      <c r="C2299" s="1">
        <v>45089</v>
      </c>
      <c r="D2299">
        <v>7.1463999999999999</v>
      </c>
      <c r="E2299" s="1">
        <v>45089</v>
      </c>
      <c r="F2299">
        <v>7.1463999999999999</v>
      </c>
    </row>
    <row r="2300" spans="1:6" x14ac:dyDescent="0.25">
      <c r="A2300" s="1">
        <v>44860</v>
      </c>
      <c r="B2300">
        <v>7.1875</v>
      </c>
      <c r="C2300" s="1">
        <v>45090</v>
      </c>
      <c r="D2300">
        <v>7.1661999999999999</v>
      </c>
      <c r="E2300" s="1">
        <v>45090</v>
      </c>
      <c r="F2300">
        <v>7.1661999999999999</v>
      </c>
    </row>
    <row r="2301" spans="1:6" x14ac:dyDescent="0.25">
      <c r="A2301" s="1">
        <v>44861</v>
      </c>
      <c r="B2301">
        <v>7.2525000000000004</v>
      </c>
      <c r="C2301" s="1">
        <v>45091</v>
      </c>
      <c r="D2301">
        <v>7.1618000000000004</v>
      </c>
      <c r="E2301" s="1">
        <v>45091</v>
      </c>
      <c r="F2301">
        <v>7.1618000000000004</v>
      </c>
    </row>
    <row r="2302" spans="1:6" x14ac:dyDescent="0.25">
      <c r="A2302" s="1">
        <v>44862</v>
      </c>
      <c r="B2302">
        <v>7.2671999999999999</v>
      </c>
      <c r="C2302" s="1">
        <v>45092</v>
      </c>
      <c r="D2302">
        <v>7.1210000000000004</v>
      </c>
      <c r="E2302" s="1">
        <v>45092</v>
      </c>
      <c r="F2302">
        <v>7.1210000000000004</v>
      </c>
    </row>
    <row r="2303" spans="1:6" x14ac:dyDescent="0.25">
      <c r="A2303" s="1">
        <v>44865</v>
      </c>
      <c r="B2303">
        <v>7.3362999999999996</v>
      </c>
      <c r="C2303" s="1">
        <v>45093</v>
      </c>
      <c r="D2303">
        <v>7.1269</v>
      </c>
      <c r="E2303" s="1">
        <v>45093</v>
      </c>
      <c r="F2303">
        <v>7.1269</v>
      </c>
    </row>
    <row r="2304" spans="1:6" x14ac:dyDescent="0.25">
      <c r="A2304" s="1">
        <v>44866</v>
      </c>
      <c r="B2304">
        <v>7.3083999999999998</v>
      </c>
      <c r="C2304" s="1">
        <v>45096</v>
      </c>
      <c r="D2304">
        <v>7.1634000000000002</v>
      </c>
      <c r="E2304" s="1">
        <v>45096</v>
      </c>
      <c r="F2304">
        <v>7.1634000000000002</v>
      </c>
    </row>
    <row r="2305" spans="1:6" x14ac:dyDescent="0.25">
      <c r="A2305" s="1">
        <v>44867</v>
      </c>
      <c r="B2305">
        <v>7.343</v>
      </c>
      <c r="C2305" s="1">
        <v>45097</v>
      </c>
      <c r="D2305">
        <v>7.1809000000000003</v>
      </c>
      <c r="E2305" s="1">
        <v>45097</v>
      </c>
      <c r="F2305">
        <v>7.1809000000000003</v>
      </c>
    </row>
    <row r="2306" spans="1:6" x14ac:dyDescent="0.25">
      <c r="A2306" s="1">
        <v>44868</v>
      </c>
      <c r="B2306">
        <v>7.3316999999999997</v>
      </c>
      <c r="C2306" s="1">
        <v>45098</v>
      </c>
      <c r="D2306">
        <v>7.1794000000000002</v>
      </c>
      <c r="E2306" s="1">
        <v>45098</v>
      </c>
      <c r="F2306">
        <v>7.1794000000000002</v>
      </c>
    </row>
    <row r="2307" spans="1:6" x14ac:dyDescent="0.25">
      <c r="A2307" s="1">
        <v>44869</v>
      </c>
      <c r="B2307">
        <v>7.1864999999999997</v>
      </c>
      <c r="C2307" s="1">
        <v>45103</v>
      </c>
      <c r="D2307">
        <v>7.2401</v>
      </c>
      <c r="E2307" s="1">
        <v>45103</v>
      </c>
      <c r="F2307">
        <v>7.2401</v>
      </c>
    </row>
    <row r="2308" spans="1:6" x14ac:dyDescent="0.25">
      <c r="A2308" s="1">
        <v>44872</v>
      </c>
      <c r="B2308">
        <v>7.2298</v>
      </c>
      <c r="C2308" s="1">
        <v>45104</v>
      </c>
      <c r="D2308">
        <v>7.2241999999999997</v>
      </c>
      <c r="E2308" s="1">
        <v>45104</v>
      </c>
      <c r="F2308">
        <v>7.2241999999999997</v>
      </c>
    </row>
    <row r="2309" spans="1:6" x14ac:dyDescent="0.25">
      <c r="A2309" s="1">
        <v>44873</v>
      </c>
      <c r="B2309">
        <v>7.2302</v>
      </c>
      <c r="C2309" s="1">
        <v>45105</v>
      </c>
      <c r="D2309">
        <v>7.2393000000000001</v>
      </c>
      <c r="E2309" s="1">
        <v>45105</v>
      </c>
      <c r="F2309">
        <v>7.2393000000000001</v>
      </c>
    </row>
    <row r="2310" spans="1:6" x14ac:dyDescent="0.25">
      <c r="A2310" s="1">
        <v>44874</v>
      </c>
      <c r="B2310">
        <v>7.2740999999999998</v>
      </c>
      <c r="C2310" s="1">
        <v>45106</v>
      </c>
      <c r="D2310">
        <v>7.2474999999999996</v>
      </c>
      <c r="E2310" s="1">
        <v>45106</v>
      </c>
      <c r="F2310">
        <v>7.2474999999999996</v>
      </c>
    </row>
    <row r="2311" spans="1:6" x14ac:dyDescent="0.25">
      <c r="A2311" s="1">
        <v>44875</v>
      </c>
      <c r="B2311">
        <v>7.1520999999999999</v>
      </c>
      <c r="C2311" s="1">
        <v>45107</v>
      </c>
      <c r="D2311">
        <v>7.2537000000000003</v>
      </c>
      <c r="E2311" s="1">
        <v>45107</v>
      </c>
      <c r="F2311">
        <v>7.2537000000000003</v>
      </c>
    </row>
    <row r="2312" spans="1:6" x14ac:dyDescent="0.25">
      <c r="A2312" s="1">
        <v>44876</v>
      </c>
      <c r="B2312">
        <v>7.0919999999999996</v>
      </c>
      <c r="C2312" s="1">
        <v>45110</v>
      </c>
      <c r="D2312">
        <v>7.2468000000000004</v>
      </c>
      <c r="E2312" s="1">
        <v>45110</v>
      </c>
      <c r="F2312">
        <v>7.2468000000000004</v>
      </c>
    </row>
    <row r="2313" spans="1:6" x14ac:dyDescent="0.25">
      <c r="A2313" s="1">
        <v>44879</v>
      </c>
      <c r="B2313">
        <v>7.0416999999999996</v>
      </c>
      <c r="C2313" s="1">
        <v>45111</v>
      </c>
      <c r="D2313">
        <v>7.2161999999999997</v>
      </c>
      <c r="E2313" s="1">
        <v>45111</v>
      </c>
      <c r="F2313">
        <v>7.2161999999999997</v>
      </c>
    </row>
    <row r="2314" spans="1:6" x14ac:dyDescent="0.25">
      <c r="A2314" s="1">
        <v>44880</v>
      </c>
      <c r="B2314">
        <v>7.0484</v>
      </c>
      <c r="C2314" s="1">
        <v>45112</v>
      </c>
      <c r="D2314">
        <v>7.2504999999999997</v>
      </c>
      <c r="E2314" s="1">
        <v>45112</v>
      </c>
      <c r="F2314">
        <v>7.2504999999999997</v>
      </c>
    </row>
    <row r="2315" spans="1:6" x14ac:dyDescent="0.25">
      <c r="A2315" s="1">
        <v>44881</v>
      </c>
      <c r="B2315">
        <v>7.1078000000000001</v>
      </c>
      <c r="C2315" s="1">
        <v>45113</v>
      </c>
      <c r="D2315">
        <v>7.2488000000000001</v>
      </c>
      <c r="E2315" s="1">
        <v>45113</v>
      </c>
      <c r="F2315">
        <v>7.2488000000000001</v>
      </c>
    </row>
    <row r="2316" spans="1:6" x14ac:dyDescent="0.25">
      <c r="A2316" s="1">
        <v>44882</v>
      </c>
      <c r="B2316">
        <v>7.1478000000000002</v>
      </c>
      <c r="C2316" s="1">
        <v>45114</v>
      </c>
      <c r="D2316">
        <v>7.2253999999999996</v>
      </c>
      <c r="E2316" s="1">
        <v>45114</v>
      </c>
      <c r="F2316">
        <v>7.2253999999999996</v>
      </c>
    </row>
    <row r="2317" spans="1:6" x14ac:dyDescent="0.25">
      <c r="A2317" s="1">
        <v>44883</v>
      </c>
      <c r="B2317">
        <v>7.1264000000000003</v>
      </c>
      <c r="C2317" s="1">
        <v>45117</v>
      </c>
      <c r="D2317">
        <v>7.226</v>
      </c>
      <c r="E2317" s="1">
        <v>45117</v>
      </c>
      <c r="F2317">
        <v>7.226</v>
      </c>
    </row>
    <row r="2318" spans="1:6" x14ac:dyDescent="0.25">
      <c r="A2318" s="1">
        <v>44886</v>
      </c>
      <c r="B2318">
        <v>7.1798999999999999</v>
      </c>
      <c r="C2318" s="1">
        <v>45118</v>
      </c>
      <c r="D2318">
        <v>7.2098000000000004</v>
      </c>
      <c r="E2318" s="1">
        <v>45118</v>
      </c>
      <c r="F2318">
        <v>7.2098000000000004</v>
      </c>
    </row>
    <row r="2319" spans="1:6" x14ac:dyDescent="0.25">
      <c r="A2319" s="1">
        <v>44887</v>
      </c>
      <c r="B2319">
        <v>7.1367000000000003</v>
      </c>
      <c r="C2319" s="1">
        <v>45119</v>
      </c>
      <c r="D2319">
        <v>7.1654999999999998</v>
      </c>
      <c r="E2319" s="1">
        <v>45119</v>
      </c>
      <c r="F2319">
        <v>7.1654999999999998</v>
      </c>
    </row>
    <row r="2320" spans="1:6" x14ac:dyDescent="0.25">
      <c r="A2320" s="1">
        <v>44888</v>
      </c>
      <c r="B2320">
        <v>7.1538000000000004</v>
      </c>
      <c r="C2320" s="1">
        <v>45120</v>
      </c>
      <c r="D2320">
        <v>7.1493000000000002</v>
      </c>
      <c r="E2320" s="1">
        <v>45120</v>
      </c>
      <c r="F2320">
        <v>7.1493000000000002</v>
      </c>
    </row>
    <row r="2321" spans="1:6" x14ac:dyDescent="0.25">
      <c r="A2321" s="1">
        <v>44889</v>
      </c>
      <c r="B2321">
        <v>7.1694000000000004</v>
      </c>
      <c r="C2321" s="1">
        <v>45121</v>
      </c>
      <c r="D2321">
        <v>7.1420000000000003</v>
      </c>
      <c r="E2321" s="1">
        <v>45121</v>
      </c>
      <c r="F2321">
        <v>7.1420000000000003</v>
      </c>
    </row>
    <row r="2322" spans="1:6" x14ac:dyDescent="0.25">
      <c r="A2322" s="1">
        <v>44890</v>
      </c>
      <c r="B2322">
        <v>7.194</v>
      </c>
      <c r="C2322" s="1">
        <v>45124</v>
      </c>
      <c r="D2322">
        <v>7.1734999999999998</v>
      </c>
      <c r="E2322" s="1">
        <v>45124</v>
      </c>
      <c r="F2322">
        <v>7.1734999999999998</v>
      </c>
    </row>
    <row r="2323" spans="1:6" x14ac:dyDescent="0.25">
      <c r="A2323" s="1">
        <v>44893</v>
      </c>
      <c r="B2323">
        <v>7.2473999999999998</v>
      </c>
      <c r="C2323" s="1">
        <v>45125</v>
      </c>
      <c r="D2323">
        <v>7.1863999999999999</v>
      </c>
      <c r="E2323" s="1">
        <v>45125</v>
      </c>
      <c r="F2323">
        <v>7.1863999999999999</v>
      </c>
    </row>
    <row r="2324" spans="1:6" x14ac:dyDescent="0.25">
      <c r="A2324" s="1">
        <v>44894</v>
      </c>
      <c r="B2324">
        <v>7.1406000000000001</v>
      </c>
      <c r="C2324" s="1">
        <v>45126</v>
      </c>
      <c r="D2324">
        <v>7.2232000000000003</v>
      </c>
      <c r="E2324" s="1">
        <v>45126</v>
      </c>
      <c r="F2324">
        <v>7.2232000000000003</v>
      </c>
    </row>
    <row r="2325" spans="1:6" x14ac:dyDescent="0.25">
      <c r="A2325" s="1">
        <v>44895</v>
      </c>
      <c r="B2325">
        <v>7.0457000000000001</v>
      </c>
      <c r="C2325" s="1">
        <v>45127</v>
      </c>
      <c r="D2325">
        <v>7.1795999999999998</v>
      </c>
      <c r="E2325" s="1">
        <v>45127</v>
      </c>
      <c r="F2325">
        <v>7.1795999999999998</v>
      </c>
    </row>
    <row r="2326" spans="1:6" x14ac:dyDescent="0.25">
      <c r="A2326" s="1">
        <v>44896</v>
      </c>
      <c r="B2326">
        <v>7.0385</v>
      </c>
      <c r="C2326" s="1">
        <v>45128</v>
      </c>
      <c r="D2326">
        <v>7.1875999999999998</v>
      </c>
      <c r="E2326" s="1">
        <v>45128</v>
      </c>
      <c r="F2326">
        <v>7.1875999999999998</v>
      </c>
    </row>
    <row r="2327" spans="1:6" x14ac:dyDescent="0.25">
      <c r="A2327" s="1">
        <v>44897</v>
      </c>
      <c r="B2327">
        <v>7.0209999999999999</v>
      </c>
      <c r="C2327" s="1">
        <v>45131</v>
      </c>
      <c r="D2327">
        <v>7.1874000000000002</v>
      </c>
      <c r="E2327" s="1">
        <v>45131</v>
      </c>
      <c r="F2327">
        <v>7.1874000000000002</v>
      </c>
    </row>
    <row r="2328" spans="1:6" x14ac:dyDescent="0.25">
      <c r="A2328" s="1">
        <v>44900</v>
      </c>
      <c r="B2328">
        <v>6.9749999999999996</v>
      </c>
      <c r="C2328" s="1">
        <v>45132</v>
      </c>
      <c r="D2328">
        <v>7.1363000000000003</v>
      </c>
      <c r="E2328" s="1">
        <v>45132</v>
      </c>
      <c r="F2328">
        <v>7.1363000000000003</v>
      </c>
    </row>
    <row r="2329" spans="1:6" x14ac:dyDescent="0.25">
      <c r="A2329" s="1">
        <v>44901</v>
      </c>
      <c r="B2329">
        <v>6.9806999999999997</v>
      </c>
      <c r="C2329" s="1">
        <v>45133</v>
      </c>
      <c r="D2329">
        <v>7.1430999999999996</v>
      </c>
      <c r="E2329" s="1">
        <v>45133</v>
      </c>
      <c r="F2329">
        <v>7.1430999999999996</v>
      </c>
    </row>
    <row r="2330" spans="1:6" x14ac:dyDescent="0.25">
      <c r="A2330" s="1">
        <v>44902</v>
      </c>
      <c r="B2330">
        <v>6.9619</v>
      </c>
      <c r="C2330" s="1">
        <v>45134</v>
      </c>
      <c r="D2330">
        <v>7.1675000000000004</v>
      </c>
      <c r="E2330" s="1">
        <v>45134</v>
      </c>
      <c r="F2330">
        <v>7.1675000000000004</v>
      </c>
    </row>
    <row r="2331" spans="1:6" x14ac:dyDescent="0.25">
      <c r="A2331" s="1">
        <v>44903</v>
      </c>
      <c r="B2331">
        <v>6.9612999999999996</v>
      </c>
      <c r="C2331" s="1">
        <v>45135</v>
      </c>
      <c r="D2331">
        <v>7.1485000000000003</v>
      </c>
      <c r="E2331" s="1">
        <v>45135</v>
      </c>
      <c r="F2331">
        <v>7.1485000000000003</v>
      </c>
    </row>
    <row r="2332" spans="1:6" x14ac:dyDescent="0.25">
      <c r="A2332" s="1">
        <v>44904</v>
      </c>
      <c r="B2332">
        <v>6.9642999999999997</v>
      </c>
      <c r="C2332" s="1">
        <v>45138</v>
      </c>
      <c r="D2332">
        <v>7.1428000000000003</v>
      </c>
      <c r="E2332" s="1">
        <v>45138</v>
      </c>
      <c r="F2332">
        <v>7.1428000000000003</v>
      </c>
    </row>
    <row r="2333" spans="1:6" x14ac:dyDescent="0.25">
      <c r="A2333" s="1">
        <v>44907</v>
      </c>
      <c r="B2333">
        <v>6.9897999999999998</v>
      </c>
      <c r="C2333" s="1">
        <v>45139</v>
      </c>
      <c r="D2333">
        <v>7.1776999999999997</v>
      </c>
      <c r="E2333" s="1">
        <v>45139</v>
      </c>
      <c r="F2333">
        <v>7.1776999999999997</v>
      </c>
    </row>
    <row r="2334" spans="1:6" x14ac:dyDescent="0.25">
      <c r="A2334" s="1">
        <v>44908</v>
      </c>
      <c r="B2334">
        <v>6.9638999999999998</v>
      </c>
      <c r="C2334" s="1">
        <v>45140</v>
      </c>
      <c r="D2334">
        <v>7.1916000000000002</v>
      </c>
      <c r="E2334" s="1">
        <v>45140</v>
      </c>
      <c r="F2334">
        <v>7.1916000000000002</v>
      </c>
    </row>
    <row r="2335" spans="1:6" x14ac:dyDescent="0.25">
      <c r="A2335" s="1">
        <v>44909</v>
      </c>
      <c r="B2335">
        <v>6.9429999999999996</v>
      </c>
      <c r="C2335" s="1">
        <v>45141</v>
      </c>
      <c r="D2335">
        <v>7.1696999999999997</v>
      </c>
      <c r="E2335" s="1">
        <v>45141</v>
      </c>
      <c r="F2335">
        <v>7.1696999999999997</v>
      </c>
    </row>
    <row r="2336" spans="1:6" x14ac:dyDescent="0.25">
      <c r="A2336" s="1">
        <v>44910</v>
      </c>
      <c r="B2336">
        <v>6.9912999999999998</v>
      </c>
      <c r="C2336" s="1">
        <v>45142</v>
      </c>
      <c r="D2336">
        <v>7.1729000000000003</v>
      </c>
      <c r="E2336" s="1">
        <v>45142</v>
      </c>
      <c r="F2336">
        <v>7.1729000000000003</v>
      </c>
    </row>
    <row r="2337" spans="1:6" x14ac:dyDescent="0.25">
      <c r="A2337" s="1">
        <v>44911</v>
      </c>
      <c r="B2337">
        <v>6.9774000000000003</v>
      </c>
      <c r="C2337" s="1">
        <v>45145</v>
      </c>
      <c r="D2337">
        <v>7.1931000000000003</v>
      </c>
      <c r="E2337" s="1">
        <v>45145</v>
      </c>
      <c r="F2337">
        <v>7.1931000000000003</v>
      </c>
    </row>
    <row r="2338" spans="1:6" x14ac:dyDescent="0.25">
      <c r="A2338" s="1">
        <v>44914</v>
      </c>
      <c r="B2338">
        <v>6.9861000000000004</v>
      </c>
      <c r="C2338" s="1">
        <v>45146</v>
      </c>
      <c r="D2338">
        <v>7.2186000000000003</v>
      </c>
      <c r="E2338" s="1">
        <v>45146</v>
      </c>
      <c r="F2338">
        <v>7.2186000000000003</v>
      </c>
    </row>
    <row r="2339" spans="1:6" x14ac:dyDescent="0.25">
      <c r="A2339" s="1">
        <v>44915</v>
      </c>
      <c r="B2339">
        <v>6.9614000000000003</v>
      </c>
      <c r="C2339" s="1">
        <v>45147</v>
      </c>
      <c r="D2339">
        <v>7.2107000000000001</v>
      </c>
      <c r="E2339" s="1">
        <v>45147</v>
      </c>
      <c r="F2339">
        <v>7.2107000000000001</v>
      </c>
    </row>
    <row r="2340" spans="1:6" x14ac:dyDescent="0.25">
      <c r="A2340" s="1">
        <v>44916</v>
      </c>
      <c r="B2340">
        <v>6.9863999999999997</v>
      </c>
      <c r="C2340" s="1">
        <v>45148</v>
      </c>
      <c r="D2340">
        <v>7.2187999999999999</v>
      </c>
      <c r="E2340" s="1">
        <v>45148</v>
      </c>
      <c r="F2340">
        <v>7.2187999999999999</v>
      </c>
    </row>
    <row r="2341" spans="1:6" x14ac:dyDescent="0.25">
      <c r="A2341" s="1">
        <v>44917</v>
      </c>
      <c r="B2341">
        <v>7.0095999999999998</v>
      </c>
      <c r="C2341" s="1">
        <v>45149</v>
      </c>
      <c r="D2341">
        <v>7.2396000000000003</v>
      </c>
      <c r="E2341" s="1">
        <v>45149</v>
      </c>
      <c r="F2341">
        <v>7.2396000000000003</v>
      </c>
    </row>
    <row r="2342" spans="1:6" x14ac:dyDescent="0.25">
      <c r="A2342" s="1">
        <v>44918</v>
      </c>
      <c r="B2342">
        <v>7.0030999999999999</v>
      </c>
      <c r="C2342" s="1">
        <v>45152</v>
      </c>
      <c r="D2342">
        <v>7.2572999999999999</v>
      </c>
      <c r="E2342" s="1">
        <v>45152</v>
      </c>
      <c r="F2342">
        <v>7.2572999999999999</v>
      </c>
    </row>
    <row r="2343" spans="1:6" x14ac:dyDescent="0.25">
      <c r="A2343" s="1">
        <v>44921</v>
      </c>
      <c r="B2343">
        <v>6.9757999999999996</v>
      </c>
      <c r="C2343" s="1">
        <v>45153</v>
      </c>
      <c r="D2343">
        <v>7.2884000000000002</v>
      </c>
      <c r="E2343" s="1">
        <v>45153</v>
      </c>
      <c r="F2343">
        <v>7.2884000000000002</v>
      </c>
    </row>
    <row r="2344" spans="1:6" x14ac:dyDescent="0.25">
      <c r="A2344" s="1">
        <v>44922</v>
      </c>
      <c r="B2344">
        <v>6.9668000000000001</v>
      </c>
      <c r="C2344" s="1">
        <v>45154</v>
      </c>
      <c r="D2344">
        <v>7.2984999999999998</v>
      </c>
      <c r="E2344" s="1">
        <v>45154</v>
      </c>
      <c r="F2344">
        <v>7.2984999999999998</v>
      </c>
    </row>
    <row r="2345" spans="1:6" x14ac:dyDescent="0.25">
      <c r="A2345" s="1">
        <v>44923</v>
      </c>
      <c r="B2345">
        <v>6.9969999999999999</v>
      </c>
      <c r="C2345" s="1">
        <v>45155</v>
      </c>
      <c r="D2345">
        <v>7.2866</v>
      </c>
      <c r="E2345" s="1">
        <v>45155</v>
      </c>
      <c r="F2345">
        <v>7.2866</v>
      </c>
    </row>
    <row r="2346" spans="1:6" x14ac:dyDescent="0.25">
      <c r="A2346" s="1">
        <v>44924</v>
      </c>
      <c r="B2346">
        <v>6.9737</v>
      </c>
      <c r="C2346" s="1">
        <v>45156</v>
      </c>
      <c r="D2346">
        <v>7.2845000000000004</v>
      </c>
      <c r="E2346" s="1">
        <v>45156</v>
      </c>
      <c r="F2346">
        <v>7.2845000000000004</v>
      </c>
    </row>
    <row r="2347" spans="1:6" x14ac:dyDescent="0.25">
      <c r="A2347" s="1">
        <v>44925</v>
      </c>
      <c r="B2347">
        <v>6.9219999999999997</v>
      </c>
      <c r="C2347" s="1">
        <v>45159</v>
      </c>
      <c r="D2347">
        <v>7.2831999999999999</v>
      </c>
      <c r="E2347" s="1">
        <v>45159</v>
      </c>
      <c r="F2347">
        <v>7.2831999999999999</v>
      </c>
    </row>
    <row r="2348" spans="1:6" x14ac:dyDescent="0.25">
      <c r="A2348" s="1">
        <v>44928</v>
      </c>
      <c r="B2348">
        <v>6.9269999999999996</v>
      </c>
      <c r="C2348" s="1">
        <v>45160</v>
      </c>
      <c r="D2348">
        <v>7.2939999999999996</v>
      </c>
      <c r="E2348" s="1">
        <v>45160</v>
      </c>
      <c r="F2348">
        <v>7.2939999999999996</v>
      </c>
    </row>
    <row r="2349" spans="1:6" x14ac:dyDescent="0.25">
      <c r="A2349" s="1">
        <v>44929</v>
      </c>
      <c r="B2349">
        <v>6.9237000000000002</v>
      </c>
      <c r="C2349" s="1">
        <v>45161</v>
      </c>
      <c r="D2349">
        <v>7.2785000000000002</v>
      </c>
      <c r="E2349" s="1">
        <v>45161</v>
      </c>
      <c r="F2349">
        <v>7.2785000000000002</v>
      </c>
    </row>
    <row r="2350" spans="1:6" x14ac:dyDescent="0.25">
      <c r="A2350" s="1">
        <v>44930</v>
      </c>
      <c r="B2350">
        <v>6.8994999999999997</v>
      </c>
      <c r="C2350" s="1">
        <v>45162</v>
      </c>
      <c r="D2350">
        <v>7.2798999999999996</v>
      </c>
      <c r="E2350" s="1">
        <v>45162</v>
      </c>
      <c r="F2350">
        <v>7.2798999999999996</v>
      </c>
    </row>
    <row r="2351" spans="1:6" x14ac:dyDescent="0.25">
      <c r="A2351" s="1">
        <v>44931</v>
      </c>
      <c r="B2351">
        <v>6.8883999999999999</v>
      </c>
      <c r="C2351" s="1">
        <v>45163</v>
      </c>
      <c r="D2351">
        <v>7.2872000000000003</v>
      </c>
      <c r="E2351" s="1">
        <v>45163</v>
      </c>
      <c r="F2351">
        <v>7.2872000000000003</v>
      </c>
    </row>
    <row r="2352" spans="1:6" x14ac:dyDescent="0.25">
      <c r="A2352" s="1">
        <v>44932</v>
      </c>
      <c r="B2352">
        <v>6.8303000000000003</v>
      </c>
      <c r="C2352" s="1">
        <v>45166</v>
      </c>
      <c r="D2352">
        <v>7.2888999999999999</v>
      </c>
      <c r="E2352" s="1">
        <v>45166</v>
      </c>
      <c r="F2352">
        <v>7.2888999999999999</v>
      </c>
    </row>
    <row r="2353" spans="1:6" x14ac:dyDescent="0.25">
      <c r="A2353" s="1">
        <v>44935</v>
      </c>
      <c r="B2353">
        <v>6.7820999999999998</v>
      </c>
      <c r="C2353" s="1">
        <v>45167</v>
      </c>
      <c r="D2353">
        <v>7.2807000000000004</v>
      </c>
      <c r="E2353" s="1">
        <v>45167</v>
      </c>
      <c r="F2353">
        <v>7.2807000000000004</v>
      </c>
    </row>
    <row r="2354" spans="1:6" x14ac:dyDescent="0.25">
      <c r="A2354" s="1">
        <v>44936</v>
      </c>
      <c r="B2354">
        <v>6.7847</v>
      </c>
      <c r="C2354" s="1">
        <v>45168</v>
      </c>
      <c r="D2354">
        <v>7.2869999999999999</v>
      </c>
      <c r="E2354" s="1">
        <v>45168</v>
      </c>
      <c r="F2354">
        <v>7.2869999999999999</v>
      </c>
    </row>
    <row r="2355" spans="1:6" x14ac:dyDescent="0.25">
      <c r="A2355" s="1">
        <v>44937</v>
      </c>
      <c r="B2355">
        <v>6.7678000000000003</v>
      </c>
      <c r="C2355" s="1">
        <v>45169</v>
      </c>
      <c r="D2355">
        <v>7.2587999999999999</v>
      </c>
      <c r="E2355" s="1">
        <v>45169</v>
      </c>
      <c r="F2355">
        <v>7.2587999999999999</v>
      </c>
    </row>
    <row r="2356" spans="1:6" x14ac:dyDescent="0.25">
      <c r="A2356" s="1">
        <v>44938</v>
      </c>
      <c r="B2356">
        <v>6.7266000000000004</v>
      </c>
      <c r="C2356" s="1">
        <v>45170</v>
      </c>
      <c r="D2356">
        <v>7.2663000000000002</v>
      </c>
      <c r="E2356" s="1">
        <v>45170</v>
      </c>
      <c r="F2356">
        <v>7.2663000000000002</v>
      </c>
    </row>
    <row r="2357" spans="1:6" x14ac:dyDescent="0.25">
      <c r="A2357" s="1">
        <v>44939</v>
      </c>
      <c r="B2357">
        <v>6.7138999999999998</v>
      </c>
      <c r="C2357" s="1">
        <v>45173</v>
      </c>
      <c r="D2357">
        <v>7.2746000000000004</v>
      </c>
      <c r="E2357" s="1">
        <v>45173</v>
      </c>
      <c r="F2357">
        <v>7.2746000000000004</v>
      </c>
    </row>
    <row r="2358" spans="1:6" x14ac:dyDescent="0.25">
      <c r="A2358" s="1">
        <v>44942</v>
      </c>
      <c r="B2358">
        <v>6.7427000000000001</v>
      </c>
      <c r="C2358" s="1">
        <v>45174</v>
      </c>
      <c r="D2358">
        <v>7.3033000000000001</v>
      </c>
      <c r="E2358" s="1">
        <v>45174</v>
      </c>
      <c r="F2358">
        <v>7.3033000000000001</v>
      </c>
    </row>
    <row r="2359" spans="1:6" x14ac:dyDescent="0.25">
      <c r="A2359" s="1">
        <v>44943</v>
      </c>
      <c r="B2359">
        <v>6.7698</v>
      </c>
      <c r="C2359" s="1">
        <v>45175</v>
      </c>
      <c r="D2359">
        <v>7.3179999999999996</v>
      </c>
      <c r="E2359" s="1">
        <v>45175</v>
      </c>
      <c r="F2359">
        <v>7.3179999999999996</v>
      </c>
    </row>
    <row r="2360" spans="1:6" x14ac:dyDescent="0.25">
      <c r="A2360" s="1">
        <v>44944</v>
      </c>
      <c r="B2360">
        <v>6.7690999999999999</v>
      </c>
      <c r="C2360" s="1">
        <v>45176</v>
      </c>
      <c r="D2360">
        <v>7.3291000000000004</v>
      </c>
      <c r="E2360" s="1">
        <v>45176</v>
      </c>
      <c r="F2360">
        <v>7.3291000000000004</v>
      </c>
    </row>
    <row r="2361" spans="1:6" x14ac:dyDescent="0.25">
      <c r="A2361" s="1">
        <v>44945</v>
      </c>
      <c r="B2361">
        <v>6.7706999999999997</v>
      </c>
      <c r="C2361" s="1">
        <v>45177</v>
      </c>
      <c r="D2361">
        <v>7.3438999999999997</v>
      </c>
      <c r="E2361" s="1">
        <v>45177</v>
      </c>
      <c r="F2361">
        <v>7.3438999999999997</v>
      </c>
    </row>
    <row r="2362" spans="1:6" x14ac:dyDescent="0.25">
      <c r="A2362" s="1">
        <v>44946</v>
      </c>
      <c r="B2362">
        <v>6.7812000000000001</v>
      </c>
      <c r="C2362" s="1">
        <v>45180</v>
      </c>
      <c r="D2362">
        <v>7.2891000000000004</v>
      </c>
      <c r="E2362" s="1">
        <v>45180</v>
      </c>
      <c r="F2362">
        <v>7.2891000000000004</v>
      </c>
    </row>
    <row r="2363" spans="1:6" x14ac:dyDescent="0.25">
      <c r="A2363" s="1">
        <v>44949</v>
      </c>
      <c r="B2363">
        <v>6.7765000000000004</v>
      </c>
      <c r="C2363" s="1">
        <v>45181</v>
      </c>
      <c r="D2363">
        <v>7.2923</v>
      </c>
      <c r="E2363" s="1">
        <v>45181</v>
      </c>
      <c r="F2363">
        <v>7.2923</v>
      </c>
    </row>
    <row r="2364" spans="1:6" x14ac:dyDescent="0.25">
      <c r="A2364" s="1">
        <v>44950</v>
      </c>
      <c r="B2364">
        <v>6.7839999999999998</v>
      </c>
      <c r="C2364" s="1">
        <v>45182</v>
      </c>
      <c r="D2364">
        <v>7.2717000000000001</v>
      </c>
      <c r="E2364" s="1">
        <v>45182</v>
      </c>
      <c r="F2364">
        <v>7.2717000000000001</v>
      </c>
    </row>
    <row r="2365" spans="1:6" x14ac:dyDescent="0.25">
      <c r="A2365" s="1">
        <v>44951</v>
      </c>
      <c r="B2365">
        <v>6.7721</v>
      </c>
      <c r="C2365" s="1">
        <v>45183</v>
      </c>
      <c r="D2365">
        <v>7.2789000000000001</v>
      </c>
      <c r="E2365" s="1">
        <v>45183</v>
      </c>
      <c r="F2365">
        <v>7.2789000000000001</v>
      </c>
    </row>
    <row r="2366" spans="1:6" x14ac:dyDescent="0.25">
      <c r="A2366" s="1">
        <v>44952</v>
      </c>
      <c r="B2366">
        <v>6.7370000000000001</v>
      </c>
      <c r="C2366" s="1">
        <v>45184</v>
      </c>
      <c r="D2366">
        <v>7.2758000000000003</v>
      </c>
      <c r="E2366" s="1">
        <v>45184</v>
      </c>
      <c r="F2366">
        <v>7.2758000000000003</v>
      </c>
    </row>
    <row r="2367" spans="1:6" x14ac:dyDescent="0.25">
      <c r="A2367" s="1">
        <v>44953</v>
      </c>
      <c r="B2367">
        <v>6.7568999999999999</v>
      </c>
      <c r="C2367" s="1">
        <v>45187</v>
      </c>
      <c r="D2367">
        <v>7.2911999999999999</v>
      </c>
      <c r="E2367" s="1">
        <v>45187</v>
      </c>
      <c r="F2367">
        <v>7.2911999999999999</v>
      </c>
    </row>
    <row r="2368" spans="1:6" x14ac:dyDescent="0.25">
      <c r="A2368" s="1">
        <v>44956</v>
      </c>
      <c r="B2368">
        <v>6.7565</v>
      </c>
      <c r="C2368" s="1">
        <v>45188</v>
      </c>
      <c r="D2368">
        <v>7.2972999999999999</v>
      </c>
      <c r="E2368" s="1">
        <v>45188</v>
      </c>
      <c r="F2368">
        <v>7.2972999999999999</v>
      </c>
    </row>
    <row r="2369" spans="1:6" x14ac:dyDescent="0.25">
      <c r="A2369" s="1">
        <v>44957</v>
      </c>
      <c r="B2369">
        <v>6.7568000000000001</v>
      </c>
      <c r="C2369" s="1">
        <v>45189</v>
      </c>
      <c r="D2369">
        <v>7.2862999999999998</v>
      </c>
      <c r="E2369" s="1">
        <v>45189</v>
      </c>
      <c r="F2369">
        <v>7.2862999999999998</v>
      </c>
    </row>
    <row r="2370" spans="1:6" x14ac:dyDescent="0.25">
      <c r="A2370" s="1">
        <v>44958</v>
      </c>
      <c r="B2370">
        <v>6.7195</v>
      </c>
      <c r="C2370" s="1">
        <v>45190</v>
      </c>
      <c r="D2370">
        <v>7.3064</v>
      </c>
      <c r="E2370" s="1">
        <v>45190</v>
      </c>
      <c r="F2370">
        <v>7.3064</v>
      </c>
    </row>
    <row r="2371" spans="1:6" x14ac:dyDescent="0.25">
      <c r="A2371" s="1">
        <v>44959</v>
      </c>
      <c r="B2371">
        <v>6.7377000000000002</v>
      </c>
      <c r="C2371" s="1">
        <v>45191</v>
      </c>
      <c r="D2371">
        <v>7.2990000000000004</v>
      </c>
      <c r="E2371" s="1">
        <v>45191</v>
      </c>
      <c r="F2371">
        <v>7.2990000000000004</v>
      </c>
    </row>
    <row r="2372" spans="1:6" x14ac:dyDescent="0.25">
      <c r="A2372" s="1">
        <v>44960</v>
      </c>
      <c r="B2372">
        <v>6.806</v>
      </c>
      <c r="C2372" s="1">
        <v>45194</v>
      </c>
      <c r="D2372">
        <v>7.3120000000000003</v>
      </c>
      <c r="E2372" s="1">
        <v>45194</v>
      </c>
      <c r="F2372">
        <v>7.3120000000000003</v>
      </c>
    </row>
    <row r="2373" spans="1:6" x14ac:dyDescent="0.25">
      <c r="A2373" s="1">
        <v>44963</v>
      </c>
      <c r="B2373">
        <v>6.8056000000000001</v>
      </c>
      <c r="C2373" s="1">
        <v>45195</v>
      </c>
      <c r="D2373">
        <v>7.3112000000000004</v>
      </c>
      <c r="E2373" s="1">
        <v>45195</v>
      </c>
      <c r="F2373">
        <v>7.3112000000000004</v>
      </c>
    </row>
    <row r="2374" spans="1:6" x14ac:dyDescent="0.25">
      <c r="A2374" s="1">
        <v>44964</v>
      </c>
      <c r="B2374">
        <v>6.7839</v>
      </c>
      <c r="C2374" s="1">
        <v>45196</v>
      </c>
      <c r="D2374">
        <v>7.3117999999999999</v>
      </c>
      <c r="E2374" s="1">
        <v>45196</v>
      </c>
      <c r="F2374">
        <v>7.3117999999999999</v>
      </c>
    </row>
    <row r="2375" spans="1:6" x14ac:dyDescent="0.25">
      <c r="A2375" s="1">
        <v>44965</v>
      </c>
      <c r="B2375">
        <v>6.7964000000000002</v>
      </c>
      <c r="C2375" s="1">
        <v>45197</v>
      </c>
      <c r="D2375">
        <v>7.298</v>
      </c>
      <c r="E2375" s="1">
        <v>45197</v>
      </c>
      <c r="F2375">
        <v>7.298</v>
      </c>
    </row>
    <row r="2376" spans="1:6" x14ac:dyDescent="0.25">
      <c r="A2376" s="1">
        <v>44966</v>
      </c>
      <c r="B2376">
        <v>6.7922000000000002</v>
      </c>
      <c r="C2376" s="1">
        <v>45208</v>
      </c>
      <c r="D2376">
        <v>7.2926000000000002</v>
      </c>
      <c r="E2376" s="1">
        <v>45208</v>
      </c>
      <c r="F2376">
        <v>7.2926000000000002</v>
      </c>
    </row>
    <row r="2377" spans="1:6" x14ac:dyDescent="0.25">
      <c r="A2377" s="1">
        <v>44967</v>
      </c>
      <c r="B2377">
        <v>6.8231000000000002</v>
      </c>
      <c r="C2377" s="1">
        <v>45209</v>
      </c>
      <c r="D2377">
        <v>7.2939999999999996</v>
      </c>
      <c r="E2377" s="1">
        <v>45209</v>
      </c>
      <c r="F2377">
        <v>7.2939999999999996</v>
      </c>
    </row>
    <row r="2378" spans="1:6" x14ac:dyDescent="0.25">
      <c r="A2378" s="1">
        <v>44970</v>
      </c>
      <c r="B2378">
        <v>6.8242000000000003</v>
      </c>
      <c r="C2378" s="1">
        <v>45210</v>
      </c>
      <c r="D2378">
        <v>7.3007</v>
      </c>
      <c r="E2378" s="1">
        <v>45210</v>
      </c>
      <c r="F2378">
        <v>7.3007</v>
      </c>
    </row>
    <row r="2379" spans="1:6" x14ac:dyDescent="0.25">
      <c r="A2379" s="1">
        <v>44971</v>
      </c>
      <c r="B2379">
        <v>6.8373999999999997</v>
      </c>
      <c r="C2379" s="1">
        <v>45211</v>
      </c>
      <c r="D2379">
        <v>7.306</v>
      </c>
      <c r="E2379" s="1">
        <v>45211</v>
      </c>
      <c r="F2379">
        <v>7.306</v>
      </c>
    </row>
    <row r="2380" spans="1:6" x14ac:dyDescent="0.25">
      <c r="A2380" s="1">
        <v>44972</v>
      </c>
      <c r="B2380">
        <v>6.8635999999999999</v>
      </c>
      <c r="C2380" s="1">
        <v>45212</v>
      </c>
      <c r="D2380">
        <v>7.3049999999999997</v>
      </c>
      <c r="E2380" s="1">
        <v>45212</v>
      </c>
      <c r="F2380">
        <v>7.3049999999999997</v>
      </c>
    </row>
    <row r="2381" spans="1:6" x14ac:dyDescent="0.25">
      <c r="A2381" s="1">
        <v>44973</v>
      </c>
      <c r="B2381">
        <v>6.8684000000000003</v>
      </c>
      <c r="C2381" s="1">
        <v>45215</v>
      </c>
      <c r="D2381">
        <v>7.3109999999999999</v>
      </c>
      <c r="E2381" s="1">
        <v>45215</v>
      </c>
      <c r="F2381">
        <v>7.3109999999999999</v>
      </c>
    </row>
    <row r="2382" spans="1:6" x14ac:dyDescent="0.25">
      <c r="A2382" s="1">
        <v>44974</v>
      </c>
      <c r="B2382">
        <v>6.8738000000000001</v>
      </c>
      <c r="C2382" s="1">
        <v>45216</v>
      </c>
      <c r="D2382">
        <v>7.3156999999999996</v>
      </c>
      <c r="E2382" s="1">
        <v>45216</v>
      </c>
      <c r="F2382">
        <v>7.3156999999999996</v>
      </c>
    </row>
    <row r="2383" spans="1:6" x14ac:dyDescent="0.25">
      <c r="A2383" s="1">
        <v>44977</v>
      </c>
      <c r="B2383">
        <v>6.8594999999999997</v>
      </c>
      <c r="C2383" s="1">
        <v>45217</v>
      </c>
      <c r="D2383">
        <v>7.3164999999999996</v>
      </c>
      <c r="E2383" s="1">
        <v>45217</v>
      </c>
      <c r="F2383">
        <v>7.3164999999999996</v>
      </c>
    </row>
    <row r="2384" spans="1:6" x14ac:dyDescent="0.25">
      <c r="A2384" s="1">
        <v>44978</v>
      </c>
      <c r="B2384">
        <v>6.8925999999999998</v>
      </c>
      <c r="C2384" s="1">
        <v>45218</v>
      </c>
      <c r="D2384">
        <v>7.3103999999999996</v>
      </c>
      <c r="E2384" s="1">
        <v>45218</v>
      </c>
      <c r="F2384">
        <v>7.3103999999999996</v>
      </c>
    </row>
    <row r="2385" spans="1:6" x14ac:dyDescent="0.25">
      <c r="A2385" s="1">
        <v>44979</v>
      </c>
      <c r="B2385">
        <v>6.9038000000000004</v>
      </c>
      <c r="C2385" s="1">
        <v>45219</v>
      </c>
      <c r="D2385">
        <v>7.3151000000000002</v>
      </c>
      <c r="E2385" s="1">
        <v>45219</v>
      </c>
      <c r="F2385">
        <v>7.3151000000000002</v>
      </c>
    </row>
    <row r="2386" spans="1:6" x14ac:dyDescent="0.25">
      <c r="A2386" s="1">
        <v>44980</v>
      </c>
      <c r="B2386">
        <v>6.9162999999999997</v>
      </c>
      <c r="C2386" s="1">
        <v>45222</v>
      </c>
      <c r="D2386">
        <v>7.3090000000000002</v>
      </c>
      <c r="E2386" s="1">
        <v>45222</v>
      </c>
      <c r="F2386">
        <v>7.3090000000000002</v>
      </c>
    </row>
    <row r="2387" spans="1:6" x14ac:dyDescent="0.25">
      <c r="A2387" s="1">
        <v>44981</v>
      </c>
      <c r="B2387">
        <v>6.9809999999999999</v>
      </c>
      <c r="C2387" s="1">
        <v>45223</v>
      </c>
      <c r="D2387">
        <v>7.3110999999999997</v>
      </c>
      <c r="E2387" s="1">
        <v>45223</v>
      </c>
      <c r="F2387">
        <v>7.3110999999999997</v>
      </c>
    </row>
    <row r="2388" spans="1:6" x14ac:dyDescent="0.25">
      <c r="A2388" s="1">
        <v>44984</v>
      </c>
      <c r="B2388">
        <v>6.9607999999999999</v>
      </c>
      <c r="C2388" s="1">
        <v>45224</v>
      </c>
      <c r="D2388">
        <v>7.3171999999999997</v>
      </c>
      <c r="E2388" s="1">
        <v>45224</v>
      </c>
      <c r="F2388">
        <v>7.3171999999999997</v>
      </c>
    </row>
    <row r="2389" spans="1:6" x14ac:dyDescent="0.25">
      <c r="A2389" s="1">
        <v>44985</v>
      </c>
      <c r="B2389">
        <v>6.9546000000000001</v>
      </c>
      <c r="C2389" s="1">
        <v>45225</v>
      </c>
      <c r="D2389">
        <v>7.3167999999999997</v>
      </c>
      <c r="E2389" s="1">
        <v>45225</v>
      </c>
      <c r="F2389">
        <v>7.3167999999999997</v>
      </c>
    </row>
    <row r="2390" spans="1:6" x14ac:dyDescent="0.25">
      <c r="A2390" s="1">
        <v>44986</v>
      </c>
      <c r="B2390">
        <v>6.8788999999999998</v>
      </c>
      <c r="C2390" s="1">
        <v>45226</v>
      </c>
      <c r="D2390">
        <v>7.3174000000000001</v>
      </c>
      <c r="E2390" s="1">
        <v>45226</v>
      </c>
      <c r="F2390">
        <v>7.3174000000000001</v>
      </c>
    </row>
    <row r="2391" spans="1:6" x14ac:dyDescent="0.25">
      <c r="A2391" s="1">
        <v>44987</v>
      </c>
      <c r="B2391">
        <v>6.9210000000000003</v>
      </c>
      <c r="C2391" s="1">
        <v>45229</v>
      </c>
      <c r="D2391">
        <v>7.3109999999999999</v>
      </c>
      <c r="E2391" s="1">
        <v>45229</v>
      </c>
      <c r="F2391">
        <v>7.3109999999999999</v>
      </c>
    </row>
    <row r="2392" spans="1:6" x14ac:dyDescent="0.25">
      <c r="A2392" s="1">
        <v>44988</v>
      </c>
      <c r="B2392">
        <v>6.8954000000000004</v>
      </c>
      <c r="C2392" s="1">
        <v>45230</v>
      </c>
      <c r="D2392">
        <v>7.3163999999999998</v>
      </c>
      <c r="E2392" s="1">
        <v>45230</v>
      </c>
      <c r="F2392">
        <v>7.3163999999999998</v>
      </c>
    </row>
    <row r="2393" spans="1:6" x14ac:dyDescent="0.25">
      <c r="A2393" s="1">
        <v>44991</v>
      </c>
      <c r="B2393">
        <v>6.9497999999999998</v>
      </c>
      <c r="C2393" s="1">
        <v>45231</v>
      </c>
      <c r="D2393">
        <v>7.3159999999999998</v>
      </c>
      <c r="E2393" s="1">
        <v>45231</v>
      </c>
      <c r="F2393">
        <v>7.3159999999999998</v>
      </c>
    </row>
    <row r="2394" spans="1:6" x14ac:dyDescent="0.25">
      <c r="A2394" s="1">
        <v>44992</v>
      </c>
      <c r="B2394">
        <v>6.9939</v>
      </c>
      <c r="C2394" s="1">
        <v>45232</v>
      </c>
      <c r="D2394">
        <v>7.3143000000000002</v>
      </c>
      <c r="E2394" s="1">
        <v>45232</v>
      </c>
      <c r="F2394">
        <v>7.3143000000000002</v>
      </c>
    </row>
    <row r="2395" spans="1:6" x14ac:dyDescent="0.25">
      <c r="A2395" s="1">
        <v>44993</v>
      </c>
      <c r="B2395">
        <v>6.9683999999999999</v>
      </c>
      <c r="C2395" s="1">
        <v>45233</v>
      </c>
      <c r="D2395">
        <v>7.2754000000000003</v>
      </c>
      <c r="E2395" s="1">
        <v>45233</v>
      </c>
      <c r="F2395">
        <v>7.2754000000000003</v>
      </c>
    </row>
    <row r="2396" spans="1:6" x14ac:dyDescent="0.25">
      <c r="A2396" s="1">
        <v>44994</v>
      </c>
      <c r="B2396">
        <v>6.9770000000000003</v>
      </c>
      <c r="C2396" s="1">
        <v>45236</v>
      </c>
      <c r="D2396">
        <v>7.2702</v>
      </c>
      <c r="E2396" s="1">
        <v>45236</v>
      </c>
      <c r="F2396">
        <v>7.2702</v>
      </c>
    </row>
    <row r="2397" spans="1:6" x14ac:dyDescent="0.25">
      <c r="A2397" s="1">
        <v>44995</v>
      </c>
      <c r="B2397">
        <v>6.9398</v>
      </c>
      <c r="C2397" s="1">
        <v>45237</v>
      </c>
      <c r="D2397">
        <v>7.28</v>
      </c>
      <c r="E2397" s="1">
        <v>45237</v>
      </c>
      <c r="F2397">
        <v>7.28</v>
      </c>
    </row>
    <row r="2398" spans="1:6" x14ac:dyDescent="0.25">
      <c r="A2398" s="1">
        <v>44998</v>
      </c>
      <c r="B2398">
        <v>6.8520000000000003</v>
      </c>
      <c r="C2398" s="1">
        <v>45238</v>
      </c>
      <c r="D2398">
        <v>7.2760999999999996</v>
      </c>
      <c r="E2398" s="1">
        <v>45238</v>
      </c>
      <c r="F2398">
        <v>7.2760999999999996</v>
      </c>
    </row>
    <row r="2399" spans="1:6" x14ac:dyDescent="0.25">
      <c r="A2399" s="1">
        <v>44999</v>
      </c>
      <c r="B2399">
        <v>6.8798000000000004</v>
      </c>
      <c r="C2399" s="1">
        <v>45239</v>
      </c>
      <c r="D2399">
        <v>7.2846000000000002</v>
      </c>
      <c r="E2399" s="1">
        <v>45239</v>
      </c>
      <c r="F2399">
        <v>7.2846000000000002</v>
      </c>
    </row>
    <row r="2400" spans="1:6" x14ac:dyDescent="0.25">
      <c r="A2400" s="1">
        <v>45000</v>
      </c>
      <c r="B2400">
        <v>6.8925000000000001</v>
      </c>
      <c r="C2400" s="1">
        <v>45240</v>
      </c>
      <c r="D2400">
        <v>7.2854999999999999</v>
      </c>
      <c r="E2400" s="1">
        <v>45240</v>
      </c>
      <c r="F2400">
        <v>7.2854999999999999</v>
      </c>
    </row>
    <row r="2401" spans="1:6" x14ac:dyDescent="0.25">
      <c r="A2401" s="1">
        <v>45001</v>
      </c>
      <c r="B2401">
        <v>6.8952999999999998</v>
      </c>
      <c r="C2401" s="1">
        <v>45243</v>
      </c>
      <c r="D2401">
        <v>7.2891000000000004</v>
      </c>
      <c r="E2401" s="1">
        <v>45243</v>
      </c>
      <c r="F2401">
        <v>7.2891000000000004</v>
      </c>
    </row>
    <row r="2402" spans="1:6" x14ac:dyDescent="0.25">
      <c r="A2402" s="1">
        <v>45002</v>
      </c>
      <c r="B2402">
        <v>6.8860999999999999</v>
      </c>
      <c r="C2402" s="1">
        <v>45244</v>
      </c>
      <c r="D2402">
        <v>7.2527999999999997</v>
      </c>
      <c r="E2402" s="1">
        <v>45244</v>
      </c>
      <c r="F2402">
        <v>7.2527999999999997</v>
      </c>
    </row>
    <row r="2403" spans="1:6" x14ac:dyDescent="0.25">
      <c r="A2403" s="1">
        <v>45005</v>
      </c>
      <c r="B2403">
        <v>6.8735999999999997</v>
      </c>
      <c r="C2403" s="1">
        <v>45245</v>
      </c>
      <c r="D2403">
        <v>7.2468000000000004</v>
      </c>
      <c r="E2403" s="1">
        <v>45245</v>
      </c>
      <c r="F2403">
        <v>7.2468000000000004</v>
      </c>
    </row>
    <row r="2404" spans="1:6" x14ac:dyDescent="0.25">
      <c r="A2404" s="1">
        <v>45006</v>
      </c>
      <c r="B2404">
        <v>6.8765000000000001</v>
      </c>
      <c r="C2404" s="1">
        <v>45246</v>
      </c>
      <c r="D2404">
        <v>7.2427000000000001</v>
      </c>
      <c r="E2404" s="1">
        <v>45246</v>
      </c>
      <c r="F2404">
        <v>7.2427000000000001</v>
      </c>
    </row>
    <row r="2405" spans="1:6" x14ac:dyDescent="0.25">
      <c r="A2405" s="1">
        <v>45007</v>
      </c>
      <c r="B2405">
        <v>6.8606999999999996</v>
      </c>
      <c r="C2405" s="1">
        <v>45247</v>
      </c>
      <c r="D2405">
        <v>7.2142999999999997</v>
      </c>
      <c r="E2405" s="1">
        <v>45247</v>
      </c>
      <c r="F2405">
        <v>7.2142999999999997</v>
      </c>
    </row>
    <row r="2406" spans="1:6" x14ac:dyDescent="0.25">
      <c r="A2406" s="1">
        <v>45008</v>
      </c>
      <c r="B2406">
        <v>6.8296000000000001</v>
      </c>
      <c r="C2406" s="1">
        <v>45250</v>
      </c>
      <c r="D2406">
        <v>7.1669</v>
      </c>
      <c r="E2406" s="1">
        <v>45250</v>
      </c>
      <c r="F2406">
        <v>7.1669</v>
      </c>
    </row>
    <row r="2407" spans="1:6" x14ac:dyDescent="0.25">
      <c r="A2407" s="1">
        <v>45009</v>
      </c>
      <c r="B2407">
        <v>6.8669000000000002</v>
      </c>
      <c r="C2407" s="1">
        <v>45251</v>
      </c>
      <c r="D2407">
        <v>7.1406999999999998</v>
      </c>
      <c r="E2407" s="1">
        <v>45251</v>
      </c>
      <c r="F2407">
        <v>7.1406999999999998</v>
      </c>
    </row>
    <row r="2408" spans="1:6" x14ac:dyDescent="0.25">
      <c r="A2408" s="1">
        <v>45012</v>
      </c>
      <c r="B2408">
        <v>6.8827999999999996</v>
      </c>
      <c r="C2408" s="1">
        <v>45252</v>
      </c>
      <c r="D2408">
        <v>7.1647999999999996</v>
      </c>
      <c r="E2408" s="1">
        <v>45252</v>
      </c>
      <c r="F2408">
        <v>7.1647999999999996</v>
      </c>
    </row>
    <row r="2409" spans="1:6" x14ac:dyDescent="0.25">
      <c r="A2409" s="1">
        <v>45013</v>
      </c>
      <c r="B2409">
        <v>6.8775000000000004</v>
      </c>
      <c r="C2409" s="1">
        <v>45253</v>
      </c>
      <c r="D2409">
        <v>7.1475999999999997</v>
      </c>
      <c r="E2409" s="1">
        <v>45253</v>
      </c>
      <c r="F2409">
        <v>7.1475999999999997</v>
      </c>
    </row>
    <row r="2410" spans="1:6" x14ac:dyDescent="0.25">
      <c r="A2410" s="1">
        <v>45014</v>
      </c>
      <c r="B2410">
        <v>6.8940000000000001</v>
      </c>
      <c r="C2410" s="1">
        <v>45254</v>
      </c>
      <c r="D2410">
        <v>7.149</v>
      </c>
      <c r="E2410" s="1">
        <v>45254</v>
      </c>
      <c r="F2410">
        <v>7.149</v>
      </c>
    </row>
    <row r="2411" spans="1:6" x14ac:dyDescent="0.25">
      <c r="A2411" s="1">
        <v>45015</v>
      </c>
      <c r="B2411">
        <v>6.8749000000000002</v>
      </c>
      <c r="C2411" s="1">
        <v>45257</v>
      </c>
      <c r="D2411">
        <v>7.1528</v>
      </c>
      <c r="E2411" s="1">
        <v>45257</v>
      </c>
      <c r="F2411">
        <v>7.1528</v>
      </c>
    </row>
    <row r="2412" spans="1:6" x14ac:dyDescent="0.25">
      <c r="A2412" s="1">
        <v>45016</v>
      </c>
      <c r="B2412">
        <v>6.8703000000000003</v>
      </c>
      <c r="C2412" s="1">
        <v>45258</v>
      </c>
      <c r="D2412">
        <v>7.1363000000000003</v>
      </c>
      <c r="E2412" s="1">
        <v>45258</v>
      </c>
      <c r="F2412">
        <v>7.1363000000000003</v>
      </c>
    </row>
    <row r="2413" spans="1:6" x14ac:dyDescent="0.25">
      <c r="A2413" s="1">
        <v>45019</v>
      </c>
      <c r="B2413">
        <v>6.8769</v>
      </c>
      <c r="C2413" s="1">
        <v>45259</v>
      </c>
      <c r="D2413">
        <v>7.1261999999999999</v>
      </c>
      <c r="E2413" s="1">
        <v>45259</v>
      </c>
      <c r="F2413">
        <v>7.1261999999999999</v>
      </c>
    </row>
    <row r="2414" spans="1:6" x14ac:dyDescent="0.25">
      <c r="A2414" s="1">
        <v>45020</v>
      </c>
      <c r="B2414">
        <v>6.8788</v>
      </c>
      <c r="C2414" s="1">
        <v>45260</v>
      </c>
      <c r="D2414">
        <v>7.1349999999999998</v>
      </c>
      <c r="E2414" s="1">
        <v>45260</v>
      </c>
      <c r="F2414">
        <v>7.1349999999999998</v>
      </c>
    </row>
    <row r="2415" spans="1:6" x14ac:dyDescent="0.25">
      <c r="A2415" s="1">
        <v>45021</v>
      </c>
      <c r="B2415">
        <v>6.8857999999999997</v>
      </c>
      <c r="C2415" s="1">
        <v>45261</v>
      </c>
      <c r="D2415">
        <v>7.1284999999999998</v>
      </c>
      <c r="E2415" s="1">
        <v>45261</v>
      </c>
      <c r="F2415">
        <v>7.1284999999999998</v>
      </c>
    </row>
    <row r="2416" spans="1:6" x14ac:dyDescent="0.25">
      <c r="A2416" s="1">
        <v>45022</v>
      </c>
      <c r="B2416">
        <v>6.8822999999999999</v>
      </c>
      <c r="C2416" s="1">
        <v>45264</v>
      </c>
      <c r="D2416">
        <v>7.1433999999999997</v>
      </c>
      <c r="E2416" s="1">
        <v>45264</v>
      </c>
      <c r="F2416">
        <v>7.1433999999999997</v>
      </c>
    </row>
    <row r="2417" spans="1:6" x14ac:dyDescent="0.25">
      <c r="A2417" s="1">
        <v>45023</v>
      </c>
      <c r="B2417">
        <v>6.8769999999999998</v>
      </c>
      <c r="C2417" s="1">
        <v>45265</v>
      </c>
      <c r="D2417">
        <v>7.1471</v>
      </c>
      <c r="E2417" s="1">
        <v>45265</v>
      </c>
      <c r="F2417">
        <v>7.1471</v>
      </c>
    </row>
    <row r="2418" spans="1:6" x14ac:dyDescent="0.25">
      <c r="A2418" s="1">
        <v>45026</v>
      </c>
      <c r="B2418">
        <v>6.8926999999999996</v>
      </c>
      <c r="C2418" s="1">
        <v>45266</v>
      </c>
      <c r="D2418">
        <v>7.1605999999999996</v>
      </c>
      <c r="E2418" s="1">
        <v>45266</v>
      </c>
      <c r="F2418">
        <v>7.1605999999999996</v>
      </c>
    </row>
    <row r="2419" spans="1:6" x14ac:dyDescent="0.25">
      <c r="A2419" s="1">
        <v>45027</v>
      </c>
      <c r="B2419">
        <v>6.8939000000000004</v>
      </c>
      <c r="C2419" s="1">
        <v>45267</v>
      </c>
      <c r="D2419">
        <v>7.1486000000000001</v>
      </c>
      <c r="E2419" s="1">
        <v>45267</v>
      </c>
      <c r="F2419">
        <v>7.1486000000000001</v>
      </c>
    </row>
    <row r="2420" spans="1:6" x14ac:dyDescent="0.25">
      <c r="A2420" s="1">
        <v>45028</v>
      </c>
      <c r="B2420">
        <v>6.8808999999999996</v>
      </c>
      <c r="C2420" s="1">
        <v>45268</v>
      </c>
      <c r="D2420">
        <v>7.1702000000000004</v>
      </c>
      <c r="E2420" s="1">
        <v>45268</v>
      </c>
      <c r="F2420">
        <v>7.1702000000000004</v>
      </c>
    </row>
    <row r="2421" spans="1:6" x14ac:dyDescent="0.25">
      <c r="A2421" s="1">
        <v>45029</v>
      </c>
      <c r="B2421">
        <v>6.8718000000000004</v>
      </c>
      <c r="C2421" s="1">
        <v>45271</v>
      </c>
      <c r="D2421">
        <v>7.1741000000000001</v>
      </c>
      <c r="E2421" s="1">
        <v>45271</v>
      </c>
      <c r="F2421">
        <v>7.1741000000000001</v>
      </c>
    </row>
    <row r="2422" spans="1:6" x14ac:dyDescent="0.25">
      <c r="A2422" s="1">
        <v>45030</v>
      </c>
      <c r="B2422">
        <v>6.8728999999999996</v>
      </c>
      <c r="C2422" s="1">
        <v>45272</v>
      </c>
      <c r="D2422">
        <v>7.1772</v>
      </c>
      <c r="E2422" s="1">
        <v>45272</v>
      </c>
      <c r="F2422">
        <v>7.1772</v>
      </c>
    </row>
    <row r="2423" spans="1:6" x14ac:dyDescent="0.25">
      <c r="A2423" s="1">
        <v>45033</v>
      </c>
      <c r="B2423">
        <v>6.8826999999999998</v>
      </c>
      <c r="C2423" s="1">
        <v>45273</v>
      </c>
      <c r="D2423">
        <v>7.1707999999999998</v>
      </c>
      <c r="E2423" s="1">
        <v>45273</v>
      </c>
      <c r="F2423">
        <v>7.1707999999999998</v>
      </c>
    </row>
    <row r="2424" spans="1:6" x14ac:dyDescent="0.25">
      <c r="A2424" s="1">
        <v>45034</v>
      </c>
      <c r="B2424">
        <v>6.8822999999999999</v>
      </c>
      <c r="C2424" s="1">
        <v>45274</v>
      </c>
      <c r="D2424">
        <v>7.1119000000000003</v>
      </c>
      <c r="E2424" s="1">
        <v>45274</v>
      </c>
      <c r="F2424">
        <v>7.1119000000000003</v>
      </c>
    </row>
    <row r="2425" spans="1:6" x14ac:dyDescent="0.25">
      <c r="A2425" s="1">
        <v>45035</v>
      </c>
      <c r="B2425">
        <v>6.8949999999999996</v>
      </c>
      <c r="C2425" s="1">
        <v>45275</v>
      </c>
      <c r="D2425">
        <v>7.1215000000000002</v>
      </c>
      <c r="E2425" s="1">
        <v>45275</v>
      </c>
      <c r="F2425">
        <v>7.1215000000000002</v>
      </c>
    </row>
    <row r="2426" spans="1:6" x14ac:dyDescent="0.25">
      <c r="A2426" s="1">
        <v>45036</v>
      </c>
      <c r="B2426">
        <v>6.8842999999999996</v>
      </c>
      <c r="C2426" s="1">
        <v>45278</v>
      </c>
      <c r="D2426">
        <v>7.1311</v>
      </c>
      <c r="E2426" s="1">
        <v>45278</v>
      </c>
      <c r="F2426">
        <v>7.1311</v>
      </c>
    </row>
    <row r="2427" spans="1:6" x14ac:dyDescent="0.25">
      <c r="A2427" s="1">
        <v>45037</v>
      </c>
      <c r="B2427">
        <v>6.8985000000000003</v>
      </c>
      <c r="C2427" s="1">
        <v>45279</v>
      </c>
      <c r="D2427">
        <v>7.1185</v>
      </c>
      <c r="E2427" s="1">
        <v>45279</v>
      </c>
      <c r="F2427">
        <v>7.1185</v>
      </c>
    </row>
    <row r="2428" spans="1:6" x14ac:dyDescent="0.25">
      <c r="A2428" s="1">
        <v>45040</v>
      </c>
      <c r="B2428">
        <v>6.9036999999999997</v>
      </c>
      <c r="C2428" s="1">
        <v>45280</v>
      </c>
      <c r="D2428">
        <v>7.1386000000000003</v>
      </c>
      <c r="E2428" s="1">
        <v>45280</v>
      </c>
      <c r="F2428">
        <v>7.1386000000000003</v>
      </c>
    </row>
    <row r="2429" spans="1:6" x14ac:dyDescent="0.25">
      <c r="A2429" s="1">
        <v>45041</v>
      </c>
      <c r="B2429">
        <v>6.9420000000000002</v>
      </c>
      <c r="C2429" s="1">
        <v>45281</v>
      </c>
      <c r="D2429">
        <v>7.1378000000000004</v>
      </c>
      <c r="E2429" s="1">
        <v>45281</v>
      </c>
      <c r="F2429">
        <v>7.1378000000000004</v>
      </c>
    </row>
    <row r="2430" spans="1:6" x14ac:dyDescent="0.25">
      <c r="A2430" s="1">
        <v>45042</v>
      </c>
      <c r="B2430">
        <v>6.9413</v>
      </c>
      <c r="C2430" s="1">
        <v>45282</v>
      </c>
      <c r="D2430">
        <v>7.1356999999999999</v>
      </c>
      <c r="E2430" s="1">
        <v>45282</v>
      </c>
      <c r="F2430">
        <v>7.1356999999999999</v>
      </c>
    </row>
    <row r="2431" spans="1:6" x14ac:dyDescent="0.25">
      <c r="A2431" s="1">
        <v>45043</v>
      </c>
      <c r="B2431">
        <v>6.9301000000000004</v>
      </c>
      <c r="C2431" s="1">
        <v>45285</v>
      </c>
      <c r="D2431">
        <v>7.1364000000000001</v>
      </c>
      <c r="E2431" s="1">
        <v>45285</v>
      </c>
      <c r="F2431">
        <v>7.1364000000000001</v>
      </c>
    </row>
    <row r="2432" spans="1:6" x14ac:dyDescent="0.25">
      <c r="A2432" s="1">
        <v>45044</v>
      </c>
      <c r="B2432">
        <v>6.9272</v>
      </c>
      <c r="C2432" s="1">
        <v>45286</v>
      </c>
      <c r="D2432">
        <v>7.1426999999999996</v>
      </c>
      <c r="E2432" s="1">
        <v>45286</v>
      </c>
      <c r="F2432">
        <v>7.1426999999999996</v>
      </c>
    </row>
    <row r="2433" spans="1:6" x14ac:dyDescent="0.25">
      <c r="A2433" s="1">
        <v>45047</v>
      </c>
      <c r="B2433">
        <v>6.9617000000000004</v>
      </c>
      <c r="C2433" s="1">
        <v>45287</v>
      </c>
      <c r="D2433">
        <v>7.1426999999999996</v>
      </c>
      <c r="E2433" s="1">
        <v>45287</v>
      </c>
      <c r="F2433">
        <v>7.1426999999999996</v>
      </c>
    </row>
    <row r="2434" spans="1:6" x14ac:dyDescent="0.25">
      <c r="A2434" s="1">
        <v>45048</v>
      </c>
      <c r="B2434">
        <v>6.9345999999999997</v>
      </c>
      <c r="C2434" s="1">
        <v>45288</v>
      </c>
      <c r="D2434">
        <v>7.1104000000000003</v>
      </c>
      <c r="E2434" s="1">
        <v>45288</v>
      </c>
      <c r="F2434">
        <v>7.1104000000000003</v>
      </c>
    </row>
    <row r="2435" spans="1:6" x14ac:dyDescent="0.25">
      <c r="A2435" s="1">
        <v>45049</v>
      </c>
      <c r="B2435">
        <v>6.9222999999999999</v>
      </c>
      <c r="C2435" s="1">
        <v>45289</v>
      </c>
      <c r="D2435">
        <v>7.1</v>
      </c>
      <c r="E2435" s="1">
        <v>45289</v>
      </c>
      <c r="F2435">
        <v>7.1</v>
      </c>
    </row>
    <row r="2436" spans="1:6" x14ac:dyDescent="0.25">
      <c r="A2436" s="1">
        <v>45050</v>
      </c>
      <c r="B2436">
        <v>6.9153000000000002</v>
      </c>
      <c r="C2436" s="1">
        <v>45293</v>
      </c>
      <c r="D2436">
        <v>7.1432000000000002</v>
      </c>
      <c r="E2436" s="1">
        <v>45293</v>
      </c>
      <c r="F2436">
        <v>7.1432000000000002</v>
      </c>
    </row>
    <row r="2437" spans="1:6" x14ac:dyDescent="0.25">
      <c r="A2437" s="1">
        <v>45051</v>
      </c>
      <c r="B2437">
        <v>6.9218999999999999</v>
      </c>
      <c r="C2437" s="1">
        <v>45294</v>
      </c>
      <c r="D2437">
        <v>7.1494</v>
      </c>
      <c r="E2437" s="1">
        <v>45294</v>
      </c>
      <c r="F2437">
        <v>7.1494</v>
      </c>
    </row>
    <row r="2438" spans="1:6" x14ac:dyDescent="0.25">
      <c r="A2438" s="1">
        <v>45054</v>
      </c>
      <c r="B2438">
        <v>6.92</v>
      </c>
      <c r="C2438" s="1">
        <v>45295</v>
      </c>
      <c r="D2438">
        <v>7.1608000000000001</v>
      </c>
      <c r="E2438" s="1">
        <v>45295</v>
      </c>
      <c r="F2438">
        <v>7.1608000000000001</v>
      </c>
    </row>
    <row r="2439" spans="1:6" x14ac:dyDescent="0.25">
      <c r="A2439" s="1">
        <v>45055</v>
      </c>
      <c r="B2439">
        <v>6.9249999999999998</v>
      </c>
      <c r="C2439" s="1">
        <v>45296</v>
      </c>
      <c r="D2439">
        <v>7.1471</v>
      </c>
      <c r="E2439" s="1">
        <v>45296</v>
      </c>
      <c r="F2439">
        <v>7.1471</v>
      </c>
    </row>
    <row r="2440" spans="1:6" x14ac:dyDescent="0.25">
      <c r="A2440" s="1">
        <v>45056</v>
      </c>
      <c r="B2440">
        <v>6.9389000000000003</v>
      </c>
      <c r="C2440" s="1">
        <v>45299</v>
      </c>
      <c r="D2440">
        <v>7.1513999999999998</v>
      </c>
      <c r="E2440" s="1">
        <v>45299</v>
      </c>
      <c r="F2440">
        <v>7.1513999999999998</v>
      </c>
    </row>
    <row r="2441" spans="1:6" x14ac:dyDescent="0.25">
      <c r="A2441" s="1">
        <v>45057</v>
      </c>
      <c r="B2441">
        <v>6.9596</v>
      </c>
      <c r="C2441" s="1">
        <v>45300</v>
      </c>
      <c r="D2441">
        <v>7.1687000000000003</v>
      </c>
      <c r="E2441" s="1">
        <v>45300</v>
      </c>
      <c r="F2441">
        <v>7.1687000000000003</v>
      </c>
    </row>
    <row r="2442" spans="1:6" x14ac:dyDescent="0.25">
      <c r="A2442" s="1">
        <v>45058</v>
      </c>
      <c r="B2442">
        <v>6.9710999999999999</v>
      </c>
      <c r="C2442" s="1">
        <v>45301</v>
      </c>
      <c r="D2442">
        <v>7.1726999999999999</v>
      </c>
      <c r="E2442" s="1">
        <v>45301</v>
      </c>
      <c r="F2442">
        <v>7.1726999999999999</v>
      </c>
    </row>
    <row r="2443" spans="1:6" x14ac:dyDescent="0.25">
      <c r="A2443" s="1">
        <v>45061</v>
      </c>
      <c r="B2443">
        <v>6.9588999999999999</v>
      </c>
      <c r="C2443" s="1">
        <v>45302</v>
      </c>
      <c r="D2443">
        <v>7.1666999999999996</v>
      </c>
      <c r="E2443" s="1">
        <v>45302</v>
      </c>
      <c r="F2443">
        <v>7.1666999999999996</v>
      </c>
    </row>
    <row r="2444" spans="1:6" x14ac:dyDescent="0.25">
      <c r="A2444" s="1">
        <v>45062</v>
      </c>
      <c r="B2444">
        <v>6.9985999999999997</v>
      </c>
      <c r="C2444" s="1">
        <v>45303</v>
      </c>
      <c r="D2444">
        <v>7.1675000000000004</v>
      </c>
      <c r="E2444" s="1">
        <v>45303</v>
      </c>
      <c r="F2444">
        <v>7.1675000000000004</v>
      </c>
    </row>
    <row r="2445" spans="1:6" x14ac:dyDescent="0.25">
      <c r="A2445" s="1">
        <v>45063</v>
      </c>
      <c r="B2445">
        <v>7.008</v>
      </c>
      <c r="C2445" s="1">
        <v>45306</v>
      </c>
      <c r="D2445">
        <v>7.1715</v>
      </c>
      <c r="E2445" s="1">
        <v>45306</v>
      </c>
      <c r="F2445">
        <v>7.1715</v>
      </c>
    </row>
    <row r="2446" spans="1:6" x14ac:dyDescent="0.25">
      <c r="A2446" s="1">
        <v>45064</v>
      </c>
      <c r="B2446">
        <v>7.0496999999999996</v>
      </c>
      <c r="C2446" s="1">
        <v>45307</v>
      </c>
      <c r="D2446">
        <v>7.1877000000000004</v>
      </c>
      <c r="E2446" s="1">
        <v>45307</v>
      </c>
      <c r="F2446">
        <v>7.1877000000000004</v>
      </c>
    </row>
    <row r="2447" spans="1:6" x14ac:dyDescent="0.25">
      <c r="A2447" s="1">
        <v>45065</v>
      </c>
      <c r="B2447">
        <v>7.0247000000000002</v>
      </c>
      <c r="C2447" s="1">
        <v>45308</v>
      </c>
      <c r="D2447">
        <v>7.1962999999999999</v>
      </c>
      <c r="E2447" s="1">
        <v>45308</v>
      </c>
      <c r="F2447">
        <v>7.1962999999999999</v>
      </c>
    </row>
    <row r="2448" spans="1:6" x14ac:dyDescent="0.25">
      <c r="A2448" s="1">
        <v>45068</v>
      </c>
      <c r="B2448">
        <v>7.0469999999999997</v>
      </c>
      <c r="C2448" s="1">
        <v>45309</v>
      </c>
      <c r="D2448">
        <v>7.1962999999999999</v>
      </c>
      <c r="E2448" s="1">
        <v>45309</v>
      </c>
      <c r="F2448">
        <v>7.1962999999999999</v>
      </c>
    </row>
    <row r="2449" spans="1:6" x14ac:dyDescent="0.25">
      <c r="A2449" s="1">
        <v>45069</v>
      </c>
      <c r="B2449">
        <v>7.0648999999999997</v>
      </c>
      <c r="C2449" s="1">
        <v>45310</v>
      </c>
      <c r="D2449">
        <v>7.1933999999999996</v>
      </c>
      <c r="E2449" s="1">
        <v>45310</v>
      </c>
      <c r="F2449">
        <v>7.1933999999999996</v>
      </c>
    </row>
    <row r="2450" spans="1:6" x14ac:dyDescent="0.25">
      <c r="A2450" s="1">
        <v>45070</v>
      </c>
      <c r="B2450">
        <v>7.0660999999999996</v>
      </c>
      <c r="C2450" s="1">
        <v>45313</v>
      </c>
      <c r="D2450">
        <v>7.1909000000000001</v>
      </c>
      <c r="E2450" s="1">
        <v>45313</v>
      </c>
      <c r="F2450">
        <v>7.1909000000000001</v>
      </c>
    </row>
    <row r="2451" spans="1:6" x14ac:dyDescent="0.25">
      <c r="A2451" s="1">
        <v>45071</v>
      </c>
      <c r="B2451">
        <v>7.0918999999999999</v>
      </c>
      <c r="C2451" s="1">
        <v>45314</v>
      </c>
      <c r="D2451">
        <v>7.1718000000000002</v>
      </c>
      <c r="E2451" s="1">
        <v>45314</v>
      </c>
      <c r="F2451">
        <v>7.1718000000000002</v>
      </c>
    </row>
    <row r="2452" spans="1:6" x14ac:dyDescent="0.25">
      <c r="A2452" s="1">
        <v>45072</v>
      </c>
      <c r="B2452">
        <v>7.0739000000000001</v>
      </c>
      <c r="C2452" s="1">
        <v>45315</v>
      </c>
      <c r="D2452">
        <v>7.1580000000000004</v>
      </c>
      <c r="E2452" s="1">
        <v>45315</v>
      </c>
      <c r="F2452">
        <v>7.1580000000000004</v>
      </c>
    </row>
    <row r="2453" spans="1:6" x14ac:dyDescent="0.25">
      <c r="A2453" s="1">
        <v>45075</v>
      </c>
      <c r="B2453">
        <v>7.0853999999999999</v>
      </c>
      <c r="C2453" s="1">
        <v>45316</v>
      </c>
      <c r="D2453">
        <v>7.1738999999999997</v>
      </c>
      <c r="E2453" s="1">
        <v>45316</v>
      </c>
      <c r="F2453">
        <v>7.1738999999999997</v>
      </c>
    </row>
    <row r="2454" spans="1:6" x14ac:dyDescent="0.25">
      <c r="A2454" s="1">
        <v>45076</v>
      </c>
      <c r="B2454">
        <v>7.0911</v>
      </c>
      <c r="C2454" s="1">
        <v>45317</v>
      </c>
      <c r="D2454">
        <v>7.1773999999999996</v>
      </c>
      <c r="E2454" s="1">
        <v>45317</v>
      </c>
      <c r="F2454">
        <v>7.1773999999999996</v>
      </c>
    </row>
    <row r="2455" spans="1:6" x14ac:dyDescent="0.25">
      <c r="A2455" s="1">
        <v>45077</v>
      </c>
      <c r="B2455">
        <v>7.1192000000000002</v>
      </c>
      <c r="C2455" s="1">
        <v>45320</v>
      </c>
      <c r="D2455">
        <v>7.1803999999999997</v>
      </c>
      <c r="E2455" s="1">
        <v>45320</v>
      </c>
      <c r="F2455">
        <v>7.1803999999999997</v>
      </c>
    </row>
    <row r="2456" spans="1:6" x14ac:dyDescent="0.25">
      <c r="A2456" s="1">
        <v>45078</v>
      </c>
      <c r="B2456">
        <v>7.1044</v>
      </c>
      <c r="C2456" s="1">
        <v>45321</v>
      </c>
      <c r="D2456">
        <v>7.1778000000000004</v>
      </c>
      <c r="E2456" s="1">
        <v>45321</v>
      </c>
      <c r="F2456">
        <v>7.1778000000000004</v>
      </c>
    </row>
    <row r="2457" spans="1:6" x14ac:dyDescent="0.25">
      <c r="A2457" s="1">
        <v>45079</v>
      </c>
      <c r="B2457">
        <v>7.1096000000000004</v>
      </c>
      <c r="C2457" s="1">
        <v>45322</v>
      </c>
      <c r="D2457">
        <v>7.1688999999999998</v>
      </c>
      <c r="E2457" s="1">
        <v>45322</v>
      </c>
      <c r="F2457">
        <v>7.1688999999999998</v>
      </c>
    </row>
    <row r="2458" spans="1:6" x14ac:dyDescent="0.25">
      <c r="A2458" s="1">
        <v>45082</v>
      </c>
      <c r="B2458">
        <v>7.1192000000000002</v>
      </c>
      <c r="C2458" s="1">
        <v>45323</v>
      </c>
      <c r="D2458">
        <v>7.1805000000000003</v>
      </c>
      <c r="E2458" s="1">
        <v>45323</v>
      </c>
      <c r="F2458">
        <v>7.1805000000000003</v>
      </c>
    </row>
    <row r="2459" spans="1:6" x14ac:dyDescent="0.25">
      <c r="A2459" s="1">
        <v>45083</v>
      </c>
      <c r="B2459">
        <v>7.1288999999999998</v>
      </c>
      <c r="C2459" s="1">
        <v>45324</v>
      </c>
      <c r="D2459">
        <v>7.1935000000000002</v>
      </c>
      <c r="E2459" s="1">
        <v>45324</v>
      </c>
      <c r="F2459">
        <v>7.1935000000000002</v>
      </c>
    </row>
    <row r="2460" spans="1:6" x14ac:dyDescent="0.25">
      <c r="A2460" s="1">
        <v>45084</v>
      </c>
      <c r="B2460">
        <v>7.1477000000000004</v>
      </c>
      <c r="C2460" s="1">
        <v>45327</v>
      </c>
      <c r="D2460">
        <v>7.1985000000000001</v>
      </c>
      <c r="E2460" s="1">
        <v>45327</v>
      </c>
      <c r="F2460">
        <v>7.1985000000000001</v>
      </c>
    </row>
    <row r="2461" spans="1:6" x14ac:dyDescent="0.25">
      <c r="A2461" s="1">
        <v>45085</v>
      </c>
      <c r="B2461">
        <v>7.1208999999999998</v>
      </c>
      <c r="C2461" s="1">
        <v>45328</v>
      </c>
      <c r="D2461">
        <v>7.1901000000000002</v>
      </c>
      <c r="E2461" s="1">
        <v>45328</v>
      </c>
      <c r="F2461">
        <v>7.1901000000000002</v>
      </c>
    </row>
    <row r="2462" spans="1:6" x14ac:dyDescent="0.25">
      <c r="A2462" s="1">
        <v>45086</v>
      </c>
      <c r="B2462">
        <v>7.1439000000000004</v>
      </c>
      <c r="C2462" s="1">
        <v>45329</v>
      </c>
      <c r="D2462">
        <v>7.1948999999999996</v>
      </c>
      <c r="E2462" s="1">
        <v>45329</v>
      </c>
      <c r="F2462">
        <v>7.1948999999999996</v>
      </c>
    </row>
    <row r="2463" spans="1:6" x14ac:dyDescent="0.25">
      <c r="A2463" s="1">
        <v>45089</v>
      </c>
      <c r="B2463">
        <v>7.1561000000000003</v>
      </c>
      <c r="C2463" s="1">
        <v>45330</v>
      </c>
      <c r="D2463">
        <v>7.1966999999999999</v>
      </c>
      <c r="E2463" s="1">
        <v>45330</v>
      </c>
      <c r="F2463">
        <v>7.1966999999999999</v>
      </c>
    </row>
    <row r="2464" spans="1:6" x14ac:dyDescent="0.25">
      <c r="A2464" s="1">
        <v>45090</v>
      </c>
      <c r="B2464">
        <v>7.1749000000000001</v>
      </c>
      <c r="C2464" s="1">
        <v>45331</v>
      </c>
      <c r="D2464">
        <v>7.1936</v>
      </c>
      <c r="E2464" s="1">
        <v>45331</v>
      </c>
      <c r="F2464">
        <v>7.1936</v>
      </c>
    </row>
    <row r="2465" spans="1:6" x14ac:dyDescent="0.25">
      <c r="A2465" s="1">
        <v>45091</v>
      </c>
      <c r="B2465">
        <v>7.1740000000000004</v>
      </c>
      <c r="C2465" s="1">
        <v>45341</v>
      </c>
      <c r="D2465">
        <v>7.1981000000000002</v>
      </c>
      <c r="E2465" s="1">
        <v>45341</v>
      </c>
      <c r="F2465">
        <v>7.1981000000000002</v>
      </c>
    </row>
    <row r="2466" spans="1:6" x14ac:dyDescent="0.25">
      <c r="A2466" s="1">
        <v>45092</v>
      </c>
      <c r="B2466">
        <v>7.1200999999999999</v>
      </c>
      <c r="C2466" s="1">
        <v>45342</v>
      </c>
      <c r="D2466">
        <v>7.1924999999999999</v>
      </c>
      <c r="E2466" s="1">
        <v>45342</v>
      </c>
      <c r="F2466">
        <v>7.1924999999999999</v>
      </c>
    </row>
    <row r="2467" spans="1:6" x14ac:dyDescent="0.25">
      <c r="A2467" s="1">
        <v>45093</v>
      </c>
      <c r="B2467">
        <v>7.1280000000000001</v>
      </c>
      <c r="C2467" s="1">
        <v>45343</v>
      </c>
      <c r="D2467">
        <v>7.1912000000000003</v>
      </c>
      <c r="E2467" s="1">
        <v>45343</v>
      </c>
      <c r="F2467">
        <v>7.1912000000000003</v>
      </c>
    </row>
    <row r="2468" spans="1:6" x14ac:dyDescent="0.25">
      <c r="A2468" s="1">
        <v>45096</v>
      </c>
      <c r="B2468">
        <v>7.1639999999999997</v>
      </c>
      <c r="C2468" s="1">
        <v>45344</v>
      </c>
      <c r="D2468">
        <v>7.1939000000000002</v>
      </c>
      <c r="E2468" s="1">
        <v>45344</v>
      </c>
      <c r="F2468">
        <v>7.1939000000000002</v>
      </c>
    </row>
    <row r="2469" spans="1:6" x14ac:dyDescent="0.25">
      <c r="A2469" s="1">
        <v>45097</v>
      </c>
      <c r="B2469">
        <v>7.1822999999999997</v>
      </c>
      <c r="C2469" s="1">
        <v>45345</v>
      </c>
      <c r="D2469">
        <v>7.1963999999999997</v>
      </c>
      <c r="E2469" s="1">
        <v>45345</v>
      </c>
      <c r="F2469">
        <v>7.1963999999999997</v>
      </c>
    </row>
    <row r="2470" spans="1:6" x14ac:dyDescent="0.25">
      <c r="A2470" s="1">
        <v>45098</v>
      </c>
      <c r="B2470">
        <v>7.1768000000000001</v>
      </c>
      <c r="C2470" s="1">
        <v>45348</v>
      </c>
      <c r="D2470">
        <v>7.1974999999999998</v>
      </c>
      <c r="E2470" s="1">
        <v>45348</v>
      </c>
      <c r="F2470">
        <v>7.1974999999999998</v>
      </c>
    </row>
    <row r="2471" spans="1:6" x14ac:dyDescent="0.25">
      <c r="A2471" s="1">
        <v>45099</v>
      </c>
      <c r="B2471">
        <v>7.1955999999999998</v>
      </c>
      <c r="C2471" s="1">
        <v>45349</v>
      </c>
      <c r="D2471">
        <v>7.1978999999999997</v>
      </c>
      <c r="E2471" s="1">
        <v>45349</v>
      </c>
      <c r="F2471">
        <v>7.1978999999999997</v>
      </c>
    </row>
    <row r="2472" spans="1:6" x14ac:dyDescent="0.25">
      <c r="A2472" s="1">
        <v>45100</v>
      </c>
      <c r="B2472">
        <v>7.2157</v>
      </c>
      <c r="C2472" s="1">
        <v>45350</v>
      </c>
      <c r="D2472">
        <v>7.1980000000000004</v>
      </c>
      <c r="E2472" s="1">
        <v>45350</v>
      </c>
      <c r="F2472">
        <v>7.1980000000000004</v>
      </c>
    </row>
    <row r="2473" spans="1:6" x14ac:dyDescent="0.25">
      <c r="A2473" s="1">
        <v>45103</v>
      </c>
      <c r="B2473">
        <v>7.2428999999999997</v>
      </c>
      <c r="C2473" s="1">
        <v>45351</v>
      </c>
      <c r="D2473">
        <v>7.1886000000000001</v>
      </c>
      <c r="E2473" s="1">
        <v>45351</v>
      </c>
      <c r="F2473">
        <v>7.1886000000000001</v>
      </c>
    </row>
    <row r="2474" spans="1:6" x14ac:dyDescent="0.25">
      <c r="A2474" s="1">
        <v>45104</v>
      </c>
      <c r="B2474">
        <v>7.2243000000000004</v>
      </c>
      <c r="C2474" s="1">
        <v>45352</v>
      </c>
      <c r="D2474">
        <v>7.1967999999999996</v>
      </c>
      <c r="E2474" s="1">
        <v>45352</v>
      </c>
      <c r="F2474">
        <v>7.1967999999999996</v>
      </c>
    </row>
    <row r="2475" spans="1:6" x14ac:dyDescent="0.25">
      <c r="A2475" s="1">
        <v>45105</v>
      </c>
      <c r="B2475">
        <v>7.2431999999999999</v>
      </c>
      <c r="C2475" s="1">
        <v>45355</v>
      </c>
      <c r="D2475">
        <v>7.1989000000000001</v>
      </c>
      <c r="E2475" s="1">
        <v>45355</v>
      </c>
      <c r="F2475">
        <v>7.1989000000000001</v>
      </c>
    </row>
    <row r="2476" spans="1:6" x14ac:dyDescent="0.25">
      <c r="A2476" s="1">
        <v>45106</v>
      </c>
      <c r="B2476">
        <v>7.2686000000000002</v>
      </c>
      <c r="C2476" s="1">
        <v>45356</v>
      </c>
      <c r="D2476">
        <v>7.1965000000000003</v>
      </c>
      <c r="E2476" s="1">
        <v>45356</v>
      </c>
      <c r="F2476">
        <v>7.1965000000000003</v>
      </c>
    </row>
    <row r="2477" spans="1:6" x14ac:dyDescent="0.25">
      <c r="A2477" s="1">
        <v>45107</v>
      </c>
      <c r="B2477">
        <v>7.2676999999999996</v>
      </c>
      <c r="C2477" s="1">
        <v>45357</v>
      </c>
      <c r="D2477">
        <v>7.1974999999999998</v>
      </c>
      <c r="E2477" s="1">
        <v>45357</v>
      </c>
      <c r="F2477">
        <v>7.1974999999999998</v>
      </c>
    </row>
    <row r="2478" spans="1:6" x14ac:dyDescent="0.25">
      <c r="A2478" s="1">
        <v>45110</v>
      </c>
      <c r="B2478">
        <v>7.2529000000000003</v>
      </c>
      <c r="C2478" s="1">
        <v>45358</v>
      </c>
      <c r="D2478">
        <v>7.1925999999999997</v>
      </c>
      <c r="E2478" s="1">
        <v>45358</v>
      </c>
      <c r="F2478">
        <v>7.1925999999999997</v>
      </c>
    </row>
    <row r="2479" spans="1:6" x14ac:dyDescent="0.25">
      <c r="A2479" s="1">
        <v>45111</v>
      </c>
      <c r="B2479">
        <v>7.2279</v>
      </c>
      <c r="C2479" s="1">
        <v>45359</v>
      </c>
      <c r="D2479">
        <v>7.1872999999999996</v>
      </c>
      <c r="E2479" s="1">
        <v>45359</v>
      </c>
      <c r="F2479">
        <v>7.1872999999999996</v>
      </c>
    </row>
    <row r="2480" spans="1:6" x14ac:dyDescent="0.25">
      <c r="A2480" s="1">
        <v>45112</v>
      </c>
      <c r="B2480">
        <v>7.2621000000000002</v>
      </c>
      <c r="C2480" s="1">
        <v>45362</v>
      </c>
      <c r="D2480">
        <v>7.1814</v>
      </c>
      <c r="E2480" s="1">
        <v>45362</v>
      </c>
      <c r="F2480">
        <v>7.1814</v>
      </c>
    </row>
    <row r="2481" spans="1:6" x14ac:dyDescent="0.25">
      <c r="A2481" s="1">
        <v>45113</v>
      </c>
      <c r="B2481">
        <v>7.2556000000000003</v>
      </c>
      <c r="C2481" s="1">
        <v>45363</v>
      </c>
      <c r="D2481">
        <v>7.1825999999999999</v>
      </c>
      <c r="E2481" s="1">
        <v>45363</v>
      </c>
      <c r="F2481">
        <v>7.1825999999999999</v>
      </c>
    </row>
    <row r="2482" spans="1:6" x14ac:dyDescent="0.25">
      <c r="A2482" s="1">
        <v>45114</v>
      </c>
      <c r="B2482">
        <v>7.2324000000000002</v>
      </c>
      <c r="C2482" s="1">
        <v>45364</v>
      </c>
      <c r="D2482">
        <v>7.1867999999999999</v>
      </c>
      <c r="E2482" s="1">
        <v>45364</v>
      </c>
      <c r="F2482">
        <v>7.1867999999999999</v>
      </c>
    </row>
    <row r="2483" spans="1:6" x14ac:dyDescent="0.25">
      <c r="A2483" s="1">
        <v>45117</v>
      </c>
      <c r="B2483">
        <v>7.2294</v>
      </c>
      <c r="C2483" s="1">
        <v>45365</v>
      </c>
      <c r="D2483">
        <v>7.1943000000000001</v>
      </c>
      <c r="E2483" s="1">
        <v>45365</v>
      </c>
      <c r="F2483">
        <v>7.1943000000000001</v>
      </c>
    </row>
    <row r="2484" spans="1:6" x14ac:dyDescent="0.25">
      <c r="A2484" s="1">
        <v>45118</v>
      </c>
      <c r="B2484">
        <v>7.2119</v>
      </c>
      <c r="C2484" s="1">
        <v>45366</v>
      </c>
      <c r="D2484">
        <v>7.1970000000000001</v>
      </c>
      <c r="E2484" s="1">
        <v>45366</v>
      </c>
      <c r="F2484">
        <v>7.1970000000000001</v>
      </c>
    </row>
    <row r="2485" spans="1:6" x14ac:dyDescent="0.25">
      <c r="A2485" s="1">
        <v>45119</v>
      </c>
      <c r="B2485">
        <v>7.1657000000000002</v>
      </c>
      <c r="C2485" s="1">
        <v>45369</v>
      </c>
      <c r="D2485">
        <v>7.1984000000000004</v>
      </c>
      <c r="E2485" s="1">
        <v>45369</v>
      </c>
      <c r="F2485">
        <v>7.1984000000000004</v>
      </c>
    </row>
    <row r="2486" spans="1:6" x14ac:dyDescent="0.25">
      <c r="A2486" s="1">
        <v>45120</v>
      </c>
      <c r="B2486">
        <v>7.1504000000000003</v>
      </c>
      <c r="C2486" s="1">
        <v>45370</v>
      </c>
      <c r="D2486">
        <v>7.1993999999999998</v>
      </c>
      <c r="E2486" s="1">
        <v>45370</v>
      </c>
      <c r="F2486">
        <v>7.1993999999999998</v>
      </c>
    </row>
    <row r="2487" spans="1:6" x14ac:dyDescent="0.25">
      <c r="A2487" s="1">
        <v>45121</v>
      </c>
      <c r="B2487">
        <v>7.1584000000000003</v>
      </c>
      <c r="C2487" s="1">
        <v>45371</v>
      </c>
      <c r="D2487">
        <v>7.1978999999999997</v>
      </c>
      <c r="E2487" s="1">
        <v>45371</v>
      </c>
      <c r="F2487">
        <v>7.1978999999999997</v>
      </c>
    </row>
    <row r="2488" spans="1:6" x14ac:dyDescent="0.25">
      <c r="A2488" s="1">
        <v>45124</v>
      </c>
      <c r="B2488">
        <v>7.1783999999999999</v>
      </c>
      <c r="C2488" s="1">
        <v>45372</v>
      </c>
      <c r="D2488">
        <v>7.1994999999999996</v>
      </c>
      <c r="E2488" s="1">
        <v>45372</v>
      </c>
      <c r="F2488">
        <v>7.1994999999999996</v>
      </c>
    </row>
    <row r="2489" spans="1:6" x14ac:dyDescent="0.25">
      <c r="A2489" s="1">
        <v>45125</v>
      </c>
      <c r="B2489">
        <v>7.1928999999999998</v>
      </c>
      <c r="C2489" s="1">
        <v>45373</v>
      </c>
      <c r="D2489">
        <v>7.2291999999999996</v>
      </c>
      <c r="E2489" s="1">
        <v>45373</v>
      </c>
      <c r="F2489">
        <v>7.2291999999999996</v>
      </c>
    </row>
    <row r="2490" spans="1:6" x14ac:dyDescent="0.25">
      <c r="A2490" s="1">
        <v>45126</v>
      </c>
      <c r="B2490">
        <v>7.2317999999999998</v>
      </c>
      <c r="C2490" s="1">
        <v>45376</v>
      </c>
      <c r="D2490">
        <v>7.2114000000000003</v>
      </c>
      <c r="E2490" s="1">
        <v>45376</v>
      </c>
      <c r="F2490">
        <v>7.2114000000000003</v>
      </c>
    </row>
    <row r="2491" spans="1:6" x14ac:dyDescent="0.25">
      <c r="A2491" s="1">
        <v>45127</v>
      </c>
      <c r="B2491">
        <v>7.1750999999999996</v>
      </c>
      <c r="C2491" s="1">
        <v>45377</v>
      </c>
      <c r="D2491">
        <v>7.2167000000000003</v>
      </c>
      <c r="E2491" s="1">
        <v>45377</v>
      </c>
      <c r="F2491">
        <v>7.2167000000000003</v>
      </c>
    </row>
    <row r="2492" spans="1:6" x14ac:dyDescent="0.25">
      <c r="A2492" s="1">
        <v>45128</v>
      </c>
      <c r="B2492">
        <v>7.1881000000000004</v>
      </c>
      <c r="C2492" s="1">
        <v>45378</v>
      </c>
      <c r="D2492">
        <v>7.226</v>
      </c>
      <c r="E2492" s="1">
        <v>45378</v>
      </c>
      <c r="F2492">
        <v>7.226</v>
      </c>
    </row>
    <row r="2493" spans="1:6" x14ac:dyDescent="0.25">
      <c r="A2493" s="1">
        <v>45131</v>
      </c>
      <c r="B2493">
        <v>7.1863000000000001</v>
      </c>
      <c r="C2493" s="1">
        <v>45379</v>
      </c>
      <c r="D2493">
        <v>7.2267000000000001</v>
      </c>
      <c r="E2493" s="1">
        <v>45379</v>
      </c>
      <c r="F2493">
        <v>7.2267000000000001</v>
      </c>
    </row>
    <row r="2494" spans="1:6" x14ac:dyDescent="0.25">
      <c r="A2494" s="1">
        <v>45132</v>
      </c>
      <c r="B2494">
        <v>7.1372</v>
      </c>
      <c r="C2494" s="1">
        <v>45380</v>
      </c>
      <c r="D2494">
        <v>7.2224000000000004</v>
      </c>
      <c r="E2494" s="1">
        <v>45380</v>
      </c>
      <c r="F2494">
        <v>7.2224000000000004</v>
      </c>
    </row>
    <row r="2495" spans="1:6" x14ac:dyDescent="0.25">
      <c r="A2495" s="1">
        <v>45133</v>
      </c>
      <c r="B2495">
        <v>7.1532</v>
      </c>
      <c r="C2495" s="1">
        <v>45383</v>
      </c>
      <c r="D2495">
        <v>7.2308000000000003</v>
      </c>
      <c r="E2495" s="1">
        <v>45383</v>
      </c>
      <c r="F2495">
        <v>7.2308000000000003</v>
      </c>
    </row>
    <row r="2496" spans="1:6" x14ac:dyDescent="0.25">
      <c r="A2496" s="1">
        <v>45134</v>
      </c>
      <c r="B2496">
        <v>7.1704999999999997</v>
      </c>
      <c r="C2496" s="1">
        <v>45384</v>
      </c>
      <c r="D2496">
        <v>7.2325999999999997</v>
      </c>
      <c r="E2496" s="1">
        <v>45384</v>
      </c>
      <c r="F2496">
        <v>7.2325999999999997</v>
      </c>
    </row>
    <row r="2497" spans="1:6" x14ac:dyDescent="0.25">
      <c r="A2497" s="1">
        <v>45135</v>
      </c>
      <c r="B2497">
        <v>7.1525999999999996</v>
      </c>
      <c r="C2497" s="1">
        <v>45385</v>
      </c>
      <c r="D2497">
        <v>7.2332000000000001</v>
      </c>
      <c r="E2497" s="1">
        <v>45385</v>
      </c>
      <c r="F2497">
        <v>7.2332000000000001</v>
      </c>
    </row>
    <row r="2498" spans="1:6" x14ac:dyDescent="0.25">
      <c r="A2498" s="1">
        <v>45138</v>
      </c>
      <c r="B2498">
        <v>7.1460999999999997</v>
      </c>
      <c r="C2498" s="1">
        <v>45390</v>
      </c>
      <c r="D2498">
        <v>7.2308000000000003</v>
      </c>
      <c r="E2498" s="1">
        <v>45390</v>
      </c>
      <c r="F2498">
        <v>7.2308000000000003</v>
      </c>
    </row>
    <row r="2499" spans="1:6" x14ac:dyDescent="0.25">
      <c r="A2499" s="1">
        <v>45139</v>
      </c>
      <c r="B2499">
        <v>7.1856</v>
      </c>
      <c r="C2499" s="1">
        <v>45391</v>
      </c>
      <c r="D2499">
        <v>7.2323000000000004</v>
      </c>
      <c r="E2499" s="1">
        <v>45391</v>
      </c>
      <c r="F2499">
        <v>7.2323000000000004</v>
      </c>
    </row>
    <row r="2500" spans="1:6" x14ac:dyDescent="0.25">
      <c r="A2500" s="1">
        <v>45140</v>
      </c>
      <c r="B2500">
        <v>7.2008999999999999</v>
      </c>
      <c r="C2500" s="1">
        <v>45392</v>
      </c>
      <c r="D2500">
        <v>7.2343000000000002</v>
      </c>
      <c r="E2500" s="1">
        <v>45392</v>
      </c>
      <c r="F2500">
        <v>7.2343000000000002</v>
      </c>
    </row>
    <row r="2501" spans="1:6" x14ac:dyDescent="0.25">
      <c r="A2501" s="1">
        <v>45141</v>
      </c>
      <c r="B2501">
        <v>7.1820000000000004</v>
      </c>
      <c r="C2501" s="1">
        <v>45393</v>
      </c>
      <c r="D2501">
        <v>7.2370000000000001</v>
      </c>
      <c r="E2501" s="1">
        <v>45393</v>
      </c>
      <c r="F2501">
        <v>7.2370000000000001</v>
      </c>
    </row>
    <row r="2502" spans="1:6" x14ac:dyDescent="0.25">
      <c r="A2502" s="1">
        <v>45142</v>
      </c>
      <c r="B2502">
        <v>7.1879</v>
      </c>
      <c r="C2502" s="1">
        <v>45394</v>
      </c>
      <c r="D2502">
        <v>7.2373000000000003</v>
      </c>
      <c r="E2502" s="1">
        <v>45394</v>
      </c>
      <c r="F2502">
        <v>7.2373000000000003</v>
      </c>
    </row>
    <row r="2503" spans="1:6" x14ac:dyDescent="0.25">
      <c r="A2503" s="1">
        <v>45145</v>
      </c>
      <c r="B2503">
        <v>7.2012</v>
      </c>
      <c r="C2503" s="1">
        <v>45397</v>
      </c>
      <c r="D2503">
        <v>7.2381000000000002</v>
      </c>
      <c r="E2503" s="1">
        <v>45397</v>
      </c>
      <c r="F2503">
        <v>7.2381000000000002</v>
      </c>
    </row>
    <row r="2504" spans="1:6" x14ac:dyDescent="0.25">
      <c r="A2504" s="1">
        <v>45146</v>
      </c>
      <c r="B2504">
        <v>7.2370999999999999</v>
      </c>
      <c r="C2504" s="1">
        <v>45398</v>
      </c>
      <c r="D2504">
        <v>7.2378</v>
      </c>
      <c r="E2504" s="1">
        <v>45398</v>
      </c>
      <c r="F2504">
        <v>7.2378</v>
      </c>
    </row>
    <row r="2505" spans="1:6" x14ac:dyDescent="0.25">
      <c r="A2505" s="1">
        <v>45147</v>
      </c>
      <c r="B2505">
        <v>7.2293000000000003</v>
      </c>
      <c r="C2505" s="1">
        <v>45399</v>
      </c>
      <c r="D2505">
        <v>7.2385999999999999</v>
      </c>
      <c r="E2505" s="1">
        <v>45399</v>
      </c>
      <c r="F2505">
        <v>7.2385999999999999</v>
      </c>
    </row>
    <row r="2506" spans="1:6" x14ac:dyDescent="0.25">
      <c r="A2506" s="1">
        <v>45148</v>
      </c>
      <c r="B2506">
        <v>7.2427000000000001</v>
      </c>
      <c r="C2506" s="1">
        <v>45400</v>
      </c>
      <c r="D2506">
        <v>7.2386999999999997</v>
      </c>
      <c r="E2506" s="1">
        <v>45400</v>
      </c>
      <c r="F2506">
        <v>7.2386999999999997</v>
      </c>
    </row>
    <row r="2507" spans="1:6" x14ac:dyDescent="0.25">
      <c r="A2507" s="1">
        <v>45149</v>
      </c>
      <c r="B2507">
        <v>7.2601000000000004</v>
      </c>
      <c r="C2507" s="1">
        <v>45401</v>
      </c>
      <c r="D2507">
        <v>7.2393000000000001</v>
      </c>
      <c r="E2507" s="1">
        <v>45401</v>
      </c>
      <c r="F2507">
        <v>7.2393000000000001</v>
      </c>
    </row>
    <row r="2508" spans="1:6" x14ac:dyDescent="0.25">
      <c r="A2508" s="1">
        <v>45152</v>
      </c>
      <c r="B2508">
        <v>7.2793000000000001</v>
      </c>
      <c r="C2508" s="1">
        <v>45404</v>
      </c>
      <c r="D2508">
        <v>7.2435999999999998</v>
      </c>
      <c r="E2508" s="1">
        <v>45404</v>
      </c>
      <c r="F2508">
        <v>7.2435999999999998</v>
      </c>
    </row>
    <row r="2509" spans="1:6" x14ac:dyDescent="0.25">
      <c r="A2509" s="1">
        <v>45153</v>
      </c>
      <c r="B2509">
        <v>7.3242000000000003</v>
      </c>
      <c r="C2509" s="1">
        <v>45405</v>
      </c>
      <c r="D2509">
        <v>7.2451999999999996</v>
      </c>
      <c r="E2509" s="1">
        <v>45405</v>
      </c>
      <c r="F2509">
        <v>7.2451999999999996</v>
      </c>
    </row>
    <row r="2510" spans="1:6" x14ac:dyDescent="0.25">
      <c r="A2510" s="1">
        <v>45154</v>
      </c>
      <c r="B2510">
        <v>7.3362999999999996</v>
      </c>
      <c r="C2510" s="1">
        <v>45406</v>
      </c>
      <c r="D2510">
        <v>7.2460000000000004</v>
      </c>
      <c r="E2510" s="1">
        <v>45406</v>
      </c>
      <c r="F2510">
        <v>7.2460000000000004</v>
      </c>
    </row>
    <row r="2511" spans="1:6" x14ac:dyDescent="0.25">
      <c r="A2511" s="1">
        <v>45155</v>
      </c>
      <c r="B2511">
        <v>7.3041</v>
      </c>
      <c r="C2511" s="1">
        <v>45407</v>
      </c>
      <c r="D2511">
        <v>7.2398999999999996</v>
      </c>
      <c r="E2511" s="1">
        <v>45407</v>
      </c>
      <c r="F2511">
        <v>7.2398999999999996</v>
      </c>
    </row>
    <row r="2512" spans="1:6" x14ac:dyDescent="0.25">
      <c r="A2512" s="1">
        <v>45156</v>
      </c>
      <c r="B2512">
        <v>7.3064</v>
      </c>
      <c r="C2512" s="1">
        <v>45408</v>
      </c>
      <c r="D2512">
        <v>7.2464000000000004</v>
      </c>
      <c r="E2512" s="1">
        <v>45408</v>
      </c>
      <c r="F2512">
        <v>7.2464000000000004</v>
      </c>
    </row>
    <row r="2513" spans="1:6" x14ac:dyDescent="0.25">
      <c r="A2513" s="1">
        <v>45159</v>
      </c>
      <c r="B2513">
        <v>7.2892000000000001</v>
      </c>
      <c r="C2513" s="1">
        <v>45411</v>
      </c>
      <c r="D2513">
        <v>7.2290000000000001</v>
      </c>
      <c r="E2513" s="1">
        <v>45411</v>
      </c>
      <c r="F2513">
        <v>7.2290000000000001</v>
      </c>
    </row>
    <row r="2514" spans="1:6" x14ac:dyDescent="0.25">
      <c r="A2514" s="1">
        <v>45160</v>
      </c>
      <c r="B2514">
        <v>7.3064999999999998</v>
      </c>
      <c r="C2514" s="1">
        <v>45412</v>
      </c>
      <c r="D2514">
        <v>7.2411000000000003</v>
      </c>
      <c r="E2514" s="1">
        <v>45412</v>
      </c>
      <c r="F2514">
        <v>7.2411000000000003</v>
      </c>
    </row>
    <row r="2515" spans="1:6" x14ac:dyDescent="0.25">
      <c r="A2515" s="1">
        <v>45161</v>
      </c>
      <c r="B2515">
        <v>7.2877000000000001</v>
      </c>
      <c r="C2515" s="1">
        <v>45418</v>
      </c>
      <c r="D2515">
        <v>7.2088000000000001</v>
      </c>
      <c r="E2515" s="1">
        <v>45418</v>
      </c>
      <c r="F2515">
        <v>7.2088000000000001</v>
      </c>
    </row>
    <row r="2516" spans="1:6" x14ac:dyDescent="0.25">
      <c r="A2516" s="1">
        <v>45162</v>
      </c>
      <c r="B2516">
        <v>7.2805999999999997</v>
      </c>
      <c r="C2516" s="1">
        <v>45419</v>
      </c>
      <c r="D2516">
        <v>7.2186000000000003</v>
      </c>
      <c r="E2516" s="1">
        <v>45419</v>
      </c>
      <c r="F2516">
        <v>7.2186000000000003</v>
      </c>
    </row>
    <row r="2517" spans="1:6" x14ac:dyDescent="0.25">
      <c r="A2517" s="1">
        <v>45163</v>
      </c>
      <c r="B2517">
        <v>7.2948000000000004</v>
      </c>
      <c r="C2517" s="1">
        <v>45420</v>
      </c>
      <c r="D2517">
        <v>7.2245999999999997</v>
      </c>
      <c r="E2517" s="1">
        <v>45420</v>
      </c>
      <c r="F2517">
        <v>7.2245999999999997</v>
      </c>
    </row>
    <row r="2518" spans="1:6" x14ac:dyDescent="0.25">
      <c r="A2518" s="1">
        <v>45166</v>
      </c>
      <c r="B2518">
        <v>7.2933000000000003</v>
      </c>
      <c r="C2518" s="1">
        <v>45421</v>
      </c>
      <c r="D2518">
        <v>7.2199</v>
      </c>
      <c r="E2518" s="1">
        <v>45421</v>
      </c>
      <c r="F2518">
        <v>7.2199</v>
      </c>
    </row>
    <row r="2519" spans="1:6" x14ac:dyDescent="0.25">
      <c r="A2519" s="1">
        <v>45167</v>
      </c>
      <c r="B2519">
        <v>7.2839999999999998</v>
      </c>
      <c r="C2519" s="1">
        <v>45422</v>
      </c>
      <c r="D2519">
        <v>7.2268999999999997</v>
      </c>
      <c r="E2519" s="1">
        <v>45422</v>
      </c>
      <c r="F2519">
        <v>7.2268999999999997</v>
      </c>
    </row>
    <row r="2520" spans="1:6" x14ac:dyDescent="0.25">
      <c r="A2520" s="1">
        <v>45168</v>
      </c>
      <c r="B2520">
        <v>7.3030999999999997</v>
      </c>
      <c r="C2520" s="1">
        <v>45425</v>
      </c>
      <c r="D2520">
        <v>7.2333999999999996</v>
      </c>
      <c r="E2520" s="1">
        <v>45425</v>
      </c>
      <c r="F2520">
        <v>7.2333999999999996</v>
      </c>
    </row>
    <row r="2521" spans="1:6" x14ac:dyDescent="0.25">
      <c r="A2521" s="1">
        <v>45169</v>
      </c>
      <c r="B2521">
        <v>7.2755000000000001</v>
      </c>
      <c r="C2521" s="1">
        <v>45426</v>
      </c>
      <c r="D2521">
        <v>7.2336999999999998</v>
      </c>
      <c r="E2521" s="1">
        <v>45426</v>
      </c>
      <c r="F2521">
        <v>7.2336999999999998</v>
      </c>
    </row>
    <row r="2522" spans="1:6" x14ac:dyDescent="0.25">
      <c r="A2522" s="1">
        <v>45170</v>
      </c>
      <c r="B2522">
        <v>7.2702999999999998</v>
      </c>
      <c r="C2522" s="1">
        <v>45427</v>
      </c>
      <c r="D2522">
        <v>7.2190000000000003</v>
      </c>
      <c r="E2522" s="1">
        <v>45427</v>
      </c>
      <c r="F2522">
        <v>7.2190000000000003</v>
      </c>
    </row>
    <row r="2523" spans="1:6" x14ac:dyDescent="0.25">
      <c r="A2523" s="1">
        <v>45173</v>
      </c>
      <c r="B2523">
        <v>7.2755000000000001</v>
      </c>
      <c r="C2523" s="1">
        <v>45428</v>
      </c>
      <c r="D2523">
        <v>7.2214</v>
      </c>
      <c r="E2523" s="1">
        <v>45428</v>
      </c>
      <c r="F2523">
        <v>7.2214</v>
      </c>
    </row>
    <row r="2524" spans="1:6" x14ac:dyDescent="0.25">
      <c r="A2524" s="1">
        <v>45174</v>
      </c>
      <c r="B2524">
        <v>7.3055000000000003</v>
      </c>
      <c r="C2524" s="1">
        <v>45429</v>
      </c>
      <c r="D2524">
        <v>7.2243000000000004</v>
      </c>
      <c r="E2524" s="1">
        <v>45429</v>
      </c>
      <c r="F2524">
        <v>7.2243000000000004</v>
      </c>
    </row>
    <row r="2525" spans="1:6" x14ac:dyDescent="0.25">
      <c r="A2525" s="1">
        <v>45175</v>
      </c>
      <c r="B2525">
        <v>7.3208000000000002</v>
      </c>
      <c r="C2525" s="1">
        <v>45432</v>
      </c>
      <c r="D2525">
        <v>7.2354000000000003</v>
      </c>
      <c r="E2525" s="1">
        <v>45432</v>
      </c>
      <c r="F2525">
        <v>7.2354000000000003</v>
      </c>
    </row>
    <row r="2526" spans="1:6" x14ac:dyDescent="0.25">
      <c r="A2526" s="1">
        <v>45176</v>
      </c>
      <c r="B2526">
        <v>7.3422000000000001</v>
      </c>
      <c r="C2526" s="1">
        <v>45433</v>
      </c>
      <c r="D2526">
        <v>7.2375999999999996</v>
      </c>
      <c r="E2526" s="1">
        <v>45433</v>
      </c>
      <c r="F2526">
        <v>7.2375999999999996</v>
      </c>
    </row>
    <row r="2527" spans="1:6" x14ac:dyDescent="0.25">
      <c r="A2527" s="1">
        <v>45177</v>
      </c>
      <c r="B2527">
        <v>7.3647</v>
      </c>
      <c r="C2527" s="1">
        <v>45434</v>
      </c>
      <c r="D2527">
        <v>7.2412999999999998</v>
      </c>
      <c r="E2527" s="1">
        <v>45434</v>
      </c>
      <c r="F2527">
        <v>7.2412999999999998</v>
      </c>
    </row>
    <row r="2528" spans="1:6" x14ac:dyDescent="0.25">
      <c r="A2528" s="1">
        <v>45180</v>
      </c>
      <c r="B2528">
        <v>7.3023999999999996</v>
      </c>
      <c r="C2528" s="1">
        <v>45435</v>
      </c>
      <c r="D2528">
        <v>7.2428999999999997</v>
      </c>
      <c r="E2528" s="1">
        <v>45435</v>
      </c>
      <c r="F2528">
        <v>7.2428999999999997</v>
      </c>
    </row>
    <row r="2529" spans="1:6" x14ac:dyDescent="0.25">
      <c r="A2529" s="1">
        <v>45181</v>
      </c>
      <c r="B2529">
        <v>7.3014000000000001</v>
      </c>
      <c r="C2529" s="1">
        <v>45436</v>
      </c>
      <c r="D2529">
        <v>7.2435999999999998</v>
      </c>
      <c r="E2529" s="1">
        <v>45436</v>
      </c>
      <c r="F2529">
        <v>7.2435999999999998</v>
      </c>
    </row>
    <row r="2530" spans="1:6" x14ac:dyDescent="0.25">
      <c r="A2530" s="1">
        <v>45182</v>
      </c>
      <c r="B2530">
        <v>7.2718999999999996</v>
      </c>
      <c r="C2530" s="1">
        <v>45439</v>
      </c>
      <c r="D2530">
        <v>7.2445000000000004</v>
      </c>
      <c r="E2530" s="1">
        <v>45439</v>
      </c>
      <c r="F2530">
        <v>7.2445000000000004</v>
      </c>
    </row>
    <row r="2531" spans="1:6" x14ac:dyDescent="0.25">
      <c r="A2531" s="1">
        <v>45183</v>
      </c>
      <c r="B2531">
        <v>7.2901999999999996</v>
      </c>
      <c r="C2531" s="1">
        <v>45440</v>
      </c>
      <c r="D2531">
        <v>7.2443999999999997</v>
      </c>
      <c r="E2531" s="1">
        <v>45440</v>
      </c>
      <c r="F2531">
        <v>7.2443999999999997</v>
      </c>
    </row>
    <row r="2532" spans="1:6" x14ac:dyDescent="0.25">
      <c r="A2532" s="1">
        <v>45184</v>
      </c>
      <c r="B2532">
        <v>7.2807000000000004</v>
      </c>
      <c r="C2532" s="1">
        <v>45441</v>
      </c>
      <c r="D2532">
        <v>7.2492000000000001</v>
      </c>
      <c r="E2532" s="1">
        <v>45441</v>
      </c>
      <c r="F2532">
        <v>7.2492000000000001</v>
      </c>
    </row>
    <row r="2533" spans="1:6" x14ac:dyDescent="0.25">
      <c r="A2533" s="1">
        <v>45187</v>
      </c>
      <c r="B2533">
        <v>7.2910000000000004</v>
      </c>
      <c r="C2533" s="1">
        <v>45442</v>
      </c>
      <c r="D2533">
        <v>7.2327000000000004</v>
      </c>
      <c r="E2533" s="1">
        <v>45442</v>
      </c>
      <c r="F2533">
        <v>7.2327000000000004</v>
      </c>
    </row>
    <row r="2534" spans="1:6" x14ac:dyDescent="0.25">
      <c r="A2534" s="1">
        <v>45188</v>
      </c>
      <c r="B2534">
        <v>7.3036000000000003</v>
      </c>
      <c r="C2534" s="1">
        <v>45443</v>
      </c>
      <c r="D2534">
        <v>7.2417999999999996</v>
      </c>
      <c r="E2534" s="1">
        <v>45443</v>
      </c>
      <c r="F2534">
        <v>7.2417999999999996</v>
      </c>
    </row>
    <row r="2535" spans="1:6" x14ac:dyDescent="0.25">
      <c r="A2535" s="1">
        <v>45189</v>
      </c>
      <c r="B2535">
        <v>7.3074000000000003</v>
      </c>
      <c r="C2535" s="1">
        <v>45446</v>
      </c>
      <c r="D2535">
        <v>7.242</v>
      </c>
      <c r="E2535" s="1">
        <v>45446</v>
      </c>
      <c r="F2535">
        <v>7.242</v>
      </c>
    </row>
    <row r="2536" spans="1:6" x14ac:dyDescent="0.25">
      <c r="A2536" s="1">
        <v>45190</v>
      </c>
      <c r="B2536">
        <v>7.3140999999999998</v>
      </c>
      <c r="C2536" s="1">
        <v>45447</v>
      </c>
      <c r="D2536">
        <v>7.2403000000000004</v>
      </c>
      <c r="E2536" s="1">
        <v>45447</v>
      </c>
      <c r="F2536">
        <v>7.2403000000000004</v>
      </c>
    </row>
    <row r="2537" spans="1:6" x14ac:dyDescent="0.25">
      <c r="A2537" s="1">
        <v>45191</v>
      </c>
      <c r="B2537">
        <v>7.2990000000000004</v>
      </c>
      <c r="C2537" s="1">
        <v>45448</v>
      </c>
      <c r="D2537">
        <v>7.2477</v>
      </c>
      <c r="E2537" s="1">
        <v>45448</v>
      </c>
      <c r="F2537">
        <v>7.2477</v>
      </c>
    </row>
    <row r="2538" spans="1:6" x14ac:dyDescent="0.25">
      <c r="A2538" s="1">
        <v>45194</v>
      </c>
      <c r="B2538">
        <v>7.3156999999999996</v>
      </c>
      <c r="C2538" s="1">
        <v>45449</v>
      </c>
      <c r="D2538">
        <v>7.2450000000000001</v>
      </c>
      <c r="E2538" s="1">
        <v>45449</v>
      </c>
      <c r="F2538">
        <v>7.2450000000000001</v>
      </c>
    </row>
    <row r="2539" spans="1:6" x14ac:dyDescent="0.25">
      <c r="A2539" s="1">
        <v>45195</v>
      </c>
      <c r="B2539">
        <v>7.3101000000000003</v>
      </c>
      <c r="C2539" s="1">
        <v>45450</v>
      </c>
      <c r="D2539">
        <v>7.2477999999999998</v>
      </c>
      <c r="E2539" s="1">
        <v>45450</v>
      </c>
      <c r="F2539">
        <v>7.2477999999999998</v>
      </c>
    </row>
    <row r="2540" spans="1:6" x14ac:dyDescent="0.25">
      <c r="A2540" s="1">
        <v>45196</v>
      </c>
      <c r="B2540">
        <v>7.3242000000000003</v>
      </c>
      <c r="C2540" s="1">
        <v>45454</v>
      </c>
      <c r="D2540">
        <v>7.2544000000000004</v>
      </c>
      <c r="E2540" s="1">
        <v>45454</v>
      </c>
      <c r="F2540">
        <v>7.2544000000000004</v>
      </c>
    </row>
    <row r="2541" spans="1:6" x14ac:dyDescent="0.25">
      <c r="A2541" s="1">
        <v>45197</v>
      </c>
      <c r="B2541">
        <v>7.2948000000000004</v>
      </c>
      <c r="C2541" s="1">
        <v>45455</v>
      </c>
      <c r="D2541">
        <v>7.2404999999999999</v>
      </c>
      <c r="E2541" s="1">
        <v>45455</v>
      </c>
      <c r="F2541">
        <v>7.2404999999999999</v>
      </c>
    </row>
    <row r="2542" spans="1:6" x14ac:dyDescent="0.25">
      <c r="A2542" s="1">
        <v>45198</v>
      </c>
      <c r="B2542">
        <v>7.2927999999999997</v>
      </c>
      <c r="C2542" s="1">
        <v>45456</v>
      </c>
      <c r="D2542">
        <v>7.2525000000000004</v>
      </c>
      <c r="E2542" s="1">
        <v>45456</v>
      </c>
      <c r="F2542">
        <v>7.2525000000000004</v>
      </c>
    </row>
    <row r="2543" spans="1:6" x14ac:dyDescent="0.25">
      <c r="A2543" s="1">
        <v>45201</v>
      </c>
      <c r="B2543">
        <v>7.3227000000000002</v>
      </c>
      <c r="C2543" s="1">
        <v>45457</v>
      </c>
      <c r="D2543">
        <v>7.2557</v>
      </c>
      <c r="E2543" s="1">
        <v>45457</v>
      </c>
      <c r="F2543">
        <v>7.2557</v>
      </c>
    </row>
    <row r="2544" spans="1:6" x14ac:dyDescent="0.25">
      <c r="A2544" s="1">
        <v>45202</v>
      </c>
      <c r="B2544">
        <v>7.3228</v>
      </c>
      <c r="C2544" s="1">
        <v>45460</v>
      </c>
      <c r="D2544">
        <v>7.2561</v>
      </c>
      <c r="E2544" s="1">
        <v>45460</v>
      </c>
      <c r="F2544">
        <v>7.2561</v>
      </c>
    </row>
    <row r="2545" spans="1:6" x14ac:dyDescent="0.25">
      <c r="A2545" s="1">
        <v>45203</v>
      </c>
      <c r="B2545">
        <v>7.3163999999999998</v>
      </c>
      <c r="C2545" s="1">
        <v>45461</v>
      </c>
      <c r="D2545">
        <v>7.2538999999999998</v>
      </c>
      <c r="E2545" s="1">
        <v>45461</v>
      </c>
      <c r="F2545">
        <v>7.2538999999999998</v>
      </c>
    </row>
    <row r="2546" spans="1:6" x14ac:dyDescent="0.25">
      <c r="A2546" s="1">
        <v>45204</v>
      </c>
      <c r="B2546">
        <v>7.3064</v>
      </c>
      <c r="C2546" s="1">
        <v>45462</v>
      </c>
      <c r="D2546">
        <v>7.2571000000000003</v>
      </c>
      <c r="E2546" s="1">
        <v>45462</v>
      </c>
      <c r="F2546">
        <v>7.2571000000000003</v>
      </c>
    </row>
    <row r="2547" spans="1:6" x14ac:dyDescent="0.25">
      <c r="A2547" s="1">
        <v>45205</v>
      </c>
      <c r="B2547">
        <v>7.3094000000000001</v>
      </c>
      <c r="C2547" s="1">
        <v>45463</v>
      </c>
      <c r="D2547">
        <v>7.2603999999999997</v>
      </c>
      <c r="E2547" s="1">
        <v>45463</v>
      </c>
      <c r="F2547">
        <v>7.2603999999999997</v>
      </c>
    </row>
    <row r="2548" spans="1:6" x14ac:dyDescent="0.25">
      <c r="A2548" s="1">
        <v>45208</v>
      </c>
      <c r="B2548">
        <v>7.2927999999999997</v>
      </c>
      <c r="C2548" s="1">
        <v>45464</v>
      </c>
      <c r="D2548">
        <v>7.2610000000000001</v>
      </c>
      <c r="E2548" s="1">
        <v>45464</v>
      </c>
      <c r="F2548">
        <v>7.2610000000000001</v>
      </c>
    </row>
    <row r="2549" spans="1:6" x14ac:dyDescent="0.25">
      <c r="A2549" s="1">
        <v>45209</v>
      </c>
      <c r="B2549">
        <v>7.2877999999999998</v>
      </c>
      <c r="C2549" s="1">
        <v>45467</v>
      </c>
      <c r="D2549">
        <v>7.2594000000000003</v>
      </c>
      <c r="E2549" s="1">
        <v>45467</v>
      </c>
      <c r="F2549">
        <v>7.2594000000000003</v>
      </c>
    </row>
    <row r="2550" spans="1:6" x14ac:dyDescent="0.25">
      <c r="A2550" s="1">
        <v>45210</v>
      </c>
      <c r="B2550">
        <v>7.3010000000000002</v>
      </c>
      <c r="C2550" s="1">
        <v>45468</v>
      </c>
      <c r="D2550">
        <v>7.2629000000000001</v>
      </c>
      <c r="E2550" s="1">
        <v>45468</v>
      </c>
      <c r="F2550">
        <v>7.2629000000000001</v>
      </c>
    </row>
    <row r="2551" spans="1:6" x14ac:dyDescent="0.25">
      <c r="A2551" s="1">
        <v>45211</v>
      </c>
      <c r="B2551">
        <v>7.3098000000000001</v>
      </c>
      <c r="C2551" s="1">
        <v>45469</v>
      </c>
      <c r="D2551">
        <v>7.2666000000000004</v>
      </c>
      <c r="E2551" s="1">
        <v>45469</v>
      </c>
      <c r="F2551">
        <v>7.2666000000000004</v>
      </c>
    </row>
    <row r="2552" spans="1:6" x14ac:dyDescent="0.25">
      <c r="A2552" s="1">
        <v>45212</v>
      </c>
      <c r="B2552">
        <v>7.3132999999999999</v>
      </c>
      <c r="C2552" s="1">
        <v>45470</v>
      </c>
      <c r="D2552">
        <v>7.2687999999999997</v>
      </c>
      <c r="E2552" s="1">
        <v>45470</v>
      </c>
      <c r="F2552">
        <v>7.2687999999999997</v>
      </c>
    </row>
    <row r="2553" spans="1:6" x14ac:dyDescent="0.25">
      <c r="A2553" s="1">
        <v>45215</v>
      </c>
      <c r="B2553">
        <v>7.3085000000000004</v>
      </c>
      <c r="C2553" s="1">
        <v>45471</v>
      </c>
      <c r="D2553">
        <v>7.2672999999999996</v>
      </c>
      <c r="E2553" s="1">
        <v>45471</v>
      </c>
      <c r="F2553">
        <v>7.2672999999999996</v>
      </c>
    </row>
    <row r="2554" spans="1:6" x14ac:dyDescent="0.25">
      <c r="A2554" s="1">
        <v>45216</v>
      </c>
      <c r="B2554">
        <v>7.3255999999999997</v>
      </c>
      <c r="C2554" s="1">
        <v>45474</v>
      </c>
      <c r="D2554">
        <v>7.2683999999999997</v>
      </c>
      <c r="E2554" s="1">
        <v>45474</v>
      </c>
      <c r="F2554">
        <v>7.2683999999999997</v>
      </c>
    </row>
    <row r="2555" spans="1:6" x14ac:dyDescent="0.25">
      <c r="A2555" s="1">
        <v>45217</v>
      </c>
      <c r="B2555">
        <v>7.3277000000000001</v>
      </c>
      <c r="C2555" s="1">
        <v>45475</v>
      </c>
      <c r="D2555">
        <v>7.2712000000000003</v>
      </c>
      <c r="E2555" s="1">
        <v>45475</v>
      </c>
      <c r="F2555">
        <v>7.2712000000000003</v>
      </c>
    </row>
    <row r="2556" spans="1:6" x14ac:dyDescent="0.25">
      <c r="A2556" s="1">
        <v>45218</v>
      </c>
      <c r="B2556">
        <v>7.3365</v>
      </c>
      <c r="C2556" s="1">
        <v>45476</v>
      </c>
      <c r="D2556">
        <v>7.2702</v>
      </c>
      <c r="E2556" s="1">
        <v>45476</v>
      </c>
      <c r="F2556">
        <v>7.2702</v>
      </c>
    </row>
    <row r="2557" spans="1:6" x14ac:dyDescent="0.25">
      <c r="A2557" s="1">
        <v>45219</v>
      </c>
      <c r="B2557">
        <v>7.3270999999999997</v>
      </c>
      <c r="C2557" s="1">
        <v>45477</v>
      </c>
      <c r="D2557">
        <v>7.2682000000000002</v>
      </c>
      <c r="E2557" s="1">
        <v>45477</v>
      </c>
      <c r="F2557">
        <v>7.2682000000000002</v>
      </c>
    </row>
    <row r="2558" spans="1:6" x14ac:dyDescent="0.25">
      <c r="A2558" s="1">
        <v>45222</v>
      </c>
      <c r="B2558">
        <v>7.3103999999999996</v>
      </c>
      <c r="C2558" s="1">
        <v>45478</v>
      </c>
      <c r="D2558">
        <v>7.2683</v>
      </c>
      <c r="E2558" s="1">
        <v>45478</v>
      </c>
      <c r="F2558">
        <v>7.2683</v>
      </c>
    </row>
    <row r="2559" spans="1:6" x14ac:dyDescent="0.25">
      <c r="A2559" s="1">
        <v>45223</v>
      </c>
      <c r="B2559">
        <v>7.3144</v>
      </c>
      <c r="C2559" s="1">
        <v>45481</v>
      </c>
      <c r="D2559">
        <v>7.2680999999999996</v>
      </c>
      <c r="E2559" s="1">
        <v>45481</v>
      </c>
      <c r="F2559">
        <v>7.2680999999999996</v>
      </c>
    </row>
    <row r="2560" spans="1:6" x14ac:dyDescent="0.25">
      <c r="A2560" s="1">
        <v>45224</v>
      </c>
      <c r="B2560">
        <v>7.3299000000000003</v>
      </c>
      <c r="C2560" s="1">
        <v>45482</v>
      </c>
      <c r="D2560">
        <v>7.2725999999999997</v>
      </c>
      <c r="E2560" s="1">
        <v>45482</v>
      </c>
      <c r="F2560">
        <v>7.2725999999999997</v>
      </c>
    </row>
    <row r="2561" spans="1:6" x14ac:dyDescent="0.25">
      <c r="A2561" s="1">
        <v>45225</v>
      </c>
      <c r="B2561">
        <v>7.3247999999999998</v>
      </c>
      <c r="C2561" s="1">
        <v>45483</v>
      </c>
      <c r="D2561">
        <v>7.2759999999999998</v>
      </c>
      <c r="E2561" s="1">
        <v>45483</v>
      </c>
      <c r="F2561">
        <v>7.2759999999999998</v>
      </c>
    </row>
    <row r="2562" spans="1:6" x14ac:dyDescent="0.25">
      <c r="A2562" s="1">
        <v>45226</v>
      </c>
      <c r="B2562">
        <v>7.3334000000000001</v>
      </c>
      <c r="C2562" s="1">
        <v>45484</v>
      </c>
      <c r="D2562">
        <v>7.2579000000000002</v>
      </c>
      <c r="E2562" s="1">
        <v>45484</v>
      </c>
      <c r="F2562">
        <v>7.2579000000000002</v>
      </c>
    </row>
    <row r="2563" spans="1:6" x14ac:dyDescent="0.25">
      <c r="A2563" s="1">
        <v>45229</v>
      </c>
      <c r="B2563">
        <v>7.3253000000000004</v>
      </c>
      <c r="C2563" s="1">
        <v>45485</v>
      </c>
      <c r="D2563">
        <v>7.2504</v>
      </c>
      <c r="E2563" s="1">
        <v>45485</v>
      </c>
      <c r="F2563">
        <v>7.2504</v>
      </c>
    </row>
    <row r="2564" spans="1:6" x14ac:dyDescent="0.25">
      <c r="A2564" s="1">
        <v>45230</v>
      </c>
      <c r="B2564">
        <v>7.3415999999999997</v>
      </c>
      <c r="C2564" s="1">
        <v>45488</v>
      </c>
      <c r="D2564">
        <v>7.2583000000000002</v>
      </c>
      <c r="E2564" s="1">
        <v>45488</v>
      </c>
      <c r="F2564">
        <v>7.2583000000000002</v>
      </c>
    </row>
    <row r="2565" spans="1:6" x14ac:dyDescent="0.25">
      <c r="A2565" s="1">
        <v>45231</v>
      </c>
      <c r="B2565">
        <v>7.3357000000000001</v>
      </c>
      <c r="C2565" s="1">
        <v>45489</v>
      </c>
      <c r="D2565">
        <v>7.2685000000000004</v>
      </c>
      <c r="E2565" s="1">
        <v>45489</v>
      </c>
      <c r="F2565">
        <v>7.2685000000000004</v>
      </c>
    </row>
    <row r="2566" spans="1:6" x14ac:dyDescent="0.25">
      <c r="A2566" s="1">
        <v>45232</v>
      </c>
      <c r="B2566">
        <v>7.3266</v>
      </c>
      <c r="C2566" s="1">
        <v>45490</v>
      </c>
      <c r="D2566">
        <v>7.2621000000000002</v>
      </c>
      <c r="E2566" s="1">
        <v>45490</v>
      </c>
      <c r="F2566">
        <v>7.2621000000000002</v>
      </c>
    </row>
    <row r="2567" spans="1:6" x14ac:dyDescent="0.25">
      <c r="A2567" s="1">
        <v>45233</v>
      </c>
      <c r="B2567">
        <v>7.2888000000000002</v>
      </c>
      <c r="C2567" s="1">
        <v>45491</v>
      </c>
      <c r="D2567">
        <v>7.2621000000000002</v>
      </c>
      <c r="E2567" s="1">
        <v>45491</v>
      </c>
      <c r="F2567">
        <v>7.2621000000000002</v>
      </c>
    </row>
    <row r="2568" spans="1:6" x14ac:dyDescent="0.25">
      <c r="A2568" s="1">
        <v>45236</v>
      </c>
      <c r="B2568">
        <v>7.2826000000000004</v>
      </c>
      <c r="C2568" s="1">
        <v>45492</v>
      </c>
      <c r="D2568">
        <v>7.2698999999999998</v>
      </c>
      <c r="E2568" s="1">
        <v>45492</v>
      </c>
      <c r="F2568">
        <v>7.2698999999999998</v>
      </c>
    </row>
    <row r="2569" spans="1:6" x14ac:dyDescent="0.25">
      <c r="A2569" s="1">
        <v>45237</v>
      </c>
      <c r="B2569">
        <v>7.2812000000000001</v>
      </c>
      <c r="C2569" s="1">
        <v>45495</v>
      </c>
      <c r="D2569">
        <v>7.2737999999999996</v>
      </c>
      <c r="E2569" s="1">
        <v>45495</v>
      </c>
      <c r="F2569">
        <v>7.2737999999999996</v>
      </c>
    </row>
    <row r="2570" spans="1:6" x14ac:dyDescent="0.25">
      <c r="A2570" s="1">
        <v>45238</v>
      </c>
      <c r="B2570">
        <v>7.2870999999999997</v>
      </c>
      <c r="C2570" s="1">
        <v>45496</v>
      </c>
      <c r="D2570">
        <v>7.2747999999999999</v>
      </c>
      <c r="E2570" s="1">
        <v>45496</v>
      </c>
      <c r="F2570">
        <v>7.2747999999999999</v>
      </c>
    </row>
    <row r="2571" spans="1:6" x14ac:dyDescent="0.25">
      <c r="A2571" s="1">
        <v>45239</v>
      </c>
      <c r="B2571">
        <v>7.2979000000000003</v>
      </c>
      <c r="C2571" s="1">
        <v>45497</v>
      </c>
      <c r="D2571">
        <v>7.2634999999999996</v>
      </c>
      <c r="E2571" s="1">
        <v>45497</v>
      </c>
      <c r="F2571">
        <v>7.2634999999999996</v>
      </c>
    </row>
    <row r="2572" spans="1:6" x14ac:dyDescent="0.25">
      <c r="A2572" s="1">
        <v>45240</v>
      </c>
      <c r="B2572">
        <v>7.3064999999999998</v>
      </c>
      <c r="C2572" s="1">
        <v>45498</v>
      </c>
      <c r="D2572">
        <v>7.2469000000000001</v>
      </c>
      <c r="E2572" s="1">
        <v>45498</v>
      </c>
      <c r="F2572">
        <v>7.2469000000000001</v>
      </c>
    </row>
    <row r="2573" spans="1:6" x14ac:dyDescent="0.25">
      <c r="A2573" s="1">
        <v>45243</v>
      </c>
      <c r="B2573">
        <v>7.2927999999999997</v>
      </c>
      <c r="C2573" s="1">
        <v>45499</v>
      </c>
      <c r="D2573">
        <v>7.2504999999999997</v>
      </c>
      <c r="E2573" s="1">
        <v>45499</v>
      </c>
      <c r="F2573">
        <v>7.2504999999999997</v>
      </c>
    </row>
    <row r="2574" spans="1:6" x14ac:dyDescent="0.25">
      <c r="A2574" s="1">
        <v>45244</v>
      </c>
      <c r="B2574">
        <v>7.2525000000000004</v>
      </c>
      <c r="C2574" s="1">
        <v>45502</v>
      </c>
      <c r="D2574">
        <v>7.2603</v>
      </c>
      <c r="E2574" s="1">
        <v>45502</v>
      </c>
      <c r="F2574">
        <v>7.2603</v>
      </c>
    </row>
    <row r="2575" spans="1:6" x14ac:dyDescent="0.25">
      <c r="A2575" s="1">
        <v>45245</v>
      </c>
      <c r="B2575">
        <v>7.2586000000000004</v>
      </c>
      <c r="C2575" s="1">
        <v>45503</v>
      </c>
      <c r="D2575">
        <v>7.2409999999999997</v>
      </c>
      <c r="E2575" s="1">
        <v>45503</v>
      </c>
      <c r="F2575">
        <v>7.2409999999999997</v>
      </c>
    </row>
    <row r="2576" spans="1:6" x14ac:dyDescent="0.25">
      <c r="A2576" s="1">
        <v>45246</v>
      </c>
      <c r="B2576">
        <v>7.2487000000000004</v>
      </c>
      <c r="C2576" s="1">
        <v>45504</v>
      </c>
      <c r="D2576">
        <v>7.2267000000000001</v>
      </c>
      <c r="E2576" s="1">
        <v>45504</v>
      </c>
      <c r="F2576">
        <v>7.2267000000000001</v>
      </c>
    </row>
    <row r="2577" spans="1:6" x14ac:dyDescent="0.25">
      <c r="A2577" s="1">
        <v>45247</v>
      </c>
      <c r="B2577">
        <v>7.2172999999999998</v>
      </c>
      <c r="C2577" s="1">
        <v>45505</v>
      </c>
      <c r="D2577">
        <v>7.2450000000000001</v>
      </c>
      <c r="E2577" s="1">
        <v>45505</v>
      </c>
      <c r="F2577">
        <v>7.2450000000000001</v>
      </c>
    </row>
    <row r="2578" spans="1:6" x14ac:dyDescent="0.25">
      <c r="A2578" s="1">
        <v>45250</v>
      </c>
      <c r="B2578">
        <v>7.1673</v>
      </c>
      <c r="C2578" s="1">
        <v>45506</v>
      </c>
      <c r="D2578">
        <v>7.1722000000000001</v>
      </c>
      <c r="E2578" s="1">
        <v>45506</v>
      </c>
      <c r="F2578">
        <v>7.1722000000000001</v>
      </c>
    </row>
    <row r="2579" spans="1:6" x14ac:dyDescent="0.25">
      <c r="A2579" s="1">
        <v>45251</v>
      </c>
      <c r="B2579">
        <v>7.1429</v>
      </c>
      <c r="C2579" s="1">
        <v>45509</v>
      </c>
      <c r="D2579">
        <v>7.1395999999999997</v>
      </c>
      <c r="E2579" s="1">
        <v>45509</v>
      </c>
      <c r="F2579">
        <v>7.1395999999999997</v>
      </c>
    </row>
    <row r="2580" spans="1:6" x14ac:dyDescent="0.25">
      <c r="A2580" s="1">
        <v>45252</v>
      </c>
      <c r="B2580">
        <v>7.1623000000000001</v>
      </c>
      <c r="C2580" s="1">
        <v>45510</v>
      </c>
      <c r="D2580">
        <v>7.1558000000000002</v>
      </c>
      <c r="E2580" s="1">
        <v>45510</v>
      </c>
      <c r="F2580">
        <v>7.1558000000000002</v>
      </c>
    </row>
    <row r="2581" spans="1:6" x14ac:dyDescent="0.25">
      <c r="A2581" s="1">
        <v>45253</v>
      </c>
      <c r="B2581">
        <v>7.1521999999999997</v>
      </c>
      <c r="C2581" s="1">
        <v>45511</v>
      </c>
      <c r="D2581">
        <v>7.1765999999999996</v>
      </c>
      <c r="E2581" s="1">
        <v>45511</v>
      </c>
      <c r="F2581">
        <v>7.1765999999999996</v>
      </c>
    </row>
    <row r="2582" spans="1:6" x14ac:dyDescent="0.25">
      <c r="A2582" s="1">
        <v>45254</v>
      </c>
      <c r="B2582">
        <v>7.1493000000000002</v>
      </c>
      <c r="C2582" s="1">
        <v>45512</v>
      </c>
      <c r="D2582">
        <v>7.1763000000000003</v>
      </c>
      <c r="E2582" s="1">
        <v>45512</v>
      </c>
      <c r="F2582">
        <v>7.1763000000000003</v>
      </c>
    </row>
    <row r="2583" spans="1:6" x14ac:dyDescent="0.25">
      <c r="A2583" s="1">
        <v>45257</v>
      </c>
      <c r="B2583">
        <v>7.1593</v>
      </c>
      <c r="C2583" s="1">
        <v>45513</v>
      </c>
      <c r="D2583">
        <v>7.1683000000000003</v>
      </c>
      <c r="E2583" s="1">
        <v>45513</v>
      </c>
      <c r="F2583">
        <v>7.1683000000000003</v>
      </c>
    </row>
    <row r="2584" spans="1:6" x14ac:dyDescent="0.25">
      <c r="A2584" s="1">
        <v>45258</v>
      </c>
      <c r="B2584">
        <v>7.1326000000000001</v>
      </c>
      <c r="C2584" s="1">
        <v>45516</v>
      </c>
      <c r="D2584">
        <v>7.1746999999999996</v>
      </c>
      <c r="E2584" s="1">
        <v>45516</v>
      </c>
      <c r="F2584">
        <v>7.1746999999999996</v>
      </c>
    </row>
    <row r="2585" spans="1:6" x14ac:dyDescent="0.25">
      <c r="A2585" s="1">
        <v>45259</v>
      </c>
      <c r="B2585">
        <v>7.1432000000000002</v>
      </c>
      <c r="C2585" s="1">
        <v>45517</v>
      </c>
      <c r="D2585">
        <v>7.1550000000000002</v>
      </c>
      <c r="E2585" s="1">
        <v>45517</v>
      </c>
      <c r="F2585">
        <v>7.1550000000000002</v>
      </c>
    </row>
    <row r="2586" spans="1:6" x14ac:dyDescent="0.25">
      <c r="A2586" s="1">
        <v>45260</v>
      </c>
      <c r="B2586">
        <v>7.1459000000000001</v>
      </c>
      <c r="C2586" s="1">
        <v>45518</v>
      </c>
      <c r="D2586">
        <v>7.1410999999999998</v>
      </c>
      <c r="E2586" s="1">
        <v>45518</v>
      </c>
      <c r="F2586">
        <v>7.1410999999999998</v>
      </c>
    </row>
    <row r="2587" spans="1:6" x14ac:dyDescent="0.25">
      <c r="A2587" s="1">
        <v>45261</v>
      </c>
      <c r="B2587">
        <v>7.1242000000000001</v>
      </c>
      <c r="C2587" s="1">
        <v>45519</v>
      </c>
      <c r="D2587">
        <v>7.1746999999999996</v>
      </c>
      <c r="E2587" s="1">
        <v>45519</v>
      </c>
      <c r="F2587">
        <v>7.1746999999999996</v>
      </c>
    </row>
    <row r="2588" spans="1:6" x14ac:dyDescent="0.25">
      <c r="A2588" s="1">
        <v>45264</v>
      </c>
      <c r="B2588">
        <v>7.149</v>
      </c>
      <c r="C2588" s="1">
        <v>45520</v>
      </c>
      <c r="D2588">
        <v>7.1592000000000002</v>
      </c>
      <c r="E2588" s="1">
        <v>45520</v>
      </c>
      <c r="F2588">
        <v>7.1592000000000002</v>
      </c>
    </row>
    <row r="2589" spans="1:6" x14ac:dyDescent="0.25">
      <c r="A2589" s="1">
        <v>45265</v>
      </c>
      <c r="B2589">
        <v>7.1734</v>
      </c>
      <c r="C2589" s="1">
        <v>45523</v>
      </c>
      <c r="D2589">
        <v>7.1395</v>
      </c>
      <c r="E2589" s="1">
        <v>45523</v>
      </c>
      <c r="F2589">
        <v>7.1395</v>
      </c>
    </row>
    <row r="2590" spans="1:6" x14ac:dyDescent="0.25">
      <c r="A2590" s="1">
        <v>45266</v>
      </c>
      <c r="B2590">
        <v>7.1741999999999999</v>
      </c>
      <c r="C2590" s="1">
        <v>45524</v>
      </c>
      <c r="D2590">
        <v>7.1292999999999997</v>
      </c>
      <c r="E2590" s="1">
        <v>45524</v>
      </c>
      <c r="F2590">
        <v>7.1292999999999997</v>
      </c>
    </row>
    <row r="2591" spans="1:6" x14ac:dyDescent="0.25">
      <c r="A2591" s="1">
        <v>45267</v>
      </c>
      <c r="B2591">
        <v>7.1631999999999998</v>
      </c>
      <c r="C2591" s="1">
        <v>45525</v>
      </c>
      <c r="D2591">
        <v>7.1314000000000002</v>
      </c>
      <c r="E2591" s="1">
        <v>45525</v>
      </c>
      <c r="F2591">
        <v>7.1314000000000002</v>
      </c>
    </row>
    <row r="2592" spans="1:6" x14ac:dyDescent="0.25">
      <c r="A2592" s="1">
        <v>45268</v>
      </c>
      <c r="B2592">
        <v>7.1871999999999998</v>
      </c>
      <c r="C2592" s="1">
        <v>45526</v>
      </c>
      <c r="D2592">
        <v>7.1470000000000002</v>
      </c>
      <c r="E2592" s="1">
        <v>45526</v>
      </c>
      <c r="F2592">
        <v>7.1470000000000002</v>
      </c>
    </row>
    <row r="2593" spans="1:6" x14ac:dyDescent="0.25">
      <c r="A2593" s="1">
        <v>45271</v>
      </c>
      <c r="B2593">
        <v>7.1943000000000001</v>
      </c>
      <c r="C2593" s="1">
        <v>45527</v>
      </c>
      <c r="D2593">
        <v>7.1208999999999998</v>
      </c>
      <c r="E2593" s="1">
        <v>45527</v>
      </c>
      <c r="F2593">
        <v>7.1208999999999998</v>
      </c>
    </row>
    <row r="2594" spans="1:6" x14ac:dyDescent="0.25">
      <c r="A2594" s="1">
        <v>45272</v>
      </c>
      <c r="B2594">
        <v>7.1939000000000002</v>
      </c>
      <c r="C2594" s="1">
        <v>45530</v>
      </c>
      <c r="D2594">
        <v>7.1219999999999999</v>
      </c>
      <c r="E2594" s="1">
        <v>45530</v>
      </c>
      <c r="F2594">
        <v>7.1219999999999999</v>
      </c>
    </row>
    <row r="2595" spans="1:6" x14ac:dyDescent="0.25">
      <c r="A2595" s="1">
        <v>45273</v>
      </c>
      <c r="B2595">
        <v>7.1383999999999999</v>
      </c>
      <c r="C2595" s="1">
        <v>45531</v>
      </c>
      <c r="D2595">
        <v>7.1238000000000001</v>
      </c>
      <c r="E2595" s="1">
        <v>45531</v>
      </c>
      <c r="F2595">
        <v>7.1238000000000001</v>
      </c>
    </row>
    <row r="2596" spans="1:6" x14ac:dyDescent="0.25">
      <c r="A2596" s="1">
        <v>45274</v>
      </c>
      <c r="B2596">
        <v>7.1235999999999997</v>
      </c>
      <c r="C2596" s="1">
        <v>45532</v>
      </c>
      <c r="D2596">
        <v>7.1279000000000003</v>
      </c>
      <c r="E2596" s="1">
        <v>45532</v>
      </c>
      <c r="F2596">
        <v>7.1279000000000003</v>
      </c>
    </row>
    <row r="2597" spans="1:6" x14ac:dyDescent="0.25">
      <c r="A2597" s="1">
        <v>45275</v>
      </c>
      <c r="B2597">
        <v>7.1345999999999998</v>
      </c>
      <c r="C2597" s="1">
        <v>45533</v>
      </c>
      <c r="D2597">
        <v>7.0970000000000004</v>
      </c>
      <c r="E2597" s="1">
        <v>45533</v>
      </c>
      <c r="F2597">
        <v>7.0970000000000004</v>
      </c>
    </row>
    <row r="2598" spans="1:6" x14ac:dyDescent="0.25">
      <c r="A2598" s="1">
        <v>45278</v>
      </c>
      <c r="B2598">
        <v>7.1435000000000004</v>
      </c>
      <c r="C2598" s="1">
        <v>45534</v>
      </c>
      <c r="D2598">
        <v>7.0913000000000004</v>
      </c>
      <c r="E2598" s="1">
        <v>45534</v>
      </c>
      <c r="F2598">
        <v>7.0913000000000004</v>
      </c>
    </row>
    <row r="2599" spans="1:6" x14ac:dyDescent="0.25">
      <c r="A2599" s="1">
        <v>45279</v>
      </c>
      <c r="B2599">
        <v>7.1208999999999998</v>
      </c>
      <c r="C2599" s="1">
        <v>45537</v>
      </c>
      <c r="D2599">
        <v>7.1173000000000002</v>
      </c>
      <c r="E2599" s="1">
        <v>45537</v>
      </c>
      <c r="F2599">
        <v>7.1173000000000002</v>
      </c>
    </row>
    <row r="2600" spans="1:6" x14ac:dyDescent="0.25">
      <c r="A2600" s="1">
        <v>45280</v>
      </c>
      <c r="B2600">
        <v>7.1506999999999996</v>
      </c>
      <c r="C2600" s="1">
        <v>45538</v>
      </c>
      <c r="D2600">
        <v>7.1216999999999997</v>
      </c>
      <c r="E2600" s="1">
        <v>45538</v>
      </c>
      <c r="F2600">
        <v>7.1216999999999997</v>
      </c>
    </row>
    <row r="2601" spans="1:6" x14ac:dyDescent="0.25">
      <c r="A2601" s="1">
        <v>45281</v>
      </c>
      <c r="B2601">
        <v>7.1436000000000002</v>
      </c>
      <c r="C2601" s="1">
        <v>45539</v>
      </c>
      <c r="D2601">
        <v>7.1130000000000004</v>
      </c>
      <c r="E2601" s="1">
        <v>45539</v>
      </c>
      <c r="F2601">
        <v>7.1130000000000004</v>
      </c>
    </row>
    <row r="2602" spans="1:6" x14ac:dyDescent="0.25">
      <c r="A2602" s="1">
        <v>45282</v>
      </c>
      <c r="B2602">
        <v>7.1543999999999999</v>
      </c>
      <c r="C2602" s="1">
        <v>45540</v>
      </c>
      <c r="D2602">
        <v>7.0887000000000002</v>
      </c>
      <c r="E2602" s="1">
        <v>45540</v>
      </c>
      <c r="F2602">
        <v>7.0887000000000002</v>
      </c>
    </row>
    <row r="2603" spans="1:6" x14ac:dyDescent="0.25">
      <c r="A2603" s="1">
        <v>45285</v>
      </c>
      <c r="B2603">
        <v>7.1471</v>
      </c>
      <c r="C2603" s="1">
        <v>45541</v>
      </c>
      <c r="D2603">
        <v>7.0979999999999999</v>
      </c>
      <c r="E2603" s="1">
        <v>45541</v>
      </c>
      <c r="F2603">
        <v>7.0979999999999999</v>
      </c>
    </row>
    <row r="2604" spans="1:6" x14ac:dyDescent="0.25">
      <c r="A2604" s="1">
        <v>45286</v>
      </c>
      <c r="B2604">
        <v>7.1422999999999996</v>
      </c>
      <c r="C2604" s="1">
        <v>45544</v>
      </c>
      <c r="D2604">
        <v>7.1136999999999997</v>
      </c>
      <c r="E2604" s="1">
        <v>45544</v>
      </c>
      <c r="F2604">
        <v>7.1136999999999997</v>
      </c>
    </row>
    <row r="2605" spans="1:6" x14ac:dyDescent="0.25">
      <c r="A2605" s="1">
        <v>45287</v>
      </c>
      <c r="B2605">
        <v>7.1527000000000003</v>
      </c>
      <c r="C2605" s="1">
        <v>45545</v>
      </c>
      <c r="D2605">
        <v>7.1208</v>
      </c>
      <c r="E2605" s="1">
        <v>45545</v>
      </c>
      <c r="F2605">
        <v>7.1208</v>
      </c>
    </row>
    <row r="2606" spans="1:6" x14ac:dyDescent="0.25">
      <c r="A2606" s="1">
        <v>45288</v>
      </c>
      <c r="B2606">
        <v>7.1182999999999996</v>
      </c>
      <c r="C2606" s="1">
        <v>45546</v>
      </c>
      <c r="D2606">
        <v>7.1193999999999997</v>
      </c>
      <c r="E2606" s="1">
        <v>45546</v>
      </c>
      <c r="F2606">
        <v>7.1193999999999997</v>
      </c>
    </row>
    <row r="2607" spans="1:6" x14ac:dyDescent="0.25">
      <c r="A2607" s="1">
        <v>45289</v>
      </c>
      <c r="B2607">
        <v>7.1257999999999999</v>
      </c>
      <c r="C2607" s="1">
        <v>45547</v>
      </c>
      <c r="D2607">
        <v>7.1173999999999999</v>
      </c>
      <c r="E2607" s="1">
        <v>45547</v>
      </c>
      <c r="F2607">
        <v>7.1173999999999999</v>
      </c>
    </row>
    <row r="2608" spans="1:6" x14ac:dyDescent="0.25">
      <c r="A2608" s="1">
        <v>45293</v>
      </c>
      <c r="B2608">
        <v>7.1490999999999998</v>
      </c>
      <c r="C2608" s="1">
        <v>45548</v>
      </c>
      <c r="D2608">
        <v>7.0972</v>
      </c>
      <c r="E2608" s="1">
        <v>45548</v>
      </c>
      <c r="F2608">
        <v>7.0972</v>
      </c>
    </row>
    <row r="2609" spans="1:6" x14ac:dyDescent="0.25">
      <c r="A2609" s="1">
        <v>45294</v>
      </c>
      <c r="B2609">
        <v>7.1662999999999997</v>
      </c>
      <c r="C2609" s="1">
        <v>45553</v>
      </c>
      <c r="D2609">
        <v>7.0769000000000002</v>
      </c>
      <c r="E2609" s="1">
        <v>45553</v>
      </c>
      <c r="F2609">
        <v>7.0769000000000002</v>
      </c>
    </row>
    <row r="2610" spans="1:6" x14ac:dyDescent="0.25">
      <c r="A2610" s="1">
        <v>45295</v>
      </c>
      <c r="B2610">
        <v>7.1752000000000002</v>
      </c>
      <c r="C2610" s="1">
        <v>45554</v>
      </c>
      <c r="D2610">
        <v>7.0627000000000004</v>
      </c>
      <c r="E2610" s="1">
        <v>45554</v>
      </c>
      <c r="F2610">
        <v>7.0627000000000004</v>
      </c>
    </row>
    <row r="2611" spans="1:6" x14ac:dyDescent="0.25">
      <c r="A2611" s="1">
        <v>45296</v>
      </c>
      <c r="B2611">
        <v>7.1627000000000001</v>
      </c>
      <c r="C2611" s="1">
        <v>45555</v>
      </c>
      <c r="D2611">
        <v>7.0469999999999997</v>
      </c>
      <c r="E2611" s="1">
        <v>45555</v>
      </c>
      <c r="F2611">
        <v>7.0469999999999997</v>
      </c>
    </row>
    <row r="2612" spans="1:6" x14ac:dyDescent="0.25">
      <c r="A2612" s="1">
        <v>45299</v>
      </c>
      <c r="B2612">
        <v>7.1627000000000001</v>
      </c>
      <c r="C2612" s="1">
        <v>45558</v>
      </c>
      <c r="D2612">
        <v>7.0521000000000003</v>
      </c>
      <c r="E2612" s="1">
        <v>45558</v>
      </c>
      <c r="F2612">
        <v>7.0521000000000003</v>
      </c>
    </row>
    <row r="2613" spans="1:6" x14ac:dyDescent="0.25">
      <c r="A2613" s="1">
        <v>45300</v>
      </c>
      <c r="B2613">
        <v>7.1841999999999997</v>
      </c>
      <c r="C2613" s="1">
        <v>45559</v>
      </c>
      <c r="D2613">
        <v>7.0317999999999996</v>
      </c>
      <c r="E2613" s="1">
        <v>45559</v>
      </c>
      <c r="F2613">
        <v>7.0317999999999996</v>
      </c>
    </row>
    <row r="2614" spans="1:6" x14ac:dyDescent="0.25">
      <c r="A2614" s="1">
        <v>45301</v>
      </c>
      <c r="B2614">
        <v>7.1832000000000003</v>
      </c>
      <c r="C2614" s="1">
        <v>45560</v>
      </c>
      <c r="D2614">
        <v>7.0338000000000003</v>
      </c>
      <c r="E2614" s="1">
        <v>45560</v>
      </c>
      <c r="F2614">
        <v>7.0338000000000003</v>
      </c>
    </row>
    <row r="2615" spans="1:6" x14ac:dyDescent="0.25">
      <c r="A2615" s="1">
        <v>45302</v>
      </c>
      <c r="B2615">
        <v>7.1750999999999996</v>
      </c>
      <c r="C2615" s="1">
        <v>45561</v>
      </c>
      <c r="D2615">
        <v>7.0110999999999999</v>
      </c>
      <c r="E2615" s="1">
        <v>45561</v>
      </c>
      <c r="F2615">
        <v>7.0110999999999999</v>
      </c>
    </row>
    <row r="2616" spans="1:6" x14ac:dyDescent="0.25">
      <c r="A2616" s="1">
        <v>45303</v>
      </c>
      <c r="B2616">
        <v>7.1893000000000002</v>
      </c>
      <c r="C2616" s="1">
        <v>45562</v>
      </c>
      <c r="D2616">
        <v>7.0110999999999999</v>
      </c>
      <c r="E2616" s="1">
        <v>45562</v>
      </c>
      <c r="F2616">
        <v>7.0110999999999999</v>
      </c>
    </row>
    <row r="2617" spans="1:6" x14ac:dyDescent="0.25">
      <c r="A2617" s="1">
        <v>45306</v>
      </c>
      <c r="B2617">
        <v>7.1853999999999996</v>
      </c>
      <c r="C2617" s="1">
        <v>45565</v>
      </c>
      <c r="D2617">
        <v>7.0186999999999999</v>
      </c>
      <c r="E2617" s="1">
        <v>45565</v>
      </c>
      <c r="F2617">
        <v>7.0186999999999999</v>
      </c>
    </row>
    <row r="2618" spans="1:6" x14ac:dyDescent="0.25">
      <c r="A2618" s="1">
        <v>45307</v>
      </c>
      <c r="B2618">
        <v>7.2190000000000003</v>
      </c>
      <c r="C2618" s="1">
        <v>45573</v>
      </c>
      <c r="D2618">
        <v>7.0632999999999999</v>
      </c>
      <c r="E2618" s="1">
        <v>45573</v>
      </c>
      <c r="F2618">
        <v>7.0632999999999999</v>
      </c>
    </row>
    <row r="2619" spans="1:6" x14ac:dyDescent="0.25">
      <c r="A2619" s="1">
        <v>45308</v>
      </c>
      <c r="B2619">
        <v>7.2218</v>
      </c>
      <c r="C2619" s="1">
        <v>45574</v>
      </c>
      <c r="D2619">
        <v>7.0808</v>
      </c>
      <c r="E2619" s="1">
        <v>45574</v>
      </c>
      <c r="F2619">
        <v>7.0808</v>
      </c>
    </row>
    <row r="2620" spans="1:6" x14ac:dyDescent="0.25">
      <c r="A2620" s="1">
        <v>45309</v>
      </c>
      <c r="B2620">
        <v>7.2160000000000002</v>
      </c>
      <c r="C2620" s="1">
        <v>45575</v>
      </c>
      <c r="D2620">
        <v>7.0765000000000002</v>
      </c>
      <c r="E2620" s="1">
        <v>45575</v>
      </c>
      <c r="F2620">
        <v>7.0765000000000002</v>
      </c>
    </row>
    <row r="2621" spans="1:6" x14ac:dyDescent="0.25">
      <c r="A2621" s="1">
        <v>45310</v>
      </c>
      <c r="B2621">
        <v>7.2035999999999998</v>
      </c>
      <c r="C2621" s="1">
        <v>45576</v>
      </c>
      <c r="D2621">
        <v>7.0667999999999997</v>
      </c>
      <c r="E2621" s="1">
        <v>45576</v>
      </c>
      <c r="F2621">
        <v>7.0667999999999997</v>
      </c>
    </row>
    <row r="2622" spans="1:6" x14ac:dyDescent="0.25">
      <c r="A2622" s="1">
        <v>45313</v>
      </c>
      <c r="B2622">
        <v>7.1939000000000002</v>
      </c>
      <c r="C2622" s="1">
        <v>45579</v>
      </c>
      <c r="D2622">
        <v>7.0896999999999997</v>
      </c>
      <c r="E2622" s="1">
        <v>45579</v>
      </c>
      <c r="F2622">
        <v>7.0896999999999997</v>
      </c>
    </row>
    <row r="2623" spans="1:6" x14ac:dyDescent="0.25">
      <c r="A2623" s="1">
        <v>45314</v>
      </c>
      <c r="B2623">
        <v>7.1673999999999998</v>
      </c>
      <c r="C2623" s="1">
        <v>45580</v>
      </c>
      <c r="D2623">
        <v>7.1195000000000004</v>
      </c>
      <c r="E2623" s="1">
        <v>45580</v>
      </c>
      <c r="F2623">
        <v>7.1195000000000004</v>
      </c>
    </row>
    <row r="2624" spans="1:6" x14ac:dyDescent="0.25">
      <c r="A2624" s="1">
        <v>45315</v>
      </c>
      <c r="B2624">
        <v>7.1623000000000001</v>
      </c>
      <c r="C2624" s="1">
        <v>45581</v>
      </c>
      <c r="D2624">
        <v>7.1196000000000002</v>
      </c>
      <c r="E2624" s="1">
        <v>45581</v>
      </c>
      <c r="F2624">
        <v>7.1196000000000002</v>
      </c>
    </row>
    <row r="2625" spans="1:6" x14ac:dyDescent="0.25">
      <c r="A2625" s="1">
        <v>45316</v>
      </c>
      <c r="B2625">
        <v>7.1798999999999999</v>
      </c>
      <c r="C2625" s="1">
        <v>45582</v>
      </c>
      <c r="D2625">
        <v>7.1228999999999996</v>
      </c>
      <c r="E2625" s="1">
        <v>45582</v>
      </c>
      <c r="F2625">
        <v>7.1228999999999996</v>
      </c>
    </row>
    <row r="2626" spans="1:6" x14ac:dyDescent="0.25">
      <c r="A2626" s="1">
        <v>45317</v>
      </c>
      <c r="B2626">
        <v>7.1885000000000003</v>
      </c>
      <c r="C2626" s="1">
        <v>45583</v>
      </c>
      <c r="D2626">
        <v>7.1022999999999996</v>
      </c>
      <c r="E2626" s="1">
        <v>45583</v>
      </c>
      <c r="F2626">
        <v>7.1022999999999996</v>
      </c>
    </row>
    <row r="2627" spans="1:6" x14ac:dyDescent="0.25">
      <c r="A2627" s="1">
        <v>45320</v>
      </c>
      <c r="B2627">
        <v>7.1875</v>
      </c>
      <c r="C2627" s="1">
        <v>45586</v>
      </c>
      <c r="D2627">
        <v>7.1208999999999998</v>
      </c>
      <c r="E2627" s="1">
        <v>45586</v>
      </c>
      <c r="F2627">
        <v>7.1208999999999998</v>
      </c>
    </row>
    <row r="2628" spans="1:6" x14ac:dyDescent="0.25">
      <c r="A2628" s="1">
        <v>45321</v>
      </c>
      <c r="B2628">
        <v>7.1868999999999996</v>
      </c>
      <c r="C2628" s="1">
        <v>45587</v>
      </c>
      <c r="D2628">
        <v>7.1239999999999997</v>
      </c>
      <c r="E2628" s="1">
        <v>45587</v>
      </c>
      <c r="F2628">
        <v>7.1239999999999997</v>
      </c>
    </row>
    <row r="2629" spans="1:6" x14ac:dyDescent="0.25">
      <c r="A2629" s="1">
        <v>45322</v>
      </c>
      <c r="B2629">
        <v>7.1871999999999998</v>
      </c>
      <c r="C2629" s="1">
        <v>45588</v>
      </c>
      <c r="D2629">
        <v>7.1302000000000003</v>
      </c>
      <c r="E2629" s="1">
        <v>45588</v>
      </c>
      <c r="F2629">
        <v>7.1302000000000003</v>
      </c>
    </row>
    <row r="2630" spans="1:6" x14ac:dyDescent="0.25">
      <c r="A2630" s="1">
        <v>45323</v>
      </c>
      <c r="B2630">
        <v>7.1878000000000002</v>
      </c>
      <c r="C2630" s="1">
        <v>45589</v>
      </c>
      <c r="D2630">
        <v>7.1199000000000003</v>
      </c>
      <c r="E2630" s="1">
        <v>45589</v>
      </c>
      <c r="F2630">
        <v>7.1199000000000003</v>
      </c>
    </row>
    <row r="2631" spans="1:6" x14ac:dyDescent="0.25">
      <c r="A2631" s="1">
        <v>45324</v>
      </c>
      <c r="B2631">
        <v>7.2146999999999997</v>
      </c>
      <c r="C2631" s="1">
        <v>45590</v>
      </c>
      <c r="D2631">
        <v>7.1215000000000002</v>
      </c>
      <c r="E2631" s="1">
        <v>45590</v>
      </c>
      <c r="F2631">
        <v>7.1215000000000002</v>
      </c>
    </row>
    <row r="2632" spans="1:6" x14ac:dyDescent="0.25">
      <c r="A2632" s="1">
        <v>45327</v>
      </c>
      <c r="B2632">
        <v>7.2201000000000004</v>
      </c>
      <c r="C2632" s="1">
        <v>45593</v>
      </c>
      <c r="D2632">
        <v>7.1292999999999997</v>
      </c>
      <c r="E2632" s="1">
        <v>45593</v>
      </c>
      <c r="F2632">
        <v>7.1292999999999997</v>
      </c>
    </row>
    <row r="2633" spans="1:6" x14ac:dyDescent="0.25">
      <c r="A2633" s="1">
        <v>45328</v>
      </c>
      <c r="B2633">
        <v>7.2013999999999996</v>
      </c>
      <c r="C2633" s="1">
        <v>45594</v>
      </c>
      <c r="D2633">
        <v>7.1291000000000002</v>
      </c>
      <c r="E2633" s="1">
        <v>45594</v>
      </c>
      <c r="F2633">
        <v>7.1291000000000002</v>
      </c>
    </row>
    <row r="2634" spans="1:6" x14ac:dyDescent="0.25">
      <c r="A2634" s="1">
        <v>45329</v>
      </c>
      <c r="B2634">
        <v>7.2127999999999997</v>
      </c>
      <c r="C2634" s="1">
        <v>45595</v>
      </c>
      <c r="D2634">
        <v>7.1161000000000003</v>
      </c>
      <c r="E2634" s="1">
        <v>45595</v>
      </c>
      <c r="F2634">
        <v>7.1161000000000003</v>
      </c>
    </row>
    <row r="2635" spans="1:6" x14ac:dyDescent="0.25">
      <c r="A2635" s="1">
        <v>45330</v>
      </c>
      <c r="B2635">
        <v>7.2152000000000003</v>
      </c>
      <c r="C2635" s="1">
        <v>45596</v>
      </c>
      <c r="D2635">
        <v>7.1180000000000003</v>
      </c>
      <c r="E2635" s="1">
        <v>45596</v>
      </c>
      <c r="F2635">
        <v>7.1180000000000003</v>
      </c>
    </row>
    <row r="2636" spans="1:6" x14ac:dyDescent="0.25">
      <c r="A2636" s="1">
        <v>45331</v>
      </c>
      <c r="B2636">
        <v>7.2187000000000001</v>
      </c>
      <c r="C2636" s="1">
        <v>45597</v>
      </c>
      <c r="D2636">
        <v>7.1289999999999996</v>
      </c>
      <c r="E2636" s="1">
        <v>45597</v>
      </c>
      <c r="F2636">
        <v>7.1289999999999996</v>
      </c>
    </row>
    <row r="2637" spans="1:6" x14ac:dyDescent="0.25">
      <c r="A2637" s="1">
        <v>45334</v>
      </c>
      <c r="B2637">
        <v>7.2152000000000003</v>
      </c>
      <c r="C2637" s="1">
        <v>45600</v>
      </c>
      <c r="D2637">
        <v>7.1009000000000002</v>
      </c>
      <c r="E2637" s="1">
        <v>45600</v>
      </c>
      <c r="F2637">
        <v>7.1009000000000002</v>
      </c>
    </row>
    <row r="2638" spans="1:6" x14ac:dyDescent="0.25">
      <c r="A2638" s="1">
        <v>45335</v>
      </c>
      <c r="B2638">
        <v>7.2313999999999998</v>
      </c>
      <c r="C2638" s="1">
        <v>45601</v>
      </c>
      <c r="D2638">
        <v>7.1047000000000002</v>
      </c>
      <c r="E2638" s="1">
        <v>45601</v>
      </c>
      <c r="F2638">
        <v>7.1047000000000002</v>
      </c>
    </row>
    <row r="2639" spans="1:6" x14ac:dyDescent="0.25">
      <c r="A2639" s="1">
        <v>45336</v>
      </c>
      <c r="B2639">
        <v>7.2243000000000004</v>
      </c>
      <c r="C2639" s="1">
        <v>45602</v>
      </c>
      <c r="D2639">
        <v>7.1753</v>
      </c>
      <c r="E2639" s="1">
        <v>45602</v>
      </c>
      <c r="F2639">
        <v>7.1753</v>
      </c>
    </row>
    <row r="2640" spans="1:6" x14ac:dyDescent="0.25">
      <c r="A2640" s="1">
        <v>45337</v>
      </c>
      <c r="B2640">
        <v>7.2176</v>
      </c>
      <c r="C2640" s="1">
        <v>45603</v>
      </c>
      <c r="D2640">
        <v>7.1433999999999997</v>
      </c>
      <c r="E2640" s="1">
        <v>45603</v>
      </c>
      <c r="F2640">
        <v>7.1433999999999997</v>
      </c>
    </row>
    <row r="2641" spans="1:6" x14ac:dyDescent="0.25">
      <c r="A2641" s="1">
        <v>45338</v>
      </c>
      <c r="B2641">
        <v>7.2127999999999997</v>
      </c>
      <c r="C2641" s="1">
        <v>45604</v>
      </c>
      <c r="D2641">
        <v>7.1840999999999999</v>
      </c>
      <c r="E2641" s="1">
        <v>45604</v>
      </c>
      <c r="F2641">
        <v>7.1840999999999999</v>
      </c>
    </row>
    <row r="2642" spans="1:6" x14ac:dyDescent="0.25">
      <c r="A2642" s="1">
        <v>45341</v>
      </c>
      <c r="B2642">
        <v>7.2114000000000003</v>
      </c>
      <c r="C2642" s="1">
        <v>45607</v>
      </c>
      <c r="D2642">
        <v>7.2149999999999999</v>
      </c>
      <c r="E2642" s="1">
        <v>45607</v>
      </c>
      <c r="F2642">
        <v>7.2149999999999999</v>
      </c>
    </row>
    <row r="2643" spans="1:6" x14ac:dyDescent="0.25">
      <c r="A2643" s="1">
        <v>45342</v>
      </c>
      <c r="B2643">
        <v>7.2016999999999998</v>
      </c>
      <c r="C2643" s="1">
        <v>45608</v>
      </c>
      <c r="D2643">
        <v>7.2347000000000001</v>
      </c>
      <c r="E2643" s="1">
        <v>45608</v>
      </c>
      <c r="F2643">
        <v>7.2347000000000001</v>
      </c>
    </row>
    <row r="2644" spans="1:6" x14ac:dyDescent="0.25">
      <c r="A2644" s="1">
        <v>45343</v>
      </c>
      <c r="B2644">
        <v>7.1993999999999998</v>
      </c>
      <c r="C2644" s="1">
        <v>45609</v>
      </c>
      <c r="D2644">
        <v>7.234</v>
      </c>
      <c r="E2644" s="1">
        <v>45609</v>
      </c>
      <c r="F2644">
        <v>7.234</v>
      </c>
    </row>
    <row r="2645" spans="1:6" x14ac:dyDescent="0.25">
      <c r="A2645" s="1">
        <v>45344</v>
      </c>
      <c r="B2645">
        <v>7.2020999999999997</v>
      </c>
      <c r="C2645" s="1">
        <v>45610</v>
      </c>
      <c r="D2645">
        <v>7.2271000000000001</v>
      </c>
      <c r="E2645" s="1">
        <v>45610</v>
      </c>
      <c r="F2645">
        <v>7.2271000000000001</v>
      </c>
    </row>
    <row r="2646" spans="1:6" x14ac:dyDescent="0.25">
      <c r="A2646" s="1">
        <v>45345</v>
      </c>
      <c r="B2646">
        <v>7.2057000000000002</v>
      </c>
      <c r="C2646" s="1">
        <v>45611</v>
      </c>
      <c r="D2646">
        <v>7.2294</v>
      </c>
      <c r="E2646" s="1">
        <v>45611</v>
      </c>
      <c r="F2646">
        <v>7.2294</v>
      </c>
    </row>
    <row r="2647" spans="1:6" x14ac:dyDescent="0.25">
      <c r="A2647" s="1">
        <v>45348</v>
      </c>
      <c r="B2647">
        <v>7.2111999999999998</v>
      </c>
      <c r="C2647" s="1">
        <v>45614</v>
      </c>
      <c r="D2647">
        <v>7.2320000000000002</v>
      </c>
      <c r="E2647" s="1">
        <v>45614</v>
      </c>
      <c r="F2647">
        <v>7.2320000000000002</v>
      </c>
    </row>
    <row r="2648" spans="1:6" x14ac:dyDescent="0.25">
      <c r="A2648" s="1">
        <v>45349</v>
      </c>
      <c r="B2648">
        <v>7.2138999999999998</v>
      </c>
      <c r="C2648" s="1">
        <v>45615</v>
      </c>
      <c r="D2648">
        <v>7.2393999999999998</v>
      </c>
      <c r="E2648" s="1">
        <v>45615</v>
      </c>
      <c r="F2648">
        <v>7.2393999999999998</v>
      </c>
    </row>
    <row r="2649" spans="1:6" x14ac:dyDescent="0.25">
      <c r="A2649" s="1">
        <v>45350</v>
      </c>
      <c r="B2649">
        <v>7.2141000000000002</v>
      </c>
      <c r="C2649" s="1">
        <v>45616</v>
      </c>
      <c r="D2649">
        <v>7.2454999999999998</v>
      </c>
      <c r="E2649" s="1">
        <v>45616</v>
      </c>
      <c r="F2649">
        <v>7.2454999999999998</v>
      </c>
    </row>
    <row r="2650" spans="1:6" x14ac:dyDescent="0.25">
      <c r="A2650" s="1">
        <v>45351</v>
      </c>
      <c r="B2650">
        <v>7.2077999999999998</v>
      </c>
      <c r="C2650" s="1">
        <v>45617</v>
      </c>
      <c r="D2650">
        <v>7.2422000000000004</v>
      </c>
      <c r="E2650" s="1">
        <v>45617</v>
      </c>
      <c r="F2650">
        <v>7.2422000000000004</v>
      </c>
    </row>
    <row r="2651" spans="1:6" x14ac:dyDescent="0.25">
      <c r="A2651" s="1">
        <v>45352</v>
      </c>
      <c r="B2651">
        <v>7.2112999999999996</v>
      </c>
      <c r="C2651" s="1">
        <v>45618</v>
      </c>
      <c r="D2651">
        <v>7.2480000000000002</v>
      </c>
      <c r="E2651" s="1">
        <v>45618</v>
      </c>
      <c r="F2651">
        <v>7.2480000000000002</v>
      </c>
    </row>
    <row r="2652" spans="1:6" x14ac:dyDescent="0.25">
      <c r="A2652" s="1">
        <v>45355</v>
      </c>
      <c r="B2652">
        <v>7.2100999999999997</v>
      </c>
      <c r="C2652" s="1">
        <v>45621</v>
      </c>
      <c r="D2652">
        <v>7.2462</v>
      </c>
      <c r="E2652" s="1">
        <v>45621</v>
      </c>
      <c r="F2652">
        <v>7.2462</v>
      </c>
    </row>
    <row r="2653" spans="1:6" x14ac:dyDescent="0.25">
      <c r="A2653" s="1">
        <v>45356</v>
      </c>
      <c r="B2653">
        <v>7.2121000000000004</v>
      </c>
      <c r="C2653" s="1">
        <v>45622</v>
      </c>
      <c r="D2653">
        <v>7.2502000000000004</v>
      </c>
      <c r="E2653" s="1">
        <v>45622</v>
      </c>
      <c r="F2653">
        <v>7.2502000000000004</v>
      </c>
    </row>
    <row r="2654" spans="1:6" x14ac:dyDescent="0.25">
      <c r="A2654" s="1">
        <v>45357</v>
      </c>
      <c r="B2654">
        <v>7.21</v>
      </c>
      <c r="C2654" s="1">
        <v>45623</v>
      </c>
      <c r="D2654">
        <v>7.2451999999999996</v>
      </c>
      <c r="E2654" s="1">
        <v>45623</v>
      </c>
      <c r="F2654">
        <v>7.2451999999999996</v>
      </c>
    </row>
    <row r="2655" spans="1:6" x14ac:dyDescent="0.25">
      <c r="A2655" s="1">
        <v>45358</v>
      </c>
      <c r="B2655">
        <v>7.2003000000000004</v>
      </c>
      <c r="C2655" s="1">
        <v>45624</v>
      </c>
      <c r="D2655">
        <v>7.2445000000000004</v>
      </c>
      <c r="E2655" s="1">
        <v>45624</v>
      </c>
      <c r="F2655">
        <v>7.2445000000000004</v>
      </c>
    </row>
    <row r="2656" spans="1:6" x14ac:dyDescent="0.25">
      <c r="A2656" s="1">
        <v>45359</v>
      </c>
      <c r="B2656">
        <v>7.2</v>
      </c>
      <c r="C2656" s="1">
        <v>45625</v>
      </c>
      <c r="D2656">
        <v>7.2466999999999997</v>
      </c>
      <c r="E2656" s="1">
        <v>45625</v>
      </c>
      <c r="F2656">
        <v>7.2466999999999997</v>
      </c>
    </row>
    <row r="2657" spans="1:6" x14ac:dyDescent="0.25">
      <c r="A2657" s="1">
        <v>45362</v>
      </c>
      <c r="B2657">
        <v>7.1798999999999999</v>
      </c>
      <c r="C2657" s="1">
        <v>45628</v>
      </c>
      <c r="D2657">
        <v>7.2743000000000002</v>
      </c>
      <c r="E2657" s="1">
        <v>45628</v>
      </c>
      <c r="F2657">
        <v>7.2743000000000002</v>
      </c>
    </row>
    <row r="2658" spans="1:6" x14ac:dyDescent="0.25">
      <c r="A2658" s="1">
        <v>45363</v>
      </c>
      <c r="B2658">
        <v>7.1872999999999996</v>
      </c>
      <c r="C2658" s="1">
        <v>45629</v>
      </c>
      <c r="D2658">
        <v>7.2862999999999998</v>
      </c>
      <c r="E2658" s="1">
        <v>45629</v>
      </c>
      <c r="F2658">
        <v>7.2862999999999998</v>
      </c>
    </row>
    <row r="2659" spans="1:6" x14ac:dyDescent="0.25">
      <c r="A2659" s="1">
        <v>45364</v>
      </c>
      <c r="B2659">
        <v>7.1935000000000002</v>
      </c>
      <c r="C2659" s="1">
        <v>45630</v>
      </c>
      <c r="D2659">
        <v>7.2641</v>
      </c>
      <c r="E2659" s="1">
        <v>45630</v>
      </c>
      <c r="F2659">
        <v>7.2641</v>
      </c>
    </row>
    <row r="2660" spans="1:6" x14ac:dyDescent="0.25">
      <c r="A2660" s="1">
        <v>45365</v>
      </c>
      <c r="B2660">
        <v>7.2026000000000003</v>
      </c>
      <c r="C2660" s="1">
        <v>45631</v>
      </c>
      <c r="D2660">
        <v>7.2587999999999999</v>
      </c>
      <c r="E2660" s="1">
        <v>45631</v>
      </c>
      <c r="F2660">
        <v>7.2587999999999999</v>
      </c>
    </row>
    <row r="2661" spans="1:6" x14ac:dyDescent="0.25">
      <c r="A2661" s="1">
        <v>45366</v>
      </c>
      <c r="B2661">
        <v>7.2057000000000002</v>
      </c>
      <c r="C2661" s="1">
        <v>45632</v>
      </c>
      <c r="D2661">
        <v>7.2717000000000001</v>
      </c>
      <c r="E2661" s="1">
        <v>45632</v>
      </c>
      <c r="F2661">
        <v>7.2717000000000001</v>
      </c>
    </row>
    <row r="2662" spans="1:6" x14ac:dyDescent="0.25">
      <c r="A2662" s="1">
        <v>45369</v>
      </c>
      <c r="B2662">
        <v>7.2061000000000002</v>
      </c>
      <c r="C2662" s="1">
        <v>45635</v>
      </c>
      <c r="D2662">
        <v>7.2586000000000004</v>
      </c>
      <c r="E2662" s="1">
        <v>45635</v>
      </c>
      <c r="F2662">
        <v>7.2586000000000004</v>
      </c>
    </row>
    <row r="2663" spans="1:6" x14ac:dyDescent="0.25">
      <c r="A2663" s="1">
        <v>45370</v>
      </c>
      <c r="B2663">
        <v>7.2119999999999997</v>
      </c>
      <c r="C2663" s="1">
        <v>45636</v>
      </c>
      <c r="D2663">
        <v>7.2497999999999996</v>
      </c>
      <c r="E2663" s="1">
        <v>45636</v>
      </c>
      <c r="F2663">
        <v>7.2497999999999996</v>
      </c>
    </row>
    <row r="2664" spans="1:6" x14ac:dyDescent="0.25">
      <c r="A2664" s="1">
        <v>45371</v>
      </c>
      <c r="B2664">
        <v>7.2111999999999998</v>
      </c>
      <c r="C2664" s="1">
        <v>45637</v>
      </c>
      <c r="D2664">
        <v>7.2629999999999999</v>
      </c>
      <c r="E2664" s="1">
        <v>45637</v>
      </c>
      <c r="F2664">
        <v>7.2629999999999999</v>
      </c>
    </row>
    <row r="2665" spans="1:6" x14ac:dyDescent="0.25">
      <c r="A2665" s="1">
        <v>45372</v>
      </c>
      <c r="B2665">
        <v>7.2215999999999996</v>
      </c>
      <c r="C2665" s="1">
        <v>45638</v>
      </c>
      <c r="D2665">
        <v>7.2690999999999999</v>
      </c>
      <c r="E2665" s="1">
        <v>45638</v>
      </c>
      <c r="F2665">
        <v>7.2690999999999999</v>
      </c>
    </row>
    <row r="2666" spans="1:6" x14ac:dyDescent="0.25">
      <c r="A2666" s="1">
        <v>45373</v>
      </c>
      <c r="B2666">
        <v>7.2760999999999996</v>
      </c>
      <c r="C2666" s="1">
        <v>45639</v>
      </c>
      <c r="D2666">
        <v>7.2736000000000001</v>
      </c>
      <c r="E2666" s="1">
        <v>45639</v>
      </c>
      <c r="F2666">
        <v>7.2736000000000001</v>
      </c>
    </row>
    <row r="2667" spans="1:6" x14ac:dyDescent="0.25">
      <c r="A2667" s="1">
        <v>45376</v>
      </c>
      <c r="B2667">
        <v>7.2530999999999999</v>
      </c>
      <c r="C2667" s="1">
        <v>45642</v>
      </c>
      <c r="D2667">
        <v>7.2839</v>
      </c>
      <c r="E2667" s="1">
        <v>45642</v>
      </c>
      <c r="F2667">
        <v>7.2839</v>
      </c>
    </row>
    <row r="2668" spans="1:6" x14ac:dyDescent="0.25">
      <c r="A2668" s="1">
        <v>45377</v>
      </c>
      <c r="B2668">
        <v>7.2487000000000004</v>
      </c>
      <c r="C2668" s="1">
        <v>45643</v>
      </c>
      <c r="D2668">
        <v>7.2842000000000002</v>
      </c>
      <c r="E2668" s="1">
        <v>45643</v>
      </c>
      <c r="F2668">
        <v>7.2842000000000002</v>
      </c>
    </row>
    <row r="2669" spans="1:6" x14ac:dyDescent="0.25">
      <c r="A2669" s="1">
        <v>45378</v>
      </c>
      <c r="B2669">
        <v>7.2538999999999998</v>
      </c>
      <c r="C2669" s="1">
        <v>45644</v>
      </c>
      <c r="D2669">
        <v>7.2857000000000003</v>
      </c>
      <c r="E2669" s="1">
        <v>45644</v>
      </c>
      <c r="F2669">
        <v>7.2857000000000003</v>
      </c>
    </row>
    <row r="2670" spans="1:6" x14ac:dyDescent="0.25">
      <c r="A2670" s="1">
        <v>45379</v>
      </c>
      <c r="B2670">
        <v>7.2622999999999998</v>
      </c>
      <c r="C2670" s="1">
        <v>45645</v>
      </c>
      <c r="D2670">
        <v>7.2957999999999998</v>
      </c>
      <c r="E2670" s="1">
        <v>45645</v>
      </c>
      <c r="F2670">
        <v>7.2957999999999998</v>
      </c>
    </row>
    <row r="2671" spans="1:6" x14ac:dyDescent="0.25">
      <c r="A2671" s="1">
        <v>45380</v>
      </c>
      <c r="B2671">
        <v>7.2572000000000001</v>
      </c>
      <c r="C2671" s="1">
        <v>45646</v>
      </c>
      <c r="D2671">
        <v>7.2953999999999999</v>
      </c>
      <c r="E2671" s="1">
        <v>45646</v>
      </c>
      <c r="F2671">
        <v>7.2953999999999999</v>
      </c>
    </row>
    <row r="2672" spans="1:6" x14ac:dyDescent="0.25">
      <c r="A2672" s="1">
        <v>45383</v>
      </c>
      <c r="B2672">
        <v>7.2595000000000001</v>
      </c>
      <c r="C2672" s="1">
        <v>45649</v>
      </c>
      <c r="D2672">
        <v>7.2960000000000003</v>
      </c>
      <c r="E2672" s="1">
        <v>45649</v>
      </c>
      <c r="F2672">
        <v>7.2960000000000003</v>
      </c>
    </row>
    <row r="2673" spans="1:6" x14ac:dyDescent="0.25">
      <c r="A2673" s="1">
        <v>45384</v>
      </c>
      <c r="B2673">
        <v>7.2545999999999999</v>
      </c>
      <c r="C2673" s="1">
        <v>45650</v>
      </c>
      <c r="D2673">
        <v>7.2953000000000001</v>
      </c>
      <c r="E2673" s="1">
        <v>45650</v>
      </c>
      <c r="F2673">
        <v>7.2953000000000001</v>
      </c>
    </row>
    <row r="2674" spans="1:6" x14ac:dyDescent="0.25">
      <c r="A2674" s="1">
        <v>45385</v>
      </c>
      <c r="B2674">
        <v>7.2488000000000001</v>
      </c>
      <c r="C2674" s="1">
        <v>45651</v>
      </c>
      <c r="D2674">
        <v>7.2946999999999997</v>
      </c>
      <c r="E2674" s="1">
        <v>45651</v>
      </c>
      <c r="F2674">
        <v>7.2946999999999997</v>
      </c>
    </row>
    <row r="2675" spans="1:6" x14ac:dyDescent="0.25">
      <c r="A2675" s="1">
        <v>45386</v>
      </c>
      <c r="B2675">
        <v>7.2492000000000001</v>
      </c>
      <c r="C2675" s="1">
        <v>45652</v>
      </c>
      <c r="D2675">
        <v>7.2979000000000003</v>
      </c>
      <c r="E2675" s="1">
        <v>45652</v>
      </c>
      <c r="F2675">
        <v>7.2979000000000003</v>
      </c>
    </row>
    <row r="2676" spans="1:6" x14ac:dyDescent="0.25">
      <c r="A2676" s="1">
        <v>45387</v>
      </c>
      <c r="B2676">
        <v>7.2477999999999998</v>
      </c>
      <c r="C2676" s="1">
        <v>45653</v>
      </c>
      <c r="D2676">
        <v>7.2961</v>
      </c>
      <c r="E2676" s="1">
        <v>45653</v>
      </c>
      <c r="F2676">
        <v>7.2961</v>
      </c>
    </row>
    <row r="2677" spans="1:6" x14ac:dyDescent="0.25">
      <c r="A2677" s="1">
        <v>45390</v>
      </c>
      <c r="B2677">
        <v>7.2422000000000004</v>
      </c>
      <c r="C2677" s="1">
        <v>45656</v>
      </c>
      <c r="D2677">
        <v>7.2992999999999997</v>
      </c>
      <c r="E2677" s="1">
        <v>45656</v>
      </c>
      <c r="F2677">
        <v>7.2992999999999997</v>
      </c>
    </row>
    <row r="2678" spans="1:6" x14ac:dyDescent="0.25">
      <c r="A2678" s="1">
        <v>45391</v>
      </c>
      <c r="B2678">
        <v>7.2382999999999997</v>
      </c>
      <c r="C2678" s="1">
        <v>45657</v>
      </c>
      <c r="D2678">
        <v>7.2992999999999997</v>
      </c>
      <c r="E2678" s="1">
        <v>45657</v>
      </c>
      <c r="F2678">
        <v>7.2992999999999997</v>
      </c>
    </row>
    <row r="2679" spans="1:6" x14ac:dyDescent="0.25">
      <c r="A2679" s="1">
        <v>45392</v>
      </c>
      <c r="B2679">
        <v>7.2624000000000004</v>
      </c>
      <c r="C2679" s="1">
        <v>45659</v>
      </c>
      <c r="D2679">
        <v>7.2994000000000003</v>
      </c>
      <c r="E2679" s="1">
        <v>45659</v>
      </c>
      <c r="F2679">
        <v>7.2994000000000003</v>
      </c>
    </row>
    <row r="2680" spans="1:6" x14ac:dyDescent="0.25">
      <c r="A2680" s="1">
        <v>45393</v>
      </c>
      <c r="B2680">
        <v>7.2557999999999998</v>
      </c>
      <c r="C2680" s="1">
        <v>45660</v>
      </c>
      <c r="D2680">
        <v>7.3215000000000003</v>
      </c>
      <c r="E2680" s="1">
        <v>45660</v>
      </c>
      <c r="F2680">
        <v>7.3215000000000003</v>
      </c>
    </row>
    <row r="2681" spans="1:6" x14ac:dyDescent="0.25">
      <c r="A2681" s="1">
        <v>45394</v>
      </c>
      <c r="B2681">
        <v>7.2672999999999996</v>
      </c>
      <c r="C2681" s="1">
        <v>45663</v>
      </c>
      <c r="D2681">
        <v>7.3281000000000001</v>
      </c>
      <c r="E2681" s="1">
        <v>45663</v>
      </c>
      <c r="F2681">
        <v>7.3281000000000001</v>
      </c>
    </row>
    <row r="2682" spans="1:6" x14ac:dyDescent="0.25">
      <c r="A2682" s="1">
        <v>45397</v>
      </c>
      <c r="B2682">
        <v>7.2590000000000003</v>
      </c>
      <c r="C2682" s="1">
        <v>45664</v>
      </c>
      <c r="D2682">
        <v>7.3280000000000003</v>
      </c>
      <c r="E2682" s="1">
        <v>45664</v>
      </c>
      <c r="F2682">
        <v>7.3280000000000003</v>
      </c>
    </row>
    <row r="2683" spans="1:6" x14ac:dyDescent="0.25">
      <c r="A2683" s="1">
        <v>45398</v>
      </c>
      <c r="B2683">
        <v>7.2644000000000002</v>
      </c>
      <c r="C2683" s="1">
        <v>45665</v>
      </c>
      <c r="D2683">
        <v>7.3316999999999997</v>
      </c>
      <c r="E2683" s="1">
        <v>45665</v>
      </c>
      <c r="F2683">
        <v>7.3316999999999997</v>
      </c>
    </row>
    <row r="2684" spans="1:6" x14ac:dyDescent="0.25">
      <c r="A2684" s="1">
        <v>45399</v>
      </c>
      <c r="B2684">
        <v>7.2439999999999998</v>
      </c>
      <c r="C2684" s="1">
        <v>45666</v>
      </c>
      <c r="D2684">
        <v>7.3320999999999996</v>
      </c>
      <c r="E2684" s="1">
        <v>45666</v>
      </c>
      <c r="F2684">
        <v>7.3320999999999996</v>
      </c>
    </row>
    <row r="2685" spans="1:6" x14ac:dyDescent="0.25">
      <c r="A2685" s="1">
        <v>45400</v>
      </c>
      <c r="B2685">
        <v>7.2496</v>
      </c>
      <c r="C2685" s="1">
        <v>45667</v>
      </c>
      <c r="D2685">
        <v>7.3326000000000002</v>
      </c>
      <c r="E2685" s="1">
        <v>45667</v>
      </c>
      <c r="F2685">
        <v>7.3326000000000002</v>
      </c>
    </row>
    <row r="2686" spans="1:6" x14ac:dyDescent="0.25">
      <c r="A2686" s="1">
        <v>45401</v>
      </c>
      <c r="B2686">
        <v>7.2511999999999999</v>
      </c>
      <c r="C2686" s="1">
        <v>45670</v>
      </c>
      <c r="D2686">
        <v>7.3319000000000001</v>
      </c>
      <c r="E2686" s="1">
        <v>45670</v>
      </c>
      <c r="F2686">
        <v>7.3319000000000001</v>
      </c>
    </row>
    <row r="2687" spans="1:6" x14ac:dyDescent="0.25">
      <c r="A2687" s="1">
        <v>45404</v>
      </c>
      <c r="B2687">
        <v>7.2507000000000001</v>
      </c>
      <c r="C2687" s="1">
        <v>45671</v>
      </c>
      <c r="D2687">
        <v>7.3311000000000002</v>
      </c>
      <c r="E2687" s="1">
        <v>45671</v>
      </c>
      <c r="F2687">
        <v>7.3311000000000002</v>
      </c>
    </row>
    <row r="2688" spans="1:6" x14ac:dyDescent="0.25">
      <c r="A2688" s="1">
        <v>45405</v>
      </c>
      <c r="B2688">
        <v>7.2605000000000004</v>
      </c>
      <c r="C2688" s="1">
        <v>45672</v>
      </c>
      <c r="D2688">
        <v>7.3319000000000001</v>
      </c>
      <c r="E2688" s="1">
        <v>45672</v>
      </c>
      <c r="F2688">
        <v>7.3319000000000001</v>
      </c>
    </row>
    <row r="2689" spans="1:6" x14ac:dyDescent="0.25">
      <c r="A2689" s="1">
        <v>45406</v>
      </c>
      <c r="B2689">
        <v>7.2731000000000003</v>
      </c>
      <c r="C2689" s="1">
        <v>45673</v>
      </c>
      <c r="D2689">
        <v>7.3315999999999999</v>
      </c>
      <c r="E2689" s="1">
        <v>45673</v>
      </c>
      <c r="F2689">
        <v>7.3315999999999999</v>
      </c>
    </row>
    <row r="2690" spans="1:6" x14ac:dyDescent="0.25">
      <c r="A2690" s="1">
        <v>45407</v>
      </c>
      <c r="B2690">
        <v>7.2553000000000001</v>
      </c>
      <c r="C2690" s="1">
        <v>45674</v>
      </c>
      <c r="D2690">
        <v>7.3251999999999997</v>
      </c>
      <c r="E2690" s="1">
        <v>45674</v>
      </c>
      <c r="F2690">
        <v>7.3251999999999997</v>
      </c>
    </row>
    <row r="2691" spans="1:6" x14ac:dyDescent="0.25">
      <c r="A2691" s="1">
        <v>45408</v>
      </c>
      <c r="B2691">
        <v>7.2686999999999999</v>
      </c>
      <c r="C2691" s="1">
        <v>45677</v>
      </c>
      <c r="D2691">
        <v>7.2731000000000003</v>
      </c>
      <c r="E2691" s="1">
        <v>45677</v>
      </c>
      <c r="F2691">
        <v>7.2731000000000003</v>
      </c>
    </row>
    <row r="2692" spans="1:6" x14ac:dyDescent="0.25">
      <c r="A2692" s="1">
        <v>45411</v>
      </c>
      <c r="B2692">
        <v>7.2439</v>
      </c>
      <c r="C2692" s="1">
        <v>45678</v>
      </c>
      <c r="D2692">
        <v>7.2656000000000001</v>
      </c>
      <c r="E2692" s="1">
        <v>45678</v>
      </c>
      <c r="F2692">
        <v>7.2656000000000001</v>
      </c>
    </row>
    <row r="2693" spans="1:6" x14ac:dyDescent="0.25">
      <c r="A2693" s="1">
        <v>45412</v>
      </c>
      <c r="B2693">
        <v>7.2548000000000004</v>
      </c>
      <c r="C2693" s="1">
        <v>45679</v>
      </c>
      <c r="D2693">
        <v>7.2762000000000002</v>
      </c>
      <c r="E2693" s="1">
        <v>45679</v>
      </c>
      <c r="F2693">
        <v>7.2762000000000002</v>
      </c>
    </row>
    <row r="2694" spans="1:6" x14ac:dyDescent="0.25">
      <c r="A2694" s="1">
        <v>45413</v>
      </c>
      <c r="B2694">
        <v>7.2340999999999998</v>
      </c>
      <c r="C2694" s="1">
        <v>45680</v>
      </c>
      <c r="D2694">
        <v>7.2862</v>
      </c>
      <c r="E2694" s="1">
        <v>45680</v>
      </c>
      <c r="F2694">
        <v>7.2862</v>
      </c>
    </row>
    <row r="2695" spans="1:6" x14ac:dyDescent="0.25">
      <c r="A2695" s="1">
        <v>45414</v>
      </c>
      <c r="B2695">
        <v>7.2062999999999997</v>
      </c>
      <c r="C2695" s="1">
        <v>45681</v>
      </c>
      <c r="D2695">
        <v>7.2411000000000003</v>
      </c>
      <c r="E2695" s="1">
        <v>45681</v>
      </c>
      <c r="F2695">
        <v>7.2411000000000003</v>
      </c>
    </row>
    <row r="2696" spans="1:6" x14ac:dyDescent="0.25">
      <c r="A2696" s="1">
        <v>45415</v>
      </c>
      <c r="B2696">
        <v>7.1928000000000001</v>
      </c>
      <c r="C2696" s="1">
        <v>45684</v>
      </c>
      <c r="D2696">
        <v>7.2446000000000002</v>
      </c>
      <c r="E2696" s="1">
        <v>45684</v>
      </c>
      <c r="F2696">
        <v>7.2446000000000002</v>
      </c>
    </row>
    <row r="2697" spans="1:6" x14ac:dyDescent="0.25">
      <c r="A2697" s="1">
        <v>45418</v>
      </c>
      <c r="B2697">
        <v>7.2141999999999999</v>
      </c>
      <c r="C2697" s="1">
        <v>45693</v>
      </c>
      <c r="D2697">
        <v>7.2721</v>
      </c>
      <c r="E2697" s="1">
        <v>45693</v>
      </c>
      <c r="F2697">
        <v>7.2721</v>
      </c>
    </row>
    <row r="2698" spans="1:6" x14ac:dyDescent="0.25">
      <c r="A2698" s="1">
        <v>45419</v>
      </c>
      <c r="B2698">
        <v>7.2252999999999998</v>
      </c>
      <c r="C2698" s="1">
        <v>45694</v>
      </c>
      <c r="D2698">
        <v>7.2851999999999997</v>
      </c>
      <c r="E2698" s="1">
        <v>45694</v>
      </c>
      <c r="F2698">
        <v>7.2851999999999997</v>
      </c>
    </row>
    <row r="2699" spans="1:6" x14ac:dyDescent="0.25">
      <c r="A2699" s="1">
        <v>45420</v>
      </c>
      <c r="B2699">
        <v>7.2297000000000002</v>
      </c>
      <c r="C2699" s="1">
        <v>45695</v>
      </c>
      <c r="D2699">
        <v>7.2946999999999997</v>
      </c>
      <c r="E2699" s="1">
        <v>45695</v>
      </c>
      <c r="F2699">
        <v>7.2946999999999997</v>
      </c>
    </row>
    <row r="2700" spans="1:6" x14ac:dyDescent="0.25">
      <c r="A2700" s="1">
        <v>45421</v>
      </c>
      <c r="B2700">
        <v>7.2222999999999997</v>
      </c>
      <c r="C2700" s="1">
        <v>45698</v>
      </c>
      <c r="D2700">
        <v>7.3049999999999997</v>
      </c>
      <c r="E2700" s="1">
        <v>45698</v>
      </c>
      <c r="F2700">
        <v>7.3049999999999997</v>
      </c>
    </row>
    <row r="2701" spans="1:6" x14ac:dyDescent="0.25">
      <c r="A2701" s="1">
        <v>45422</v>
      </c>
      <c r="B2701">
        <v>7.2340999999999998</v>
      </c>
      <c r="C2701" s="1">
        <v>45699</v>
      </c>
      <c r="D2701">
        <v>7.3068999999999997</v>
      </c>
      <c r="E2701" s="1">
        <v>45699</v>
      </c>
      <c r="F2701">
        <v>7.3068999999999997</v>
      </c>
    </row>
    <row r="2702" spans="1:6" x14ac:dyDescent="0.25">
      <c r="A2702" s="1">
        <v>45425</v>
      </c>
      <c r="B2702">
        <v>7.2397</v>
      </c>
      <c r="C2702" s="1">
        <v>45700</v>
      </c>
      <c r="D2702">
        <v>7.3068999999999997</v>
      </c>
      <c r="E2702" s="1">
        <v>45700</v>
      </c>
      <c r="F2702">
        <v>7.3068999999999997</v>
      </c>
    </row>
    <row r="2703" spans="1:6" x14ac:dyDescent="0.25">
      <c r="A2703" s="1">
        <v>45426</v>
      </c>
      <c r="B2703">
        <v>7.2397999999999998</v>
      </c>
      <c r="C2703" s="1">
        <v>45701</v>
      </c>
      <c r="D2703">
        <v>7.2878999999999996</v>
      </c>
      <c r="E2703" s="1">
        <v>45701</v>
      </c>
      <c r="F2703">
        <v>7.2878999999999996</v>
      </c>
    </row>
    <row r="2704" spans="1:6" x14ac:dyDescent="0.25">
      <c r="A2704" s="1">
        <v>45427</v>
      </c>
      <c r="B2704">
        <v>7.2179000000000002</v>
      </c>
      <c r="C2704" s="1">
        <v>45702</v>
      </c>
      <c r="D2704">
        <v>7.2572000000000001</v>
      </c>
      <c r="E2704" s="1">
        <v>45702</v>
      </c>
      <c r="F2704">
        <v>7.2572000000000001</v>
      </c>
    </row>
    <row r="2705" spans="1:6" x14ac:dyDescent="0.25">
      <c r="A2705" s="1">
        <v>45428</v>
      </c>
      <c r="B2705">
        <v>7.2226999999999997</v>
      </c>
      <c r="C2705" s="1">
        <v>45705</v>
      </c>
      <c r="D2705">
        <v>7.2643000000000004</v>
      </c>
      <c r="E2705" s="1">
        <v>45705</v>
      </c>
      <c r="F2705">
        <v>7.2643000000000004</v>
      </c>
    </row>
    <row r="2706" spans="1:6" x14ac:dyDescent="0.25">
      <c r="A2706" s="1">
        <v>45429</v>
      </c>
      <c r="B2706">
        <v>7.2336999999999998</v>
      </c>
      <c r="C2706" s="1">
        <v>45706</v>
      </c>
      <c r="D2706">
        <v>7.2754000000000003</v>
      </c>
      <c r="E2706" s="1">
        <v>45706</v>
      </c>
      <c r="F2706">
        <v>7.2754000000000003</v>
      </c>
    </row>
    <row r="2707" spans="1:6" x14ac:dyDescent="0.25">
      <c r="A2707" s="1">
        <v>45432</v>
      </c>
      <c r="B2707">
        <v>7.2469000000000001</v>
      </c>
      <c r="C2707" s="1">
        <v>45707</v>
      </c>
      <c r="D2707">
        <v>7.2788000000000004</v>
      </c>
      <c r="E2707" s="1">
        <v>45707</v>
      </c>
      <c r="F2707">
        <v>7.2788000000000004</v>
      </c>
    </row>
    <row r="2708" spans="1:6" x14ac:dyDescent="0.25">
      <c r="A2708" s="1">
        <v>45433</v>
      </c>
      <c r="B2708">
        <v>7.2469000000000001</v>
      </c>
      <c r="C2708" s="1">
        <v>45708</v>
      </c>
      <c r="D2708">
        <v>7.2428999999999997</v>
      </c>
      <c r="E2708" s="1">
        <v>45708</v>
      </c>
      <c r="F2708">
        <v>7.2428999999999997</v>
      </c>
    </row>
    <row r="2709" spans="1:6" x14ac:dyDescent="0.25">
      <c r="A2709" s="1">
        <v>45434</v>
      </c>
      <c r="B2709">
        <v>7.2542</v>
      </c>
      <c r="C2709" s="1">
        <v>45709</v>
      </c>
      <c r="D2709">
        <v>7.2523</v>
      </c>
      <c r="E2709" s="1">
        <v>45709</v>
      </c>
      <c r="F2709">
        <v>7.2523</v>
      </c>
    </row>
    <row r="2710" spans="1:6" x14ac:dyDescent="0.25">
      <c r="A2710" s="1">
        <v>45435</v>
      </c>
      <c r="B2710">
        <v>7.2577999999999996</v>
      </c>
      <c r="C2710" s="1">
        <v>45712</v>
      </c>
      <c r="D2710">
        <v>7.2462999999999997</v>
      </c>
      <c r="E2710" s="1">
        <v>45712</v>
      </c>
      <c r="F2710">
        <v>7.2462999999999997</v>
      </c>
    </row>
    <row r="2711" spans="1:6" x14ac:dyDescent="0.25">
      <c r="A2711" s="1">
        <v>45436</v>
      </c>
      <c r="B2711">
        <v>7.2614999999999998</v>
      </c>
      <c r="C2711" s="1">
        <v>45713</v>
      </c>
      <c r="D2711">
        <v>7.2510000000000003</v>
      </c>
      <c r="E2711" s="1">
        <v>45713</v>
      </c>
      <c r="F2711">
        <v>7.2510000000000003</v>
      </c>
    </row>
    <row r="2712" spans="1:6" x14ac:dyDescent="0.25">
      <c r="A2712" s="1">
        <v>45439</v>
      </c>
      <c r="B2712">
        <v>7.2588999999999997</v>
      </c>
      <c r="C2712" s="1">
        <v>45714</v>
      </c>
      <c r="D2712">
        <v>7.2577999999999996</v>
      </c>
      <c r="E2712" s="1">
        <v>45714</v>
      </c>
      <c r="F2712">
        <v>7.2577999999999996</v>
      </c>
    </row>
    <row r="2713" spans="1:6" x14ac:dyDescent="0.25">
      <c r="A2713" s="1">
        <v>45440</v>
      </c>
      <c r="B2713">
        <v>7.2636000000000003</v>
      </c>
      <c r="C2713" s="1">
        <v>45715</v>
      </c>
      <c r="D2713">
        <v>7.2865000000000002</v>
      </c>
      <c r="E2713" s="1">
        <v>45715</v>
      </c>
      <c r="F2713">
        <v>7.2865000000000002</v>
      </c>
    </row>
    <row r="2714" spans="1:6" x14ac:dyDescent="0.25">
      <c r="A2714" s="1">
        <v>45441</v>
      </c>
      <c r="B2714">
        <v>7.2735000000000003</v>
      </c>
      <c r="C2714" s="1">
        <v>45716</v>
      </c>
      <c r="D2714">
        <v>7.2784000000000004</v>
      </c>
      <c r="E2714" s="1">
        <v>45716</v>
      </c>
      <c r="F2714">
        <v>7.2784000000000004</v>
      </c>
    </row>
    <row r="2715" spans="1:6" x14ac:dyDescent="0.25">
      <c r="A2715" s="1">
        <v>45442</v>
      </c>
      <c r="B2715">
        <v>7.2537000000000003</v>
      </c>
      <c r="C2715" s="1">
        <v>45719</v>
      </c>
      <c r="D2715">
        <v>7.2876000000000003</v>
      </c>
      <c r="E2715" s="1">
        <v>45719</v>
      </c>
      <c r="F2715">
        <v>7.2876000000000003</v>
      </c>
    </row>
    <row r="2716" spans="1:6" x14ac:dyDescent="0.25">
      <c r="A2716" s="1">
        <v>45443</v>
      </c>
      <c r="B2716">
        <v>7.2629999999999999</v>
      </c>
      <c r="C2716" s="1">
        <v>45720</v>
      </c>
      <c r="D2716">
        <v>7.2638999999999996</v>
      </c>
      <c r="E2716" s="1">
        <v>45720</v>
      </c>
      <c r="F2716">
        <v>7.2638999999999996</v>
      </c>
    </row>
    <row r="2717" spans="1:6" x14ac:dyDescent="0.25">
      <c r="A2717" s="1">
        <v>45446</v>
      </c>
      <c r="B2717">
        <v>7.2516999999999996</v>
      </c>
      <c r="C2717" s="1">
        <v>45721</v>
      </c>
      <c r="D2717">
        <v>7.2369000000000003</v>
      </c>
      <c r="E2717" s="1">
        <v>45721</v>
      </c>
      <c r="F2717">
        <v>7.2369000000000003</v>
      </c>
    </row>
    <row r="2718" spans="1:6" x14ac:dyDescent="0.25">
      <c r="A2718" s="1">
        <v>45447</v>
      </c>
      <c r="B2718">
        <v>7.2474999999999996</v>
      </c>
      <c r="C2718" s="1">
        <v>45722</v>
      </c>
      <c r="D2718">
        <v>7.2417999999999996</v>
      </c>
      <c r="E2718" s="1">
        <v>45722</v>
      </c>
      <c r="F2718">
        <v>7.2417999999999996</v>
      </c>
    </row>
    <row r="2719" spans="1:6" x14ac:dyDescent="0.25">
      <c r="A2719" s="1">
        <v>45448</v>
      </c>
      <c r="B2719">
        <v>7.2592999999999996</v>
      </c>
      <c r="C2719" s="1">
        <v>45723</v>
      </c>
      <c r="D2719">
        <v>7.2458999999999998</v>
      </c>
      <c r="E2719" s="1">
        <v>45723</v>
      </c>
      <c r="F2719">
        <v>7.2458999999999998</v>
      </c>
    </row>
    <row r="2720" spans="1:6" x14ac:dyDescent="0.25">
      <c r="A2720" s="1">
        <v>45449</v>
      </c>
      <c r="B2720">
        <v>7.2592999999999996</v>
      </c>
      <c r="C2720" s="1">
        <v>45726</v>
      </c>
      <c r="D2720">
        <v>7.26</v>
      </c>
      <c r="E2720" s="1">
        <v>45726</v>
      </c>
      <c r="F2720">
        <v>7.26</v>
      </c>
    </row>
    <row r="2721" spans="1:6" x14ac:dyDescent="0.25">
      <c r="A2721" s="1">
        <v>45450</v>
      </c>
      <c r="B2721">
        <v>7.2630999999999997</v>
      </c>
      <c r="C2721" s="1">
        <v>45727</v>
      </c>
      <c r="D2721">
        <v>7.2302</v>
      </c>
      <c r="E2721" s="1">
        <v>45727</v>
      </c>
      <c r="F2721">
        <v>7.2302</v>
      </c>
    </row>
    <row r="2722" spans="1:6" x14ac:dyDescent="0.25">
      <c r="A2722" s="1">
        <v>45453</v>
      </c>
      <c r="B2722">
        <v>7.2657999999999996</v>
      </c>
      <c r="C2722" s="1">
        <v>45728</v>
      </c>
      <c r="D2722">
        <v>7.2378999999999998</v>
      </c>
      <c r="E2722" s="1">
        <v>45728</v>
      </c>
      <c r="F2722">
        <v>7.2378999999999998</v>
      </c>
    </row>
    <row r="2723" spans="1:6" x14ac:dyDescent="0.25">
      <c r="A2723" s="1">
        <v>45454</v>
      </c>
      <c r="B2723">
        <v>7.2717000000000001</v>
      </c>
      <c r="C2723" s="1">
        <v>45729</v>
      </c>
      <c r="D2723">
        <v>7.2431999999999999</v>
      </c>
      <c r="E2723" s="1">
        <v>45729</v>
      </c>
      <c r="F2723">
        <v>7.2431999999999999</v>
      </c>
    </row>
    <row r="2724" spans="1:6" x14ac:dyDescent="0.25">
      <c r="A2724" s="1">
        <v>45455</v>
      </c>
      <c r="B2724">
        <v>7.2629999999999999</v>
      </c>
      <c r="C2724" s="1">
        <v>45730</v>
      </c>
      <c r="D2724">
        <v>7.2374000000000001</v>
      </c>
      <c r="E2724" s="1">
        <v>45730</v>
      </c>
      <c r="F2724">
        <v>7.2374000000000001</v>
      </c>
    </row>
    <row r="2725" spans="1:6" x14ac:dyDescent="0.25">
      <c r="A2725" s="1">
        <v>45456</v>
      </c>
      <c r="B2725">
        <v>7.2705000000000002</v>
      </c>
      <c r="C2725" s="1">
        <v>45733</v>
      </c>
      <c r="D2725">
        <v>7.2262000000000004</v>
      </c>
      <c r="E2725" s="1">
        <v>45733</v>
      </c>
      <c r="F2725">
        <v>7.2262000000000004</v>
      </c>
    </row>
    <row r="2726" spans="1:6" x14ac:dyDescent="0.25">
      <c r="A2726" s="1">
        <v>45457</v>
      </c>
      <c r="B2726">
        <v>7.2710999999999997</v>
      </c>
      <c r="C2726" s="1">
        <v>45734</v>
      </c>
      <c r="D2726">
        <v>7.2256</v>
      </c>
      <c r="E2726" s="1">
        <v>45734</v>
      </c>
      <c r="F2726">
        <v>7.2256</v>
      </c>
    </row>
    <row r="2727" spans="1:6" x14ac:dyDescent="0.25">
      <c r="A2727" s="1">
        <v>45460</v>
      </c>
      <c r="B2727">
        <v>7.2701000000000002</v>
      </c>
      <c r="C2727" s="1">
        <v>45735</v>
      </c>
      <c r="D2727">
        <v>7.2294</v>
      </c>
      <c r="E2727" s="1">
        <v>45735</v>
      </c>
      <c r="F2727">
        <v>7.2294</v>
      </c>
    </row>
    <row r="2728" spans="1:6" x14ac:dyDescent="0.25">
      <c r="A2728" s="1">
        <v>45461</v>
      </c>
      <c r="B2728">
        <v>7.2710999999999997</v>
      </c>
      <c r="C2728" s="1">
        <v>45736</v>
      </c>
      <c r="D2728">
        <v>7.2492999999999999</v>
      </c>
      <c r="E2728" s="1">
        <v>45736</v>
      </c>
      <c r="F2728">
        <v>7.2492999999999999</v>
      </c>
    </row>
    <row r="2729" spans="1:6" x14ac:dyDescent="0.25">
      <c r="A2729" s="1">
        <v>45462</v>
      </c>
      <c r="B2729">
        <v>7.2812999999999999</v>
      </c>
      <c r="C2729" s="1">
        <v>45737</v>
      </c>
      <c r="D2729">
        <v>7.2518000000000002</v>
      </c>
      <c r="E2729" s="1">
        <v>45737</v>
      </c>
      <c r="F2729">
        <v>7.2518000000000002</v>
      </c>
    </row>
    <row r="2730" spans="1:6" x14ac:dyDescent="0.25">
      <c r="A2730" s="1">
        <v>45463</v>
      </c>
      <c r="B2730">
        <v>7.2910000000000004</v>
      </c>
      <c r="C2730" s="1">
        <v>45740</v>
      </c>
      <c r="D2730">
        <v>7.2606999999999999</v>
      </c>
      <c r="E2730" s="1">
        <v>45740</v>
      </c>
      <c r="F2730">
        <v>7.2606999999999999</v>
      </c>
    </row>
    <row r="2731" spans="1:6" x14ac:dyDescent="0.25">
      <c r="A2731" s="1">
        <v>45464</v>
      </c>
      <c r="B2731">
        <v>7.2904999999999998</v>
      </c>
      <c r="C2731" s="1">
        <v>45741</v>
      </c>
      <c r="D2731">
        <v>7.2584</v>
      </c>
      <c r="E2731" s="1">
        <v>45741</v>
      </c>
      <c r="F2731">
        <v>7.2584</v>
      </c>
    </row>
    <row r="2732" spans="1:6" x14ac:dyDescent="0.25">
      <c r="A2732" s="1">
        <v>45467</v>
      </c>
      <c r="B2732">
        <v>7.2831999999999999</v>
      </c>
      <c r="C2732" s="1">
        <v>45742</v>
      </c>
      <c r="D2732">
        <v>7.2683</v>
      </c>
      <c r="E2732" s="1">
        <v>45742</v>
      </c>
      <c r="F2732">
        <v>7.2683</v>
      </c>
    </row>
    <row r="2733" spans="1:6" x14ac:dyDescent="0.25">
      <c r="A2733" s="1">
        <v>45468</v>
      </c>
      <c r="B2733">
        <v>7.2892999999999999</v>
      </c>
      <c r="C2733" s="1">
        <v>45743</v>
      </c>
      <c r="D2733">
        <v>7.2622</v>
      </c>
      <c r="E2733" s="1">
        <v>45743</v>
      </c>
      <c r="F2733">
        <v>7.2622</v>
      </c>
    </row>
    <row r="2734" spans="1:6" x14ac:dyDescent="0.25">
      <c r="A2734" s="1">
        <v>45469</v>
      </c>
      <c r="B2734">
        <v>7.3009000000000004</v>
      </c>
      <c r="C2734" s="1">
        <v>45744</v>
      </c>
      <c r="D2734">
        <v>7.2622</v>
      </c>
      <c r="E2734" s="1">
        <v>45744</v>
      </c>
      <c r="F2734">
        <v>7.2622</v>
      </c>
    </row>
    <row r="2735" spans="1:6" x14ac:dyDescent="0.25">
      <c r="A2735" s="1">
        <v>45470</v>
      </c>
      <c r="B2735">
        <v>7.3034999999999997</v>
      </c>
      <c r="C2735" s="1">
        <v>45747</v>
      </c>
      <c r="D2735">
        <v>7.2568999999999999</v>
      </c>
      <c r="E2735" s="1">
        <v>45747</v>
      </c>
      <c r="F2735">
        <v>7.2568999999999999</v>
      </c>
    </row>
    <row r="2736" spans="1:6" x14ac:dyDescent="0.25">
      <c r="A2736" s="1">
        <v>45471</v>
      </c>
      <c r="B2736">
        <v>7.2992999999999997</v>
      </c>
      <c r="C2736" s="1">
        <v>45748</v>
      </c>
      <c r="D2736">
        <v>7.2702</v>
      </c>
      <c r="E2736" s="1">
        <v>45748</v>
      </c>
      <c r="F2736">
        <v>7.2702</v>
      </c>
    </row>
    <row r="2737" spans="1:6" x14ac:dyDescent="0.25">
      <c r="A2737" s="1">
        <v>45474</v>
      </c>
      <c r="B2737">
        <v>7.3052000000000001</v>
      </c>
      <c r="C2737" s="1">
        <v>45749</v>
      </c>
      <c r="D2737">
        <v>7.2676999999999996</v>
      </c>
      <c r="E2737" s="1">
        <v>45749</v>
      </c>
      <c r="F2737">
        <v>7.2676999999999996</v>
      </c>
    </row>
    <row r="2738" spans="1:6" x14ac:dyDescent="0.25">
      <c r="A2738" s="1">
        <v>45475</v>
      </c>
      <c r="B2738">
        <v>7.3070000000000004</v>
      </c>
      <c r="C2738" s="1">
        <v>45750</v>
      </c>
      <c r="D2738">
        <v>7.2817999999999996</v>
      </c>
      <c r="E2738" s="1">
        <v>45750</v>
      </c>
      <c r="F2738">
        <v>7.2817999999999996</v>
      </c>
    </row>
    <row r="2739" spans="1:6" x14ac:dyDescent="0.25">
      <c r="A2739" s="1">
        <v>45476</v>
      </c>
      <c r="B2739">
        <v>7.3032000000000004</v>
      </c>
      <c r="C2739" s="1">
        <v>45754</v>
      </c>
      <c r="D2739">
        <v>7.3209999999999997</v>
      </c>
      <c r="E2739" s="1">
        <v>45754</v>
      </c>
      <c r="F2739">
        <v>7.3209999999999997</v>
      </c>
    </row>
    <row r="2740" spans="1:6" x14ac:dyDescent="0.25">
      <c r="A2740" s="1">
        <v>45477</v>
      </c>
      <c r="B2740">
        <v>7.2938999999999998</v>
      </c>
      <c r="C2740" s="1">
        <v>45755</v>
      </c>
      <c r="D2740">
        <v>7.3388999999999998</v>
      </c>
      <c r="E2740" s="1">
        <v>45755</v>
      </c>
      <c r="F2740">
        <v>7.3388999999999998</v>
      </c>
    </row>
    <row r="2741" spans="1:6" x14ac:dyDescent="0.25">
      <c r="A2741" s="1">
        <v>45478</v>
      </c>
      <c r="B2741">
        <v>7.2888999999999999</v>
      </c>
      <c r="C2741" s="1">
        <v>45756</v>
      </c>
      <c r="D2741">
        <v>7.3463000000000003</v>
      </c>
      <c r="E2741" s="1">
        <v>45756</v>
      </c>
      <c r="F2741">
        <v>7.3463000000000003</v>
      </c>
    </row>
    <row r="2742" spans="1:6" x14ac:dyDescent="0.25">
      <c r="A2742" s="1">
        <v>45481</v>
      </c>
      <c r="B2742">
        <v>7.2857000000000003</v>
      </c>
      <c r="C2742" s="1">
        <v>45757</v>
      </c>
      <c r="D2742">
        <v>7.3174999999999999</v>
      </c>
      <c r="E2742" s="1">
        <v>45757</v>
      </c>
      <c r="F2742">
        <v>7.3174999999999999</v>
      </c>
    </row>
    <row r="2743" spans="1:6" x14ac:dyDescent="0.25">
      <c r="A2743" s="1">
        <v>45482</v>
      </c>
      <c r="B2743">
        <v>7.2885999999999997</v>
      </c>
      <c r="C2743" s="1">
        <v>45758</v>
      </c>
      <c r="D2743">
        <v>7.2920999999999996</v>
      </c>
      <c r="E2743" s="1">
        <v>45758</v>
      </c>
      <c r="F2743">
        <v>7.2920999999999996</v>
      </c>
    </row>
    <row r="2744" spans="1:6" x14ac:dyDescent="0.25">
      <c r="A2744" s="1">
        <v>45483</v>
      </c>
      <c r="B2744">
        <v>7.2923999999999998</v>
      </c>
      <c r="C2744" s="1">
        <v>45761</v>
      </c>
      <c r="D2744">
        <v>7.3094999999999999</v>
      </c>
      <c r="E2744" s="1">
        <v>45761</v>
      </c>
      <c r="F2744">
        <v>7.3094999999999999</v>
      </c>
    </row>
    <row r="2745" spans="1:6" x14ac:dyDescent="0.25">
      <c r="A2745" s="1">
        <v>45484</v>
      </c>
      <c r="B2745">
        <v>7.2676999999999996</v>
      </c>
      <c r="C2745" s="1">
        <v>45762</v>
      </c>
      <c r="D2745">
        <v>7.3158000000000003</v>
      </c>
      <c r="E2745" s="1">
        <v>45762</v>
      </c>
      <c r="F2745">
        <v>7.3158000000000003</v>
      </c>
    </row>
    <row r="2746" spans="1:6" x14ac:dyDescent="0.25">
      <c r="A2746" s="1">
        <v>45485</v>
      </c>
      <c r="B2746">
        <v>7.2723000000000004</v>
      </c>
      <c r="C2746" s="1">
        <v>45763</v>
      </c>
      <c r="D2746">
        <v>7.2996999999999996</v>
      </c>
      <c r="E2746" s="1">
        <v>45763</v>
      </c>
      <c r="F2746">
        <v>7.2996999999999996</v>
      </c>
    </row>
    <row r="2747" spans="1:6" x14ac:dyDescent="0.25">
      <c r="A2747" s="1">
        <v>45488</v>
      </c>
      <c r="B2747">
        <v>7.2746000000000004</v>
      </c>
      <c r="C2747" s="1">
        <v>45764</v>
      </c>
      <c r="D2747">
        <v>7.2991999999999999</v>
      </c>
      <c r="E2747" s="1">
        <v>45764</v>
      </c>
      <c r="F2747">
        <v>7.2991999999999999</v>
      </c>
    </row>
    <row r="2748" spans="1:6" x14ac:dyDescent="0.25">
      <c r="A2748" s="1">
        <v>45489</v>
      </c>
      <c r="B2748">
        <v>7.2891000000000004</v>
      </c>
      <c r="C2748" s="1">
        <v>45765</v>
      </c>
      <c r="D2748">
        <v>7.2996999999999996</v>
      </c>
      <c r="E2748" s="1">
        <v>45765</v>
      </c>
      <c r="F2748">
        <v>7.2996999999999996</v>
      </c>
    </row>
    <row r="2749" spans="1:6" x14ac:dyDescent="0.25">
      <c r="A2749" s="1">
        <v>45490</v>
      </c>
      <c r="B2749">
        <v>7.2720000000000002</v>
      </c>
      <c r="C2749" s="1">
        <v>45768</v>
      </c>
      <c r="D2749">
        <v>7.2918000000000003</v>
      </c>
      <c r="E2749" s="1">
        <v>45768</v>
      </c>
      <c r="F2749">
        <v>7.2918000000000003</v>
      </c>
    </row>
    <row r="2750" spans="1:6" x14ac:dyDescent="0.25">
      <c r="A2750" s="1">
        <v>45491</v>
      </c>
      <c r="B2750">
        <v>7.2774999999999999</v>
      </c>
      <c r="C2750" s="1">
        <v>45769</v>
      </c>
      <c r="D2750">
        <v>7.3074000000000003</v>
      </c>
      <c r="E2750" s="1">
        <v>45769</v>
      </c>
      <c r="F2750">
        <v>7.3074000000000003</v>
      </c>
    </row>
    <row r="2751" spans="1:6" x14ac:dyDescent="0.25">
      <c r="A2751" s="1">
        <v>45492</v>
      </c>
      <c r="B2751">
        <v>7.2854999999999999</v>
      </c>
      <c r="C2751" s="1">
        <v>45770</v>
      </c>
      <c r="D2751">
        <v>7.2870999999999997</v>
      </c>
      <c r="E2751" s="1">
        <v>45770</v>
      </c>
      <c r="F2751">
        <v>7.2870999999999997</v>
      </c>
    </row>
    <row r="2752" spans="1:6" x14ac:dyDescent="0.25">
      <c r="A2752" s="1">
        <v>45495</v>
      </c>
      <c r="B2752">
        <v>7.2961</v>
      </c>
      <c r="C2752" s="1">
        <v>45771</v>
      </c>
      <c r="D2752">
        <v>7.2888999999999999</v>
      </c>
      <c r="E2752" s="1">
        <v>45771</v>
      </c>
      <c r="F2752">
        <v>7.2888999999999999</v>
      </c>
    </row>
    <row r="2753" spans="1:6" x14ac:dyDescent="0.25">
      <c r="A2753" s="1">
        <v>45496</v>
      </c>
      <c r="B2753">
        <v>7.2891000000000004</v>
      </c>
      <c r="C2753" s="1">
        <v>45772</v>
      </c>
      <c r="D2753">
        <v>7.2866999999999997</v>
      </c>
      <c r="E2753" s="1">
        <v>45772</v>
      </c>
      <c r="F2753">
        <v>7.2866999999999997</v>
      </c>
    </row>
    <row r="2754" spans="1:6" x14ac:dyDescent="0.25">
      <c r="A2754" s="1">
        <v>45497</v>
      </c>
      <c r="B2754">
        <v>7.2663000000000002</v>
      </c>
      <c r="C2754" s="1">
        <v>45775</v>
      </c>
      <c r="D2754">
        <v>7.2873999999999999</v>
      </c>
      <c r="E2754" s="1">
        <v>45775</v>
      </c>
      <c r="F2754">
        <v>7.2873999999999999</v>
      </c>
    </row>
    <row r="2755" spans="1:6" x14ac:dyDescent="0.25">
      <c r="A2755" s="1">
        <v>45498</v>
      </c>
      <c r="B2755">
        <v>7.2401999999999997</v>
      </c>
      <c r="C2755" s="1">
        <v>45776</v>
      </c>
      <c r="D2755">
        <v>7.2713999999999999</v>
      </c>
      <c r="E2755" s="1">
        <v>45776</v>
      </c>
      <c r="F2755">
        <v>7.2713999999999999</v>
      </c>
    </row>
    <row r="2756" spans="1:6" x14ac:dyDescent="0.25">
      <c r="A2756" s="1">
        <v>45499</v>
      </c>
      <c r="B2756">
        <v>7.2634999999999996</v>
      </c>
      <c r="C2756" s="1">
        <v>45777</v>
      </c>
      <c r="D2756">
        <v>7.2713999999999999</v>
      </c>
      <c r="E2756" s="1">
        <v>45777</v>
      </c>
      <c r="F2756">
        <v>7.2713999999999999</v>
      </c>
    </row>
    <row r="2757" spans="1:6" x14ac:dyDescent="0.25">
      <c r="A2757" s="1">
        <v>45502</v>
      </c>
      <c r="B2757">
        <v>7.2716000000000003</v>
      </c>
      <c r="C2757" s="1">
        <v>45783</v>
      </c>
      <c r="D2757">
        <v>7.2190000000000003</v>
      </c>
      <c r="E2757" s="1">
        <v>45783</v>
      </c>
      <c r="F2757">
        <v>7.2190000000000003</v>
      </c>
    </row>
    <row r="2758" spans="1:6" x14ac:dyDescent="0.25">
      <c r="A2758" s="1">
        <v>45503</v>
      </c>
      <c r="B2758">
        <v>7.2438000000000002</v>
      </c>
      <c r="C2758" s="1">
        <v>45784</v>
      </c>
      <c r="D2758">
        <v>7.2275</v>
      </c>
      <c r="E2758" s="1">
        <v>45784</v>
      </c>
      <c r="F2758">
        <v>7.2275</v>
      </c>
    </row>
    <row r="2759" spans="1:6" x14ac:dyDescent="0.25">
      <c r="A2759" s="1">
        <v>45504</v>
      </c>
      <c r="B2759">
        <v>7.2270000000000003</v>
      </c>
      <c r="C2759" s="1">
        <v>45785</v>
      </c>
      <c r="D2759">
        <v>7.2427999999999999</v>
      </c>
      <c r="E2759" s="1">
        <v>45785</v>
      </c>
      <c r="F2759">
        <v>7.2427999999999999</v>
      </c>
    </row>
    <row r="2760" spans="1:6" x14ac:dyDescent="0.25">
      <c r="A2760" s="1">
        <v>45505</v>
      </c>
      <c r="B2760">
        <v>7.2512999999999996</v>
      </c>
      <c r="C2760" s="1">
        <v>45786</v>
      </c>
      <c r="D2760">
        <v>7.2382</v>
      </c>
      <c r="E2760" s="1">
        <v>45786</v>
      </c>
      <c r="F2760">
        <v>7.2382</v>
      </c>
    </row>
    <row r="2761" spans="1:6" x14ac:dyDescent="0.25">
      <c r="A2761" s="1">
        <v>45506</v>
      </c>
      <c r="B2761">
        <v>7.1638000000000002</v>
      </c>
      <c r="C2761" s="1">
        <v>45789</v>
      </c>
      <c r="D2761">
        <v>7.2053000000000003</v>
      </c>
      <c r="E2761" s="1">
        <v>45789</v>
      </c>
      <c r="F2761">
        <v>7.2053000000000003</v>
      </c>
    </row>
    <row r="2762" spans="1:6" x14ac:dyDescent="0.25">
      <c r="A2762" s="1">
        <v>45509</v>
      </c>
      <c r="B2762">
        <v>7.1384999999999996</v>
      </c>
      <c r="C2762" s="1">
        <v>45790</v>
      </c>
      <c r="D2762">
        <v>7.2046000000000001</v>
      </c>
      <c r="E2762" s="1">
        <v>45790</v>
      </c>
      <c r="F2762">
        <v>7.2046000000000001</v>
      </c>
    </row>
    <row r="2763" spans="1:6" x14ac:dyDescent="0.25">
      <c r="A2763" s="1">
        <v>45510</v>
      </c>
      <c r="B2763">
        <v>7.1589999999999998</v>
      </c>
      <c r="C2763" s="1">
        <v>45791</v>
      </c>
      <c r="D2763">
        <v>7.2084000000000001</v>
      </c>
      <c r="E2763" s="1">
        <v>45791</v>
      </c>
      <c r="F2763">
        <v>7.2084000000000001</v>
      </c>
    </row>
    <row r="2764" spans="1:6" x14ac:dyDescent="0.25">
      <c r="A2764" s="1">
        <v>45511</v>
      </c>
      <c r="B2764">
        <v>7.1733000000000002</v>
      </c>
      <c r="C2764" s="1">
        <v>45792</v>
      </c>
      <c r="D2764">
        <v>7.2073999999999998</v>
      </c>
      <c r="E2764" s="1">
        <v>45792</v>
      </c>
      <c r="F2764">
        <v>7.2073999999999998</v>
      </c>
    </row>
    <row r="2765" spans="1:6" x14ac:dyDescent="0.25">
      <c r="A2765" s="1">
        <v>45512</v>
      </c>
      <c r="B2765">
        <v>7.1841999999999997</v>
      </c>
      <c r="C2765" s="1">
        <v>45793</v>
      </c>
      <c r="D2765">
        <v>7.2135999999999996</v>
      </c>
      <c r="E2765" s="1">
        <v>45793</v>
      </c>
      <c r="F2765">
        <v>7.2135999999999996</v>
      </c>
    </row>
    <row r="2766" spans="1:6" x14ac:dyDescent="0.25">
      <c r="A2766" s="1">
        <v>45513</v>
      </c>
      <c r="B2766">
        <v>7.1744000000000003</v>
      </c>
      <c r="C2766" s="1">
        <v>45796</v>
      </c>
      <c r="D2766">
        <v>7.2138</v>
      </c>
      <c r="E2766" s="1">
        <v>45796</v>
      </c>
      <c r="F2766">
        <v>7.2138</v>
      </c>
    </row>
    <row r="2767" spans="1:6" x14ac:dyDescent="0.25">
      <c r="A2767" s="1">
        <v>45516</v>
      </c>
      <c r="B2767">
        <v>7.1783999999999999</v>
      </c>
      <c r="C2767" s="1">
        <v>45797</v>
      </c>
      <c r="D2767">
        <v>7.2169999999999996</v>
      </c>
      <c r="E2767" s="1">
        <v>45797</v>
      </c>
      <c r="F2767">
        <v>7.2169999999999996</v>
      </c>
    </row>
    <row r="2768" spans="1:6" x14ac:dyDescent="0.25">
      <c r="A2768" s="1">
        <v>45517</v>
      </c>
      <c r="B2768">
        <v>7.1478999999999999</v>
      </c>
      <c r="C2768" s="1">
        <v>45798</v>
      </c>
      <c r="D2768">
        <v>7.2015000000000002</v>
      </c>
      <c r="E2768" s="1">
        <v>45798</v>
      </c>
      <c r="F2768">
        <v>7.2015000000000002</v>
      </c>
    </row>
    <row r="2769" spans="1:6" x14ac:dyDescent="0.25">
      <c r="A2769" s="1">
        <v>45518</v>
      </c>
      <c r="B2769">
        <v>7.1471</v>
      </c>
      <c r="C2769" s="1">
        <v>45799</v>
      </c>
      <c r="D2769">
        <v>7.2055999999999996</v>
      </c>
      <c r="E2769" s="1">
        <v>45799</v>
      </c>
      <c r="F2769">
        <v>7.2055999999999996</v>
      </c>
    </row>
    <row r="2770" spans="1:6" x14ac:dyDescent="0.25">
      <c r="A2770" s="1">
        <v>45519</v>
      </c>
      <c r="B2770">
        <v>7.1795999999999998</v>
      </c>
      <c r="C2770" s="1">
        <v>45800</v>
      </c>
      <c r="D2770">
        <v>7.181</v>
      </c>
      <c r="E2770" s="1">
        <v>45800</v>
      </c>
      <c r="F2770">
        <v>7.181</v>
      </c>
    </row>
    <row r="2771" spans="1:6" x14ac:dyDescent="0.25">
      <c r="A2771" s="1">
        <v>45520</v>
      </c>
      <c r="B2771">
        <v>7.1631</v>
      </c>
      <c r="C2771" s="1">
        <v>45803</v>
      </c>
      <c r="D2771">
        <v>7.1863999999999999</v>
      </c>
      <c r="E2771" s="1">
        <v>45803</v>
      </c>
      <c r="F2771">
        <v>7.1863999999999999</v>
      </c>
    </row>
    <row r="2772" spans="1:6" x14ac:dyDescent="0.25">
      <c r="A2772" s="1">
        <v>45523</v>
      </c>
      <c r="B2772">
        <v>7.1336000000000004</v>
      </c>
      <c r="C2772" s="1">
        <v>45804</v>
      </c>
      <c r="D2772">
        <v>7.1952999999999996</v>
      </c>
      <c r="E2772" s="1">
        <v>45804</v>
      </c>
      <c r="F2772">
        <v>7.1952999999999996</v>
      </c>
    </row>
    <row r="2773" spans="1:6" x14ac:dyDescent="0.25">
      <c r="A2773" s="1">
        <v>45524</v>
      </c>
      <c r="B2773">
        <v>7.1172000000000004</v>
      </c>
      <c r="C2773" s="1">
        <v>45805</v>
      </c>
      <c r="D2773">
        <v>7.1959</v>
      </c>
      <c r="E2773" s="1">
        <v>45805</v>
      </c>
      <c r="F2773">
        <v>7.1959</v>
      </c>
    </row>
    <row r="2774" spans="1:6" x14ac:dyDescent="0.25">
      <c r="A2774" s="1">
        <v>45525</v>
      </c>
      <c r="B2774">
        <v>7.1329000000000002</v>
      </c>
      <c r="C2774" s="1">
        <v>45806</v>
      </c>
      <c r="D2774">
        <v>7.1859000000000002</v>
      </c>
      <c r="E2774" s="1">
        <v>45806</v>
      </c>
      <c r="F2774">
        <v>7.1859000000000002</v>
      </c>
    </row>
    <row r="2775" spans="1:6" x14ac:dyDescent="0.25">
      <c r="A2775" s="1">
        <v>45526</v>
      </c>
      <c r="B2775">
        <v>7.1467000000000001</v>
      </c>
      <c r="C2775" s="1">
        <v>45807</v>
      </c>
      <c r="D2775">
        <v>7.1989000000000001</v>
      </c>
      <c r="E2775" s="1">
        <v>45807</v>
      </c>
      <c r="F2775">
        <v>7.1989000000000001</v>
      </c>
    </row>
    <row r="2776" spans="1:6" x14ac:dyDescent="0.25">
      <c r="A2776" s="1">
        <v>45527</v>
      </c>
      <c r="B2776">
        <v>7.1162000000000001</v>
      </c>
      <c r="C2776" s="1">
        <v>45811</v>
      </c>
      <c r="D2776">
        <v>7.1882999999999999</v>
      </c>
      <c r="E2776" s="1">
        <v>45811</v>
      </c>
      <c r="F2776">
        <v>7.1882999999999999</v>
      </c>
    </row>
    <row r="2777" spans="1:6" x14ac:dyDescent="0.25">
      <c r="A2777" s="1">
        <v>45530</v>
      </c>
      <c r="B2777">
        <v>7.1228999999999996</v>
      </c>
      <c r="C2777" s="1">
        <v>45812</v>
      </c>
      <c r="D2777">
        <v>7.1779999999999999</v>
      </c>
      <c r="E2777" s="1">
        <v>45812</v>
      </c>
      <c r="F2777">
        <v>7.1779999999999999</v>
      </c>
    </row>
    <row r="2778" spans="1:6" x14ac:dyDescent="0.25">
      <c r="A2778" s="1">
        <v>45531</v>
      </c>
      <c r="B2778">
        <v>7.1215000000000002</v>
      </c>
      <c r="C2778" s="1">
        <v>45813</v>
      </c>
      <c r="D2778">
        <v>7.1776999999999997</v>
      </c>
      <c r="E2778" s="1">
        <v>45813</v>
      </c>
      <c r="F2778">
        <v>7.1776999999999997</v>
      </c>
    </row>
    <row r="2779" spans="1:6" x14ac:dyDescent="0.25">
      <c r="A2779" s="1">
        <v>45532</v>
      </c>
      <c r="B2779">
        <v>7.1329000000000002</v>
      </c>
      <c r="C2779" s="1">
        <v>45814</v>
      </c>
      <c r="D2779">
        <v>7.1925999999999997</v>
      </c>
      <c r="E2779" s="1">
        <v>45814</v>
      </c>
      <c r="F2779">
        <v>7.1925999999999997</v>
      </c>
    </row>
    <row r="2780" spans="1:6" x14ac:dyDescent="0.25">
      <c r="A2780" s="1">
        <v>45533</v>
      </c>
      <c r="B2780">
        <v>7.0942999999999996</v>
      </c>
      <c r="C2780" s="1">
        <v>45817</v>
      </c>
      <c r="D2780">
        <v>7.1794000000000002</v>
      </c>
      <c r="E2780" s="1">
        <v>45817</v>
      </c>
      <c r="F2780">
        <v>7.1794000000000002</v>
      </c>
    </row>
    <row r="2781" spans="1:6" x14ac:dyDescent="0.25">
      <c r="A2781" s="1">
        <v>45534</v>
      </c>
      <c r="B2781">
        <v>7.09</v>
      </c>
      <c r="C2781" s="1">
        <v>45818</v>
      </c>
      <c r="D2781">
        <v>7.1878000000000002</v>
      </c>
      <c r="E2781" s="1">
        <v>45818</v>
      </c>
      <c r="F2781">
        <v>7.1878000000000002</v>
      </c>
    </row>
    <row r="2782" spans="1:6" x14ac:dyDescent="0.25">
      <c r="A2782" s="1">
        <v>45537</v>
      </c>
      <c r="B2782">
        <v>7.1158000000000001</v>
      </c>
      <c r="C2782" s="1">
        <v>45819</v>
      </c>
      <c r="D2782">
        <v>7.1902999999999997</v>
      </c>
      <c r="E2782" s="1">
        <v>45819</v>
      </c>
      <c r="F2782">
        <v>7.1902999999999997</v>
      </c>
    </row>
    <row r="2783" spans="1:6" x14ac:dyDescent="0.25">
      <c r="A2783" s="1">
        <v>45538</v>
      </c>
      <c r="B2783">
        <v>7.1208</v>
      </c>
      <c r="C2783" s="1">
        <v>45820</v>
      </c>
      <c r="D2783">
        <v>7.1726999999999999</v>
      </c>
      <c r="E2783" s="1">
        <v>45820</v>
      </c>
      <c r="F2783">
        <v>7.1726999999999999</v>
      </c>
    </row>
    <row r="2784" spans="1:6" x14ac:dyDescent="0.25">
      <c r="A2784" s="1">
        <v>45539</v>
      </c>
      <c r="B2784">
        <v>7.1134000000000004</v>
      </c>
      <c r="C2784" s="1">
        <v>45821</v>
      </c>
      <c r="D2784">
        <v>7.1832000000000003</v>
      </c>
      <c r="E2784" s="1">
        <v>45821</v>
      </c>
      <c r="F2784">
        <v>7.1832000000000003</v>
      </c>
    </row>
    <row r="2785" spans="1:6" x14ac:dyDescent="0.25">
      <c r="A2785" s="1">
        <v>45540</v>
      </c>
      <c r="B2785">
        <v>7.0899000000000001</v>
      </c>
      <c r="C2785" s="1">
        <v>45824</v>
      </c>
      <c r="D2785">
        <v>7.1802000000000001</v>
      </c>
      <c r="E2785" s="1">
        <v>45824</v>
      </c>
      <c r="F2785">
        <v>7.1802000000000001</v>
      </c>
    </row>
    <row r="2786" spans="1:6" x14ac:dyDescent="0.25">
      <c r="A2786" s="1">
        <v>45541</v>
      </c>
      <c r="B2786">
        <v>7.0948000000000002</v>
      </c>
      <c r="C2786" s="1">
        <v>45825</v>
      </c>
      <c r="D2786">
        <v>7.1867999999999999</v>
      </c>
      <c r="E2786" s="1">
        <v>45825</v>
      </c>
      <c r="F2786">
        <v>7.1867999999999999</v>
      </c>
    </row>
    <row r="2787" spans="1:6" x14ac:dyDescent="0.25">
      <c r="A2787" s="1">
        <v>45544</v>
      </c>
      <c r="B2787">
        <v>7.1201999999999996</v>
      </c>
      <c r="C2787" s="1">
        <v>45826</v>
      </c>
      <c r="D2787">
        <v>7.1894999999999998</v>
      </c>
      <c r="E2787" s="1">
        <v>45826</v>
      </c>
      <c r="F2787">
        <v>7.1894999999999998</v>
      </c>
    </row>
    <row r="2788" spans="1:6" x14ac:dyDescent="0.25">
      <c r="A2788" s="1">
        <v>45545</v>
      </c>
      <c r="B2788">
        <v>7.1356000000000002</v>
      </c>
      <c r="C2788" s="1">
        <v>45827</v>
      </c>
      <c r="D2788">
        <v>7.1878000000000002</v>
      </c>
      <c r="E2788" s="1">
        <v>45827</v>
      </c>
      <c r="F2788">
        <v>7.1878000000000002</v>
      </c>
    </row>
    <row r="2789" spans="1:6" x14ac:dyDescent="0.25">
      <c r="A2789" s="1">
        <v>45546</v>
      </c>
      <c r="B2789">
        <v>7.1292999999999997</v>
      </c>
      <c r="C2789" s="1">
        <v>45828</v>
      </c>
      <c r="D2789">
        <v>7.1814999999999998</v>
      </c>
      <c r="E2789" s="1">
        <v>45828</v>
      </c>
      <c r="F2789">
        <v>7.1814999999999998</v>
      </c>
    </row>
    <row r="2790" spans="1:6" x14ac:dyDescent="0.25">
      <c r="A2790" s="1">
        <v>45547</v>
      </c>
      <c r="B2790">
        <v>7.1189999999999998</v>
      </c>
      <c r="C2790" s="1">
        <v>45831</v>
      </c>
      <c r="D2790">
        <v>7.1788999999999996</v>
      </c>
      <c r="E2790" s="1">
        <v>45831</v>
      </c>
      <c r="F2790">
        <v>7.1788999999999996</v>
      </c>
    </row>
    <row r="2791" spans="1:6" x14ac:dyDescent="0.25">
      <c r="A2791" s="1">
        <v>45548</v>
      </c>
      <c r="B2791">
        <v>7.1003999999999996</v>
      </c>
      <c r="C2791" s="1">
        <v>45832</v>
      </c>
      <c r="D2791">
        <v>7.1715999999999998</v>
      </c>
      <c r="E2791" s="1">
        <v>45832</v>
      </c>
      <c r="F2791">
        <v>7.1715999999999998</v>
      </c>
    </row>
    <row r="2792" spans="1:6" x14ac:dyDescent="0.25">
      <c r="A2792" s="1">
        <v>45551</v>
      </c>
      <c r="B2792">
        <v>7.0970000000000004</v>
      </c>
      <c r="C2792" s="1">
        <v>45833</v>
      </c>
      <c r="D2792">
        <v>7.1741000000000001</v>
      </c>
      <c r="E2792" s="1">
        <v>45833</v>
      </c>
      <c r="F2792">
        <v>7.1741000000000001</v>
      </c>
    </row>
    <row r="2793" spans="1:6" x14ac:dyDescent="0.25">
      <c r="A2793" s="1">
        <v>45552</v>
      </c>
      <c r="B2793">
        <v>7.1109999999999998</v>
      </c>
      <c r="C2793" s="1">
        <v>45834</v>
      </c>
      <c r="D2793">
        <v>7.1676000000000002</v>
      </c>
      <c r="E2793" s="1">
        <v>45834</v>
      </c>
      <c r="F2793">
        <v>7.1676000000000002</v>
      </c>
    </row>
    <row r="2794" spans="1:6" x14ac:dyDescent="0.25">
      <c r="A2794" s="1">
        <v>45553</v>
      </c>
      <c r="B2794">
        <v>7.0953999999999997</v>
      </c>
      <c r="C2794" s="1">
        <v>45835</v>
      </c>
      <c r="D2794">
        <v>7.1726000000000001</v>
      </c>
      <c r="E2794" s="1">
        <v>45835</v>
      </c>
      <c r="F2794">
        <v>7.1726000000000001</v>
      </c>
    </row>
    <row r="2795" spans="1:6" x14ac:dyDescent="0.25">
      <c r="A2795" s="1">
        <v>45554</v>
      </c>
      <c r="B2795">
        <v>7.0716000000000001</v>
      </c>
      <c r="C2795" s="1">
        <v>45838</v>
      </c>
      <c r="D2795">
        <v>7.1638000000000002</v>
      </c>
      <c r="E2795" s="1">
        <v>45838</v>
      </c>
      <c r="F2795">
        <v>7.1638000000000002</v>
      </c>
    </row>
    <row r="2796" spans="1:6" x14ac:dyDescent="0.25">
      <c r="A2796" s="1">
        <v>45555</v>
      </c>
      <c r="B2796">
        <v>7.0420999999999996</v>
      </c>
      <c r="C2796" s="1">
        <v>45839</v>
      </c>
      <c r="D2796">
        <v>7.1657999999999999</v>
      </c>
      <c r="E2796" s="1">
        <v>45839</v>
      </c>
      <c r="F2796">
        <v>7.1657999999999999</v>
      </c>
    </row>
    <row r="2797" spans="1:6" x14ac:dyDescent="0.25">
      <c r="A2797" s="1">
        <v>45558</v>
      </c>
      <c r="B2797">
        <v>7.0603999999999996</v>
      </c>
      <c r="C2797" s="1">
        <v>45840</v>
      </c>
      <c r="D2797">
        <v>7.1631</v>
      </c>
      <c r="E2797" s="1">
        <v>45840</v>
      </c>
      <c r="F2797">
        <v>7.1631</v>
      </c>
    </row>
    <row r="2798" spans="1:6" x14ac:dyDescent="0.25">
      <c r="A2798" s="1">
        <v>45559</v>
      </c>
      <c r="B2798">
        <v>7.0110000000000001</v>
      </c>
      <c r="C2798" s="1">
        <v>45841</v>
      </c>
      <c r="D2798">
        <v>7.1706000000000003</v>
      </c>
      <c r="E2798" s="1">
        <v>45841</v>
      </c>
      <c r="F2798">
        <v>7.1706000000000003</v>
      </c>
    </row>
    <row r="2799" spans="1:6" x14ac:dyDescent="0.25">
      <c r="A2799" s="1">
        <v>45560</v>
      </c>
      <c r="B2799">
        <v>7.0327999999999999</v>
      </c>
      <c r="C2799" s="1">
        <v>45842</v>
      </c>
      <c r="D2799">
        <v>7.1656000000000004</v>
      </c>
      <c r="E2799" s="1">
        <v>45842</v>
      </c>
      <c r="F2799">
        <v>7.1656000000000004</v>
      </c>
    </row>
    <row r="2800" spans="1:6" x14ac:dyDescent="0.25">
      <c r="A2800" s="1">
        <v>45561</v>
      </c>
      <c r="B2800">
        <v>6.9729999999999999</v>
      </c>
      <c r="C2800" s="1">
        <v>45845</v>
      </c>
      <c r="D2800">
        <v>7.1761999999999997</v>
      </c>
      <c r="E2800" s="1">
        <v>45845</v>
      </c>
      <c r="F2800">
        <v>7.1761999999999997</v>
      </c>
    </row>
    <row r="2801" spans="1:6" x14ac:dyDescent="0.25">
      <c r="A2801" s="1">
        <v>45562</v>
      </c>
      <c r="B2801">
        <v>6.9816000000000003</v>
      </c>
      <c r="C2801" s="1">
        <v>45846</v>
      </c>
      <c r="D2801">
        <v>7.1784999999999997</v>
      </c>
      <c r="E2801" s="1">
        <v>45846</v>
      </c>
      <c r="F2801">
        <v>7.1784999999999997</v>
      </c>
    </row>
    <row r="2802" spans="1:6" x14ac:dyDescent="0.25">
      <c r="A2802" s="1">
        <v>45565</v>
      </c>
      <c r="B2802">
        <v>7.0073999999999996</v>
      </c>
      <c r="C2802" s="1">
        <v>45847</v>
      </c>
      <c r="D2802">
        <v>7.1806999999999999</v>
      </c>
      <c r="E2802" s="1">
        <v>45847</v>
      </c>
      <c r="F2802">
        <v>7.1806999999999999</v>
      </c>
    </row>
    <row r="2803" spans="1:6" x14ac:dyDescent="0.25">
      <c r="A2803" s="1">
        <v>45566</v>
      </c>
      <c r="B2803">
        <v>7.0301999999999998</v>
      </c>
      <c r="C2803" s="1">
        <v>45848</v>
      </c>
      <c r="D2803">
        <v>7.1782000000000004</v>
      </c>
      <c r="E2803" s="1">
        <v>45848</v>
      </c>
      <c r="F2803">
        <v>7.1782000000000004</v>
      </c>
    </row>
    <row r="2804" spans="1:6" x14ac:dyDescent="0.25">
      <c r="A2804" s="1">
        <v>45567</v>
      </c>
      <c r="B2804">
        <v>7.0364000000000004</v>
      </c>
      <c r="C2804" s="1">
        <v>45849</v>
      </c>
      <c r="D2804">
        <v>7.1700999999999997</v>
      </c>
      <c r="E2804" s="1">
        <v>45849</v>
      </c>
      <c r="F2804">
        <v>7.1700999999999997</v>
      </c>
    </row>
    <row r="2805" spans="1:6" x14ac:dyDescent="0.25">
      <c r="A2805" s="1">
        <v>45568</v>
      </c>
      <c r="B2805">
        <v>7.0514999999999999</v>
      </c>
      <c r="C2805" s="1">
        <v>45852</v>
      </c>
      <c r="D2805">
        <v>7.1719999999999997</v>
      </c>
      <c r="E2805" s="1">
        <v>45852</v>
      </c>
      <c r="F2805">
        <v>7.1719999999999997</v>
      </c>
    </row>
    <row r="2806" spans="1:6" x14ac:dyDescent="0.25">
      <c r="A2806" s="1">
        <v>45569</v>
      </c>
      <c r="B2806">
        <v>7.0983999999999998</v>
      </c>
      <c r="C2806" s="1">
        <v>45853</v>
      </c>
      <c r="D2806">
        <v>7.1825000000000001</v>
      </c>
      <c r="E2806" s="1">
        <v>45853</v>
      </c>
      <c r="F2806">
        <v>7.1825000000000001</v>
      </c>
    </row>
    <row r="2807" spans="1:6" x14ac:dyDescent="0.25">
      <c r="A2807" s="1">
        <v>45572</v>
      </c>
      <c r="B2807">
        <v>7.0712000000000002</v>
      </c>
      <c r="C2807" s="1">
        <v>45854</v>
      </c>
      <c r="D2807">
        <v>7.1784999999999997</v>
      </c>
      <c r="E2807" s="1">
        <v>45854</v>
      </c>
      <c r="F2807">
        <v>7.1784999999999997</v>
      </c>
    </row>
    <row r="2808" spans="1:6" x14ac:dyDescent="0.25">
      <c r="A2808" s="1">
        <v>45573</v>
      </c>
      <c r="B2808">
        <v>7.0738000000000003</v>
      </c>
      <c r="C2808" s="1">
        <v>45855</v>
      </c>
      <c r="D2808">
        <v>7.1817000000000002</v>
      </c>
      <c r="E2808" s="1">
        <v>45855</v>
      </c>
      <c r="F2808">
        <v>7.1817000000000002</v>
      </c>
    </row>
    <row r="2809" spans="1:6" x14ac:dyDescent="0.25">
      <c r="A2809" s="1">
        <v>45574</v>
      </c>
      <c r="B2809">
        <v>7.0926999999999998</v>
      </c>
      <c r="C2809" s="1">
        <v>45856</v>
      </c>
      <c r="D2809">
        <v>7.1745999999999999</v>
      </c>
      <c r="E2809" s="1">
        <v>45856</v>
      </c>
      <c r="F2809">
        <v>7.1745999999999999</v>
      </c>
    </row>
    <row r="2810" spans="1:6" x14ac:dyDescent="0.25">
      <c r="A2810" s="1">
        <v>45575</v>
      </c>
      <c r="B2810">
        <v>7.0849000000000002</v>
      </c>
      <c r="C2810" s="1">
        <v>45859</v>
      </c>
      <c r="D2810">
        <v>7.1694000000000004</v>
      </c>
      <c r="E2810" s="1">
        <v>45859</v>
      </c>
      <c r="F2810">
        <v>7.1694000000000004</v>
      </c>
    </row>
    <row r="2811" spans="1:6" x14ac:dyDescent="0.25">
      <c r="A2811" s="1">
        <v>45576</v>
      </c>
      <c r="B2811">
        <v>7.0711000000000004</v>
      </c>
      <c r="C2811" s="1">
        <v>45860</v>
      </c>
      <c r="D2811">
        <v>7.1689999999999996</v>
      </c>
      <c r="E2811" s="1">
        <v>45860</v>
      </c>
      <c r="F2811">
        <v>7.1689999999999996</v>
      </c>
    </row>
    <row r="2812" spans="1:6" x14ac:dyDescent="0.25">
      <c r="A2812" s="1">
        <v>45579</v>
      </c>
      <c r="B2812">
        <v>7.0956000000000001</v>
      </c>
      <c r="C2812" s="1">
        <v>45861</v>
      </c>
      <c r="D2812">
        <v>7.1543000000000001</v>
      </c>
      <c r="E2812" s="1">
        <v>45861</v>
      </c>
      <c r="F2812">
        <v>7.1543000000000001</v>
      </c>
    </row>
    <row r="2813" spans="1:6" x14ac:dyDescent="0.25">
      <c r="A2813" s="1">
        <v>45580</v>
      </c>
      <c r="B2813">
        <v>7.1353999999999997</v>
      </c>
      <c r="C2813" s="1">
        <v>45862</v>
      </c>
      <c r="D2813">
        <v>7.1547000000000001</v>
      </c>
      <c r="E2813" s="1">
        <v>45862</v>
      </c>
      <c r="F2813">
        <v>7.1547000000000001</v>
      </c>
    </row>
    <row r="2814" spans="1:6" x14ac:dyDescent="0.25">
      <c r="A2814" s="1">
        <v>45581</v>
      </c>
      <c r="B2814">
        <v>7.1368</v>
      </c>
      <c r="C2814" s="1">
        <v>45863</v>
      </c>
      <c r="D2814">
        <v>7.1695000000000002</v>
      </c>
      <c r="E2814" s="1">
        <v>45863</v>
      </c>
      <c r="F2814">
        <v>7.1695000000000002</v>
      </c>
    </row>
    <row r="2815" spans="1:6" x14ac:dyDescent="0.25">
      <c r="A2815" s="1">
        <v>45582</v>
      </c>
      <c r="B2815">
        <v>7.1369999999999996</v>
      </c>
      <c r="C2815" s="1">
        <v>45866</v>
      </c>
      <c r="D2815">
        <v>7.1787999999999998</v>
      </c>
      <c r="E2815" s="1">
        <v>45866</v>
      </c>
      <c r="F2815">
        <v>7.1787999999999998</v>
      </c>
    </row>
    <row r="2816" spans="1:6" x14ac:dyDescent="0.25">
      <c r="A2816" s="1">
        <v>45583</v>
      </c>
      <c r="B2816">
        <v>7.1181000000000001</v>
      </c>
      <c r="C2816" s="1">
        <v>45867</v>
      </c>
      <c r="D2816">
        <v>7.1769999999999996</v>
      </c>
      <c r="E2816" s="1">
        <v>45867</v>
      </c>
      <c r="F2816">
        <v>7.1769999999999996</v>
      </c>
    </row>
    <row r="2817" spans="1:6" x14ac:dyDescent="0.25">
      <c r="A2817" s="1">
        <v>45586</v>
      </c>
      <c r="B2817">
        <v>7.1364000000000001</v>
      </c>
      <c r="C2817" s="1">
        <v>45868</v>
      </c>
      <c r="D2817">
        <v>7.1971999999999996</v>
      </c>
      <c r="E2817" s="1">
        <v>45868</v>
      </c>
      <c r="F2817">
        <v>7.1971999999999996</v>
      </c>
    </row>
    <row r="2818" spans="1:6" x14ac:dyDescent="0.25">
      <c r="A2818" s="1">
        <v>45587</v>
      </c>
      <c r="B2818">
        <v>7.1356999999999999</v>
      </c>
      <c r="C2818" s="1">
        <v>45869</v>
      </c>
      <c r="D2818">
        <v>7.2</v>
      </c>
      <c r="E2818" s="1">
        <v>45869</v>
      </c>
      <c r="F2818">
        <v>7.2</v>
      </c>
    </row>
    <row r="2819" spans="1:6" x14ac:dyDescent="0.25">
      <c r="A2819" s="1">
        <v>45588</v>
      </c>
      <c r="B2819">
        <v>7.1357999999999997</v>
      </c>
      <c r="C2819" s="1">
        <v>45870</v>
      </c>
      <c r="D2819">
        <v>7.1932999999999998</v>
      </c>
      <c r="E2819" s="1">
        <v>45870</v>
      </c>
      <c r="F2819">
        <v>7.1932999999999998</v>
      </c>
    </row>
    <row r="2820" spans="1:6" x14ac:dyDescent="0.25">
      <c r="A2820" s="1">
        <v>45589</v>
      </c>
      <c r="B2820">
        <v>7.1243999999999996</v>
      </c>
      <c r="C2820" s="1">
        <v>45873</v>
      </c>
      <c r="D2820">
        <v>7.1809000000000003</v>
      </c>
      <c r="E2820" s="1">
        <v>45873</v>
      </c>
      <c r="F2820">
        <v>7.1809000000000003</v>
      </c>
    </row>
    <row r="2821" spans="1:6" x14ac:dyDescent="0.25">
      <c r="A2821" s="1">
        <v>45590</v>
      </c>
      <c r="B2821">
        <v>7.1341000000000001</v>
      </c>
      <c r="C2821" s="1">
        <v>45874</v>
      </c>
      <c r="D2821">
        <v>7.1840000000000002</v>
      </c>
      <c r="E2821" s="1">
        <v>45874</v>
      </c>
      <c r="F2821">
        <v>7.1840000000000002</v>
      </c>
    </row>
    <row r="2822" spans="1:6" x14ac:dyDescent="0.25">
      <c r="A2822" s="1">
        <v>45593</v>
      </c>
      <c r="B2822">
        <v>7.1448999999999998</v>
      </c>
      <c r="C2822" s="1">
        <v>45875</v>
      </c>
      <c r="D2822">
        <v>7.1824000000000003</v>
      </c>
      <c r="E2822" s="1">
        <v>45875</v>
      </c>
      <c r="F2822">
        <v>7.1824000000000003</v>
      </c>
    </row>
    <row r="2823" spans="1:6" x14ac:dyDescent="0.25">
      <c r="A2823" s="1">
        <v>45594</v>
      </c>
      <c r="B2823">
        <v>7.1428000000000003</v>
      </c>
      <c r="C2823" s="1">
        <v>45876</v>
      </c>
      <c r="D2823">
        <v>7.1814</v>
      </c>
      <c r="E2823" s="1">
        <v>45876</v>
      </c>
      <c r="F2823">
        <v>7.1814</v>
      </c>
    </row>
    <row r="2824" spans="1:6" x14ac:dyDescent="0.25">
      <c r="A2824" s="1">
        <v>45595</v>
      </c>
      <c r="B2824">
        <v>7.1254999999999997</v>
      </c>
      <c r="C2824" s="1">
        <v>45877</v>
      </c>
      <c r="D2824">
        <v>7.1802000000000001</v>
      </c>
      <c r="E2824" s="1">
        <v>45877</v>
      </c>
      <c r="F2824">
        <v>7.1802000000000001</v>
      </c>
    </row>
    <row r="2825" spans="1:6" x14ac:dyDescent="0.25">
      <c r="A2825" s="1">
        <v>45596</v>
      </c>
      <c r="B2825">
        <v>7.1215999999999999</v>
      </c>
      <c r="C2825" s="1">
        <v>45880</v>
      </c>
      <c r="D2825">
        <v>7.1887999999999996</v>
      </c>
      <c r="E2825" s="1">
        <v>45880</v>
      </c>
      <c r="F2825">
        <v>7.1887999999999996</v>
      </c>
    </row>
    <row r="2826" spans="1:6" x14ac:dyDescent="0.25">
      <c r="A2826" s="1">
        <v>45597</v>
      </c>
      <c r="B2826">
        <v>7.1353999999999997</v>
      </c>
      <c r="C2826" s="1">
        <v>45881</v>
      </c>
      <c r="D2826">
        <v>7.1814</v>
      </c>
      <c r="E2826" s="1">
        <v>45881</v>
      </c>
      <c r="F2826">
        <v>7.1814</v>
      </c>
    </row>
    <row r="2827" spans="1:6" x14ac:dyDescent="0.25">
      <c r="A2827" s="1">
        <v>45600</v>
      </c>
      <c r="B2827">
        <v>7.1120999999999999</v>
      </c>
      <c r="C2827" s="1">
        <v>45882</v>
      </c>
      <c r="D2827">
        <v>7.1765999999999996</v>
      </c>
      <c r="E2827" s="1">
        <v>45882</v>
      </c>
      <c r="F2827">
        <v>7.1765999999999996</v>
      </c>
    </row>
    <row r="2828" spans="1:6" x14ac:dyDescent="0.25">
      <c r="A2828" s="1">
        <v>45601</v>
      </c>
      <c r="B2828">
        <v>7.1017000000000001</v>
      </c>
      <c r="C2828" s="1">
        <v>45883</v>
      </c>
      <c r="D2828">
        <v>7.1814999999999998</v>
      </c>
      <c r="E2828" s="1">
        <v>45883</v>
      </c>
      <c r="F2828">
        <v>7.1814999999999998</v>
      </c>
    </row>
    <row r="2829" spans="1:6" x14ac:dyDescent="0.25">
      <c r="A2829" s="1">
        <v>45602</v>
      </c>
      <c r="B2829">
        <v>7.2035999999999998</v>
      </c>
      <c r="C2829" s="1">
        <v>45884</v>
      </c>
      <c r="D2829">
        <v>7.1844999999999999</v>
      </c>
      <c r="E2829" s="1">
        <v>45884</v>
      </c>
      <c r="F2829">
        <v>7.1844999999999999</v>
      </c>
    </row>
    <row r="2830" spans="1:6" x14ac:dyDescent="0.25">
      <c r="A2830" s="1">
        <v>45603</v>
      </c>
      <c r="B2830">
        <v>7.1482999999999999</v>
      </c>
      <c r="C2830" s="1">
        <v>45887</v>
      </c>
      <c r="D2830">
        <v>7.1848999999999998</v>
      </c>
      <c r="E2830" s="1">
        <v>45887</v>
      </c>
      <c r="F2830">
        <v>7.1848999999999998</v>
      </c>
    </row>
    <row r="2831" spans="1:6" x14ac:dyDescent="0.25">
      <c r="A2831" s="1">
        <v>45604</v>
      </c>
      <c r="B2831">
        <v>7.2012999999999998</v>
      </c>
      <c r="C2831" s="1">
        <v>45888</v>
      </c>
      <c r="D2831">
        <v>7.1824000000000003</v>
      </c>
      <c r="E2831" s="1">
        <v>45888</v>
      </c>
      <c r="F2831">
        <v>7.1824000000000003</v>
      </c>
    </row>
    <row r="2832" spans="1:6" x14ac:dyDescent="0.25">
      <c r="A2832" s="1">
        <v>45607</v>
      </c>
      <c r="B2832">
        <v>7.2278000000000002</v>
      </c>
      <c r="C2832" s="1">
        <v>45889</v>
      </c>
      <c r="D2832">
        <v>7.1757999999999997</v>
      </c>
      <c r="E2832" s="1">
        <v>45889</v>
      </c>
      <c r="F2832">
        <v>7.1757999999999997</v>
      </c>
    </row>
    <row r="2833" spans="1:6" x14ac:dyDescent="0.25">
      <c r="A2833" s="1">
        <v>45608</v>
      </c>
      <c r="B2833">
        <v>7.2430000000000003</v>
      </c>
      <c r="C2833" s="1">
        <v>45890</v>
      </c>
      <c r="D2833">
        <v>7.1805000000000003</v>
      </c>
      <c r="E2833" s="1">
        <v>45890</v>
      </c>
      <c r="F2833">
        <v>7.1805000000000003</v>
      </c>
    </row>
    <row r="2834" spans="1:6" x14ac:dyDescent="0.25">
      <c r="A2834" s="1">
        <v>45609</v>
      </c>
      <c r="B2834">
        <v>7.2436999999999996</v>
      </c>
      <c r="C2834" s="1">
        <v>45891</v>
      </c>
      <c r="D2834">
        <v>7.1675000000000004</v>
      </c>
      <c r="E2834" s="1">
        <v>45891</v>
      </c>
      <c r="F2834">
        <v>7.1675000000000004</v>
      </c>
    </row>
    <row r="2835" spans="1:6" x14ac:dyDescent="0.25">
      <c r="A2835" s="1">
        <v>45610</v>
      </c>
      <c r="B2835">
        <v>7.2538</v>
      </c>
      <c r="C2835" s="1">
        <v>45894</v>
      </c>
      <c r="D2835">
        <v>7.1536</v>
      </c>
      <c r="E2835" s="1">
        <v>45894</v>
      </c>
      <c r="F2835">
        <v>7.1536</v>
      </c>
    </row>
    <row r="2836" spans="1:6" x14ac:dyDescent="0.25">
      <c r="A2836" s="1">
        <v>45611</v>
      </c>
      <c r="B2836">
        <v>7.2370000000000001</v>
      </c>
      <c r="C2836" s="1">
        <v>45895</v>
      </c>
      <c r="D2836">
        <v>7.1528</v>
      </c>
      <c r="E2836" s="1">
        <v>45895</v>
      </c>
      <c r="F2836">
        <v>7.1528</v>
      </c>
    </row>
    <row r="2837" spans="1:6" x14ac:dyDescent="0.25">
      <c r="A2837" s="1">
        <v>45614</v>
      </c>
      <c r="B2837">
        <v>7.2272999999999996</v>
      </c>
      <c r="C2837" s="1">
        <v>45896</v>
      </c>
      <c r="D2837">
        <v>7.1516999999999999</v>
      </c>
      <c r="E2837" s="1">
        <v>45896</v>
      </c>
      <c r="F2837">
        <v>7.1516999999999999</v>
      </c>
    </row>
    <row r="2838" spans="1:6" x14ac:dyDescent="0.25">
      <c r="A2838" s="1">
        <v>45615</v>
      </c>
      <c r="B2838">
        <v>7.2366000000000001</v>
      </c>
      <c r="C2838" s="1">
        <v>45897</v>
      </c>
      <c r="D2838">
        <v>7.1307</v>
      </c>
      <c r="E2838" s="1">
        <v>45897</v>
      </c>
      <c r="F2838">
        <v>7.1307</v>
      </c>
    </row>
    <row r="2839" spans="1:6" x14ac:dyDescent="0.25">
      <c r="A2839" s="1">
        <v>45616</v>
      </c>
      <c r="B2839">
        <v>7.2511000000000001</v>
      </c>
      <c r="C2839" s="1">
        <v>45898</v>
      </c>
      <c r="D2839">
        <v>7.1307999999999998</v>
      </c>
      <c r="E2839" s="1">
        <v>45898</v>
      </c>
      <c r="F2839">
        <v>7.1307999999999998</v>
      </c>
    </row>
    <row r="2840" spans="1:6" x14ac:dyDescent="0.25">
      <c r="A2840" s="1">
        <v>45617</v>
      </c>
      <c r="B2840">
        <v>7.2549999999999999</v>
      </c>
      <c r="C2840" s="1">
        <v>45901</v>
      </c>
      <c r="D2840">
        <v>7.1376999999999997</v>
      </c>
      <c r="E2840" s="1">
        <v>45901</v>
      </c>
      <c r="F2840">
        <v>7.1376999999999997</v>
      </c>
    </row>
    <row r="2841" spans="1:6" x14ac:dyDescent="0.25">
      <c r="A2841" s="1">
        <v>45618</v>
      </c>
      <c r="B2841">
        <v>7.2596999999999996</v>
      </c>
      <c r="C2841" s="1">
        <v>45902</v>
      </c>
      <c r="D2841">
        <v>7.1383000000000001</v>
      </c>
      <c r="E2841" s="1">
        <v>45902</v>
      </c>
      <c r="F2841">
        <v>7.1383000000000001</v>
      </c>
    </row>
    <row r="2842" spans="1:6" x14ac:dyDescent="0.25">
      <c r="A2842" s="1">
        <v>45621</v>
      </c>
      <c r="B2842">
        <v>7.2468000000000004</v>
      </c>
      <c r="C2842" s="1">
        <v>45903</v>
      </c>
      <c r="D2842">
        <v>7.1421000000000001</v>
      </c>
      <c r="E2842" s="1">
        <v>45903</v>
      </c>
      <c r="F2842">
        <v>7.1421000000000001</v>
      </c>
    </row>
    <row r="2843" spans="1:6" x14ac:dyDescent="0.25">
      <c r="A2843" s="1">
        <v>45622</v>
      </c>
      <c r="B2843">
        <v>7.2577999999999996</v>
      </c>
      <c r="C2843" s="1">
        <v>45904</v>
      </c>
      <c r="D2843">
        <v>7.1416000000000004</v>
      </c>
      <c r="E2843" s="1">
        <v>45904</v>
      </c>
      <c r="F2843">
        <v>7.1416000000000004</v>
      </c>
    </row>
    <row r="2844" spans="1:6" x14ac:dyDescent="0.25">
      <c r="A2844" s="1">
        <v>45623</v>
      </c>
      <c r="B2844">
        <v>7.2449000000000003</v>
      </c>
      <c r="C2844" s="1">
        <v>45905</v>
      </c>
      <c r="D2844">
        <v>7.1327999999999996</v>
      </c>
      <c r="E2844" s="1">
        <v>45905</v>
      </c>
      <c r="F2844">
        <v>7.1327999999999996</v>
      </c>
    </row>
    <row r="2845" spans="1:6" x14ac:dyDescent="0.25">
      <c r="A2845" s="1">
        <v>45624</v>
      </c>
      <c r="B2845">
        <v>7.2499000000000002</v>
      </c>
      <c r="C2845" s="1">
        <v>45908</v>
      </c>
      <c r="D2845">
        <v>7.1298000000000004</v>
      </c>
      <c r="E2845" s="1">
        <v>45908</v>
      </c>
      <c r="F2845">
        <v>7.1298000000000004</v>
      </c>
    </row>
    <row r="2846" spans="1:6" x14ac:dyDescent="0.25">
      <c r="A2846" s="1">
        <v>45625</v>
      </c>
      <c r="B2846">
        <v>7.2491000000000003</v>
      </c>
      <c r="C2846" s="1">
        <v>45909</v>
      </c>
      <c r="D2846">
        <v>7.1238000000000001</v>
      </c>
      <c r="E2846" s="1">
        <v>45909</v>
      </c>
      <c r="F2846">
        <v>7.1238000000000001</v>
      </c>
    </row>
    <row r="2847" spans="1:6" x14ac:dyDescent="0.25">
      <c r="A2847" s="1">
        <v>45628</v>
      </c>
      <c r="B2847">
        <v>7.2864000000000004</v>
      </c>
      <c r="C2847" s="1">
        <v>45910</v>
      </c>
      <c r="D2847">
        <v>7.1210000000000004</v>
      </c>
      <c r="E2847" s="1">
        <v>45910</v>
      </c>
      <c r="F2847">
        <v>7.1210000000000004</v>
      </c>
    </row>
    <row r="2848" spans="1:6" x14ac:dyDescent="0.25">
      <c r="A2848" s="1">
        <v>45629</v>
      </c>
      <c r="B2848">
        <v>7.2998000000000003</v>
      </c>
      <c r="C2848" s="1">
        <v>45911</v>
      </c>
      <c r="D2848">
        <v>7.1185999999999998</v>
      </c>
      <c r="E2848" s="1">
        <v>45911</v>
      </c>
      <c r="F2848">
        <v>7.1185999999999998</v>
      </c>
    </row>
    <row r="2849" spans="1:6" x14ac:dyDescent="0.25">
      <c r="A2849" s="1">
        <v>45630</v>
      </c>
      <c r="B2849">
        <v>7.2775999999999996</v>
      </c>
      <c r="C2849" s="1">
        <v>45912</v>
      </c>
      <c r="D2849">
        <v>7.125</v>
      </c>
      <c r="E2849" s="1">
        <v>45912</v>
      </c>
      <c r="F2849">
        <v>7.125</v>
      </c>
    </row>
    <row r="2850" spans="1:6" x14ac:dyDescent="0.25">
      <c r="A2850" s="1">
        <v>45631</v>
      </c>
      <c r="B2850">
        <v>7.2634999999999996</v>
      </c>
      <c r="C2850" s="1">
        <v>45915</v>
      </c>
      <c r="D2850">
        <v>7.1185</v>
      </c>
      <c r="E2850" s="1">
        <v>45915</v>
      </c>
      <c r="F2850">
        <v>7.1185</v>
      </c>
    </row>
    <row r="2851" spans="1:6" x14ac:dyDescent="0.25">
      <c r="A2851" s="1">
        <v>45632</v>
      </c>
      <c r="B2851">
        <v>7.2843</v>
      </c>
      <c r="C2851" s="1">
        <v>45916</v>
      </c>
      <c r="D2851">
        <v>7.1143000000000001</v>
      </c>
      <c r="E2851" s="1">
        <v>45916</v>
      </c>
      <c r="F2851">
        <v>7.1143000000000001</v>
      </c>
    </row>
    <row r="2852" spans="1:6" x14ac:dyDescent="0.25">
      <c r="A2852" s="1">
        <v>45635</v>
      </c>
      <c r="B2852">
        <v>7.2675000000000001</v>
      </c>
      <c r="C2852" s="1">
        <v>45917</v>
      </c>
      <c r="D2852">
        <v>7.1041999999999996</v>
      </c>
      <c r="E2852" s="1">
        <v>45917</v>
      </c>
      <c r="F2852">
        <v>7.1041999999999996</v>
      </c>
    </row>
    <row r="2853" spans="1:6" x14ac:dyDescent="0.25">
      <c r="A2853" s="1">
        <v>45636</v>
      </c>
      <c r="B2853">
        <v>7.2579000000000002</v>
      </c>
      <c r="C2853" s="1">
        <v>45918</v>
      </c>
      <c r="D2853">
        <v>7.1124000000000001</v>
      </c>
      <c r="E2853" s="1">
        <v>45918</v>
      </c>
      <c r="F2853">
        <v>7.1124000000000001</v>
      </c>
    </row>
    <row r="2854" spans="1:6" x14ac:dyDescent="0.25">
      <c r="A2854" s="1">
        <v>45637</v>
      </c>
      <c r="B2854">
        <v>7.2790999999999997</v>
      </c>
      <c r="C2854" s="1">
        <v>45919</v>
      </c>
      <c r="D2854">
        <v>7.1181999999999999</v>
      </c>
      <c r="E2854" s="1">
        <v>45919</v>
      </c>
      <c r="F2854">
        <v>7.1181999999999999</v>
      </c>
    </row>
    <row r="2855" spans="1:6" x14ac:dyDescent="0.25">
      <c r="A2855" s="1">
        <v>45638</v>
      </c>
      <c r="B2855">
        <v>7.2759</v>
      </c>
      <c r="C2855" s="1">
        <v>45922</v>
      </c>
      <c r="D2855">
        <v>7.1144999999999996</v>
      </c>
      <c r="E2855" s="1">
        <v>45922</v>
      </c>
      <c r="F2855">
        <v>7.1144999999999996</v>
      </c>
    </row>
    <row r="2856" spans="1:6" x14ac:dyDescent="0.25">
      <c r="A2856" s="1">
        <v>45639</v>
      </c>
      <c r="B2856">
        <v>7.2811000000000003</v>
      </c>
      <c r="C2856" s="1">
        <v>45923</v>
      </c>
      <c r="D2856">
        <v>7.1132</v>
      </c>
      <c r="E2856" s="1">
        <v>45923</v>
      </c>
      <c r="F2856">
        <v>7.1132</v>
      </c>
    </row>
    <row r="2857" spans="1:6" x14ac:dyDescent="0.25">
      <c r="A2857" s="1">
        <v>45642</v>
      </c>
      <c r="B2857">
        <v>7.2923</v>
      </c>
      <c r="C2857" s="1">
        <v>45924</v>
      </c>
      <c r="D2857">
        <v>7.1318999999999999</v>
      </c>
      <c r="E2857" s="1">
        <v>45924</v>
      </c>
      <c r="F2857">
        <v>7.1318999999999999</v>
      </c>
    </row>
    <row r="2858" spans="1:6" x14ac:dyDescent="0.25">
      <c r="A2858" s="1">
        <v>45643</v>
      </c>
      <c r="B2858">
        <v>7.2881</v>
      </c>
      <c r="C2858" s="1">
        <v>45925</v>
      </c>
      <c r="D2858">
        <v>7.1338999999999997</v>
      </c>
      <c r="E2858" s="1">
        <v>45925</v>
      </c>
      <c r="F2858">
        <v>7.1338999999999997</v>
      </c>
    </row>
    <row r="2859" spans="1:6" x14ac:dyDescent="0.25">
      <c r="A2859" s="1">
        <v>45644</v>
      </c>
      <c r="B2859">
        <v>7.3249000000000004</v>
      </c>
      <c r="C2859" s="1">
        <v>45926</v>
      </c>
      <c r="D2859">
        <v>7.1345000000000001</v>
      </c>
      <c r="E2859" s="1">
        <v>45926</v>
      </c>
      <c r="F2859">
        <v>7.1345000000000001</v>
      </c>
    </row>
    <row r="2860" spans="1:6" x14ac:dyDescent="0.25">
      <c r="A2860" s="1">
        <v>45645</v>
      </c>
      <c r="B2860">
        <v>7.3090999999999999</v>
      </c>
      <c r="C2860" s="1">
        <v>45929</v>
      </c>
      <c r="D2860">
        <v>7.1223999999999998</v>
      </c>
      <c r="E2860" s="1">
        <v>45929</v>
      </c>
      <c r="F2860">
        <v>7.1223999999999998</v>
      </c>
    </row>
    <row r="2861" spans="1:6" x14ac:dyDescent="0.25">
      <c r="A2861" s="1">
        <v>45646</v>
      </c>
      <c r="B2861">
        <v>7.2923999999999998</v>
      </c>
      <c r="C2861" s="1">
        <v>45930</v>
      </c>
      <c r="D2861">
        <v>7.1223999999999998</v>
      </c>
      <c r="E2861" s="1">
        <v>45930</v>
      </c>
      <c r="F2861">
        <v>7.1223999999999998</v>
      </c>
    </row>
    <row r="2862" spans="1:6" x14ac:dyDescent="0.25">
      <c r="A2862" s="1">
        <v>45649</v>
      </c>
      <c r="B2862">
        <v>7.3071999999999999</v>
      </c>
      <c r="C2862" s="1">
        <v>45939</v>
      </c>
      <c r="D2862">
        <v>7.13</v>
      </c>
      <c r="E2862" s="1">
        <v>45939</v>
      </c>
      <c r="F2862">
        <v>7.13</v>
      </c>
    </row>
    <row r="2863" spans="1:6" x14ac:dyDescent="0.25">
      <c r="A2863" s="1">
        <v>45650</v>
      </c>
      <c r="B2863">
        <v>7.3068</v>
      </c>
      <c r="C2863" s="1">
        <v>45940</v>
      </c>
      <c r="D2863">
        <v>7.1353</v>
      </c>
      <c r="E2863" s="1">
        <v>45940</v>
      </c>
      <c r="F2863">
        <v>7.1353</v>
      </c>
    </row>
    <row r="2864" spans="1:6" x14ac:dyDescent="0.25">
      <c r="A2864" s="1">
        <v>45651</v>
      </c>
      <c r="B2864">
        <v>7.3026999999999997</v>
      </c>
      <c r="C2864" s="1">
        <v>45943</v>
      </c>
      <c r="D2864">
        <v>7.1308999999999996</v>
      </c>
      <c r="E2864" s="1">
        <v>45943</v>
      </c>
      <c r="F2864">
        <v>7.1308999999999996</v>
      </c>
    </row>
    <row r="2865" spans="1:6" x14ac:dyDescent="0.25">
      <c r="A2865" s="1">
        <v>45652</v>
      </c>
      <c r="B2865">
        <v>7.3029999999999999</v>
      </c>
      <c r="C2865" s="1">
        <v>45944</v>
      </c>
      <c r="D2865">
        <v>7.1372</v>
      </c>
      <c r="E2865" s="1">
        <v>45944</v>
      </c>
      <c r="F2865">
        <v>7.1372</v>
      </c>
    </row>
    <row r="2866" spans="1:6" x14ac:dyDescent="0.25">
      <c r="A2866" s="1">
        <v>45653</v>
      </c>
      <c r="B2866">
        <v>7.3000999999999996</v>
      </c>
      <c r="C2866" s="1">
        <v>45945</v>
      </c>
      <c r="D2866">
        <v>7.1269999999999998</v>
      </c>
      <c r="E2866" s="1">
        <v>45945</v>
      </c>
      <c r="F2866">
        <v>7.1269999999999998</v>
      </c>
    </row>
    <row r="2867" spans="1:6" x14ac:dyDescent="0.25">
      <c r="A2867" s="1">
        <v>45656</v>
      </c>
      <c r="B2867">
        <v>7.3151999999999999</v>
      </c>
      <c r="C2867" s="1">
        <v>45946</v>
      </c>
      <c r="D2867">
        <v>7.1246</v>
      </c>
      <c r="E2867" s="1">
        <v>45946</v>
      </c>
      <c r="F2867">
        <v>7.1246</v>
      </c>
    </row>
    <row r="2868" spans="1:6" x14ac:dyDescent="0.25">
      <c r="A2868" s="1">
        <v>45657</v>
      </c>
      <c r="B2868">
        <v>7.3379000000000003</v>
      </c>
      <c r="C2868" s="1">
        <v>45947</v>
      </c>
      <c r="D2868">
        <v>7.1269999999999998</v>
      </c>
      <c r="E2868" s="1">
        <v>45947</v>
      </c>
      <c r="F2868">
        <v>7.1269999999999998</v>
      </c>
    </row>
    <row r="2869" spans="1:6" x14ac:dyDescent="0.25">
      <c r="A2869" s="1">
        <v>45658</v>
      </c>
      <c r="B2869">
        <v>7.3361000000000001</v>
      </c>
      <c r="C2869" s="1">
        <v>45950</v>
      </c>
      <c r="D2869">
        <v>7.1215000000000002</v>
      </c>
      <c r="E2869" s="1">
        <v>45950</v>
      </c>
      <c r="F2869">
        <v>7.1215000000000002</v>
      </c>
    </row>
    <row r="2870" spans="1:6" x14ac:dyDescent="0.25">
      <c r="A2870" s="1">
        <v>45659</v>
      </c>
      <c r="B2870">
        <v>7.3403</v>
      </c>
      <c r="C2870" s="1">
        <v>45951</v>
      </c>
      <c r="D2870">
        <v>7.1246999999999998</v>
      </c>
      <c r="E2870" s="1">
        <v>45951</v>
      </c>
      <c r="F2870">
        <v>7.1246999999999998</v>
      </c>
    </row>
    <row r="2871" spans="1:6" x14ac:dyDescent="0.25">
      <c r="A2871" s="1">
        <v>45660</v>
      </c>
      <c r="B2871">
        <v>7.3582999999999998</v>
      </c>
      <c r="C2871" s="1">
        <v>45952</v>
      </c>
      <c r="D2871">
        <v>7.1250999999999998</v>
      </c>
      <c r="E2871" s="1">
        <v>45952</v>
      </c>
      <c r="F2871">
        <v>7.1250999999999998</v>
      </c>
    </row>
    <row r="2872" spans="1:6" x14ac:dyDescent="0.25">
      <c r="A2872" s="1">
        <v>45663</v>
      </c>
      <c r="B2872">
        <v>7.3460000000000001</v>
      </c>
      <c r="C2872" s="1">
        <v>45953</v>
      </c>
      <c r="D2872">
        <v>7.1233000000000004</v>
      </c>
      <c r="E2872" s="1">
        <v>45953</v>
      </c>
      <c r="F2872">
        <v>7.1233000000000004</v>
      </c>
    </row>
    <row r="2873" spans="1:6" x14ac:dyDescent="0.25">
      <c r="A2873" s="1">
        <v>45664</v>
      </c>
      <c r="B2873">
        <v>7.34</v>
      </c>
      <c r="C2873" s="1">
        <v>45954</v>
      </c>
      <c r="D2873">
        <v>7.1224999999999996</v>
      </c>
      <c r="E2873" s="1">
        <v>45954</v>
      </c>
      <c r="F2873">
        <v>7.1224999999999996</v>
      </c>
    </row>
    <row r="2874" spans="1:6" x14ac:dyDescent="0.25">
      <c r="A2874" s="1">
        <v>45665</v>
      </c>
      <c r="B2874">
        <v>7.3536999999999999</v>
      </c>
      <c r="C2874" s="1">
        <v>45957</v>
      </c>
      <c r="D2874">
        <v>7.1083999999999996</v>
      </c>
      <c r="E2874" s="1">
        <v>45957</v>
      </c>
      <c r="F2874">
        <v>7.1083999999999996</v>
      </c>
    </row>
    <row r="2875" spans="1:6" x14ac:dyDescent="0.25">
      <c r="A2875" s="1">
        <v>45666</v>
      </c>
      <c r="B2875">
        <v>7.3560999999999996</v>
      </c>
      <c r="C2875" s="1">
        <v>45958</v>
      </c>
      <c r="D2875">
        <v>7.0991999999999997</v>
      </c>
      <c r="E2875" s="1">
        <v>45958</v>
      </c>
      <c r="F2875">
        <v>7.0991999999999997</v>
      </c>
    </row>
    <row r="2876" spans="1:6" x14ac:dyDescent="0.25">
      <c r="A2876" s="1">
        <v>45667</v>
      </c>
      <c r="B2876">
        <v>7.3632999999999997</v>
      </c>
      <c r="C2876" s="1">
        <v>45959</v>
      </c>
      <c r="D2876">
        <v>7.0984999999999996</v>
      </c>
      <c r="E2876" s="1">
        <v>45959</v>
      </c>
      <c r="F2876">
        <v>7.0984999999999996</v>
      </c>
    </row>
    <row r="2877" spans="1:6" x14ac:dyDescent="0.25">
      <c r="A2877" s="1">
        <v>45670</v>
      </c>
      <c r="B2877">
        <v>7.3470000000000004</v>
      </c>
      <c r="C2877" s="1">
        <v>45960</v>
      </c>
      <c r="D2877">
        <v>7.1104000000000003</v>
      </c>
      <c r="E2877" s="1">
        <v>45960</v>
      </c>
      <c r="F2877">
        <v>7.1104000000000003</v>
      </c>
    </row>
    <row r="2878" spans="1:6" x14ac:dyDescent="0.25">
      <c r="A2878" s="1">
        <v>45671</v>
      </c>
      <c r="B2878">
        <v>7.3437000000000001</v>
      </c>
      <c r="C2878" s="1">
        <v>45961</v>
      </c>
      <c r="D2878">
        <v>7.1193999999999997</v>
      </c>
      <c r="E2878" s="1">
        <v>45961</v>
      </c>
      <c r="F2878">
        <v>7.1193999999999997</v>
      </c>
    </row>
    <row r="2879" spans="1:6" x14ac:dyDescent="0.25">
      <c r="A2879" s="1">
        <v>45672</v>
      </c>
      <c r="B2879">
        <v>7.3487</v>
      </c>
      <c r="C2879" s="1">
        <v>45964</v>
      </c>
      <c r="D2879">
        <v>7.1212999999999997</v>
      </c>
      <c r="E2879" s="1">
        <v>45964</v>
      </c>
      <c r="F2879">
        <v>7.1212999999999997</v>
      </c>
    </row>
    <row r="2880" spans="1:6" x14ac:dyDescent="0.25">
      <c r="A2880" s="1">
        <v>45673</v>
      </c>
      <c r="B2880">
        <v>7.3468999999999998</v>
      </c>
      <c r="C2880" s="1">
        <v>45965</v>
      </c>
      <c r="D2880">
        <v>7.1295000000000002</v>
      </c>
      <c r="E2880" s="1">
        <v>45965</v>
      </c>
      <c r="F2880">
        <v>7.1295000000000002</v>
      </c>
    </row>
    <row r="2881" spans="1:6" x14ac:dyDescent="0.25">
      <c r="A2881" s="1">
        <v>45674</v>
      </c>
      <c r="B2881">
        <v>7.3414999999999999</v>
      </c>
      <c r="C2881" s="1">
        <v>45966</v>
      </c>
      <c r="D2881">
        <v>7.1268000000000002</v>
      </c>
      <c r="E2881" s="1">
        <v>45966</v>
      </c>
      <c r="F2881">
        <v>7.1268000000000002</v>
      </c>
    </row>
    <row r="2882" spans="1:6" x14ac:dyDescent="0.25">
      <c r="A2882" s="1">
        <v>45677</v>
      </c>
      <c r="B2882">
        <v>7.2629000000000001</v>
      </c>
      <c r="C2882" s="1">
        <v>45967</v>
      </c>
      <c r="D2882">
        <v>7.1193</v>
      </c>
      <c r="E2882" s="1">
        <v>45967</v>
      </c>
      <c r="F2882">
        <v>7.1193</v>
      </c>
    </row>
    <row r="2883" spans="1:6" x14ac:dyDescent="0.25">
      <c r="A2883" s="1">
        <v>45678</v>
      </c>
      <c r="B2883">
        <v>7.2674000000000003</v>
      </c>
      <c r="C2883" s="1">
        <v>45968</v>
      </c>
      <c r="D2883">
        <v>7.1220999999999997</v>
      </c>
      <c r="E2883" s="1">
        <v>45968</v>
      </c>
      <c r="F2883">
        <v>7.1220999999999997</v>
      </c>
    </row>
    <row r="2884" spans="1:6" x14ac:dyDescent="0.25">
      <c r="A2884" s="1">
        <v>45679</v>
      </c>
      <c r="B2884">
        <v>7.2813999999999997</v>
      </c>
      <c r="C2884" s="1">
        <v>45971</v>
      </c>
      <c r="D2884">
        <v>7.1185999999999998</v>
      </c>
      <c r="E2884" s="1">
        <v>45971</v>
      </c>
      <c r="F2884">
        <v>7.1185999999999998</v>
      </c>
    </row>
    <row r="2885" spans="1:6" x14ac:dyDescent="0.25">
      <c r="A2885" s="1">
        <v>45680</v>
      </c>
      <c r="B2885">
        <v>7.2877000000000001</v>
      </c>
      <c r="C2885" s="1">
        <v>45972</v>
      </c>
      <c r="D2885">
        <v>7.1173000000000002</v>
      </c>
      <c r="E2885" s="1">
        <v>45972</v>
      </c>
      <c r="F2885">
        <v>7.1173000000000002</v>
      </c>
    </row>
    <row r="2886" spans="1:6" x14ac:dyDescent="0.25">
      <c r="A2886" s="1">
        <v>45681</v>
      </c>
      <c r="B2886">
        <v>7.2443</v>
      </c>
      <c r="C2886" s="1">
        <v>45973</v>
      </c>
      <c r="D2886">
        <v>7.1109999999999998</v>
      </c>
      <c r="E2886" s="1">
        <v>45973</v>
      </c>
      <c r="F2886">
        <v>7.1109999999999998</v>
      </c>
    </row>
    <row r="2887" spans="1:6" x14ac:dyDescent="0.25">
      <c r="A2887" s="1">
        <v>45684</v>
      </c>
      <c r="B2887">
        <v>7.2522000000000002</v>
      </c>
      <c r="C2887" s="1">
        <v>45974</v>
      </c>
      <c r="D2887">
        <v>7.0960999999999999</v>
      </c>
      <c r="E2887" s="1">
        <v>45974</v>
      </c>
      <c r="F2887">
        <v>7.0960999999999999</v>
      </c>
    </row>
    <row r="2888" spans="1:6" x14ac:dyDescent="0.25">
      <c r="A2888" s="1">
        <v>45685</v>
      </c>
      <c r="B2888">
        <v>7.2751999999999999</v>
      </c>
      <c r="C2888" s="1">
        <v>45975</v>
      </c>
      <c r="D2888">
        <v>7.0993000000000004</v>
      </c>
      <c r="E2888" s="1">
        <v>45975</v>
      </c>
      <c r="F2888">
        <v>7.0993000000000004</v>
      </c>
    </row>
    <row r="2889" spans="1:6" x14ac:dyDescent="0.25">
      <c r="A2889" s="1">
        <v>45686</v>
      </c>
      <c r="B2889">
        <v>7.266</v>
      </c>
      <c r="C2889" s="1">
        <v>45978</v>
      </c>
      <c r="D2889">
        <v>7.1077000000000004</v>
      </c>
      <c r="E2889" s="1">
        <v>45978</v>
      </c>
      <c r="F2889">
        <v>7.1077000000000004</v>
      </c>
    </row>
    <row r="2890" spans="1:6" x14ac:dyDescent="0.25">
      <c r="A2890" s="1">
        <v>45687</v>
      </c>
      <c r="B2890">
        <v>7.2934000000000001</v>
      </c>
      <c r="C2890" s="1">
        <v>45979</v>
      </c>
      <c r="D2890">
        <v>7.1093999999999999</v>
      </c>
      <c r="E2890" s="1">
        <v>45979</v>
      </c>
      <c r="F2890">
        <v>7.1093999999999999</v>
      </c>
    </row>
    <row r="2891" spans="1:6" x14ac:dyDescent="0.25">
      <c r="A2891" s="1">
        <v>45688</v>
      </c>
      <c r="B2891">
        <v>7.3220000000000001</v>
      </c>
      <c r="C2891" s="1">
        <v>45980</v>
      </c>
      <c r="D2891">
        <v>7.1139999999999999</v>
      </c>
      <c r="E2891" s="1">
        <v>45980</v>
      </c>
      <c r="F2891">
        <v>7.1139999999999999</v>
      </c>
    </row>
    <row r="2892" spans="1:6" x14ac:dyDescent="0.25">
      <c r="A2892" s="1">
        <v>45691</v>
      </c>
      <c r="B2892">
        <v>7.3113999999999999</v>
      </c>
      <c r="C2892" s="1">
        <v>45981</v>
      </c>
      <c r="D2892">
        <v>7.1165000000000003</v>
      </c>
      <c r="E2892" s="1">
        <v>45981</v>
      </c>
      <c r="F2892">
        <v>7.1165000000000003</v>
      </c>
    </row>
    <row r="2893" spans="1:6" x14ac:dyDescent="0.25">
      <c r="A2893" s="1">
        <v>45692</v>
      </c>
      <c r="B2893">
        <v>7.2869000000000002</v>
      </c>
      <c r="C2893" s="1">
        <v>45982</v>
      </c>
      <c r="D2893">
        <v>7.1052</v>
      </c>
      <c r="E2893" s="1">
        <v>45982</v>
      </c>
      <c r="F2893">
        <v>7.1052</v>
      </c>
    </row>
    <row r="2894" spans="1:6" x14ac:dyDescent="0.25">
      <c r="A2894" s="1">
        <v>45693</v>
      </c>
      <c r="B2894">
        <v>7.2824999999999998</v>
      </c>
      <c r="C2894" s="1">
        <v>45985</v>
      </c>
      <c r="D2894">
        <v>7.1031000000000004</v>
      </c>
      <c r="E2894" s="1">
        <v>45985</v>
      </c>
      <c r="F2894">
        <v>7.1031000000000004</v>
      </c>
    </row>
    <row r="2895" spans="1:6" x14ac:dyDescent="0.25">
      <c r="A2895" s="1">
        <v>45694</v>
      </c>
      <c r="B2895">
        <v>7.2884000000000002</v>
      </c>
      <c r="C2895" s="1">
        <v>45986</v>
      </c>
      <c r="D2895">
        <v>7.0846</v>
      </c>
      <c r="E2895" s="1">
        <v>45986</v>
      </c>
      <c r="F2895">
        <v>7.0846</v>
      </c>
    </row>
    <row r="2896" spans="1:6" x14ac:dyDescent="0.25">
      <c r="A2896" s="1">
        <v>45695</v>
      </c>
      <c r="B2896">
        <v>7.3033000000000001</v>
      </c>
      <c r="C2896" s="1">
        <v>45987</v>
      </c>
      <c r="D2896">
        <v>7.0761000000000003</v>
      </c>
      <c r="E2896" s="1">
        <v>45987</v>
      </c>
      <c r="F2896">
        <v>7.0761000000000003</v>
      </c>
    </row>
    <row r="2897" spans="1:6" x14ac:dyDescent="0.25">
      <c r="A2897" s="1">
        <v>45698</v>
      </c>
      <c r="B2897">
        <v>7.3109000000000002</v>
      </c>
      <c r="C2897" s="1">
        <v>45988</v>
      </c>
      <c r="D2897">
        <v>7.0795000000000003</v>
      </c>
      <c r="E2897" s="1">
        <v>45988</v>
      </c>
      <c r="F2897">
        <v>7.0795000000000003</v>
      </c>
    </row>
    <row r="2898" spans="1:6" x14ac:dyDescent="0.25">
      <c r="A2898" s="1">
        <v>45699</v>
      </c>
      <c r="B2898">
        <v>7.31</v>
      </c>
      <c r="C2898" s="1">
        <v>45989</v>
      </c>
      <c r="D2898">
        <v>7.0744999999999996</v>
      </c>
      <c r="E2898" s="1">
        <v>45989</v>
      </c>
      <c r="F2898">
        <v>7.0744999999999996</v>
      </c>
    </row>
    <row r="2899" spans="1:6" x14ac:dyDescent="0.25">
      <c r="A2899" s="1">
        <v>45700</v>
      </c>
      <c r="B2899">
        <v>7.3103999999999996</v>
      </c>
      <c r="C2899" s="1">
        <v>45992</v>
      </c>
      <c r="D2899">
        <v>7.0720000000000001</v>
      </c>
      <c r="E2899" s="1">
        <v>45992</v>
      </c>
      <c r="F2899">
        <v>7.0720000000000001</v>
      </c>
    </row>
    <row r="2900" spans="1:6" x14ac:dyDescent="0.25">
      <c r="A2900" s="1">
        <v>45701</v>
      </c>
      <c r="B2900">
        <v>7.2698999999999998</v>
      </c>
      <c r="C2900" s="1">
        <v>45993</v>
      </c>
      <c r="D2900">
        <v>7.0712000000000002</v>
      </c>
      <c r="E2900" s="1">
        <v>45993</v>
      </c>
      <c r="F2900">
        <v>7.0712000000000002</v>
      </c>
    </row>
    <row r="2901" spans="1:6" x14ac:dyDescent="0.25">
      <c r="A2901" s="1">
        <v>45702</v>
      </c>
      <c r="B2901">
        <v>7.2577999999999996</v>
      </c>
      <c r="C2901" s="1">
        <v>45994</v>
      </c>
      <c r="D2901">
        <v>7.0640000000000001</v>
      </c>
      <c r="E2901" s="1">
        <v>45994</v>
      </c>
      <c r="F2901">
        <v>7.0640000000000001</v>
      </c>
    </row>
    <row r="2902" spans="1:6" x14ac:dyDescent="0.25">
      <c r="A2902" s="1">
        <v>45705</v>
      </c>
      <c r="B2902">
        <v>7.2663000000000002</v>
      </c>
      <c r="C2902" s="1">
        <v>45995</v>
      </c>
      <c r="D2902">
        <v>7.0719000000000003</v>
      </c>
      <c r="E2902" s="1">
        <v>45995</v>
      </c>
      <c r="F2902">
        <v>7.0719000000000003</v>
      </c>
    </row>
    <row r="2903" spans="1:6" x14ac:dyDescent="0.25">
      <c r="A2903" s="1">
        <v>45706</v>
      </c>
      <c r="B2903">
        <v>7.2759</v>
      </c>
      <c r="C2903" s="1">
        <v>45996</v>
      </c>
      <c r="D2903">
        <v>7.0711000000000004</v>
      </c>
      <c r="E2903" s="1">
        <v>45996</v>
      </c>
      <c r="F2903">
        <v>7.0711000000000004</v>
      </c>
    </row>
    <row r="2904" spans="1:6" x14ac:dyDescent="0.25">
      <c r="A2904" s="1">
        <v>45707</v>
      </c>
      <c r="B2904">
        <v>7.2842000000000002</v>
      </c>
      <c r="C2904" s="1">
        <v>45999</v>
      </c>
      <c r="D2904">
        <v>7.0720000000000001</v>
      </c>
      <c r="E2904" s="1">
        <v>45999</v>
      </c>
      <c r="F2904">
        <v>7.0720000000000001</v>
      </c>
    </row>
    <row r="2905" spans="1:6" x14ac:dyDescent="0.25">
      <c r="A2905" s="1">
        <v>45708</v>
      </c>
      <c r="B2905">
        <v>7.2351999999999999</v>
      </c>
      <c r="C2905" s="1">
        <v>46000</v>
      </c>
      <c r="D2905">
        <v>7.0636000000000001</v>
      </c>
      <c r="E2905" s="1">
        <v>46000</v>
      </c>
      <c r="F2905">
        <v>7.0636000000000001</v>
      </c>
    </row>
    <row r="2906" spans="1:6" x14ac:dyDescent="0.25">
      <c r="A2906" s="1">
        <v>45709</v>
      </c>
      <c r="B2906">
        <v>7.2549999999999999</v>
      </c>
      <c r="C2906" s="1">
        <v>46001</v>
      </c>
      <c r="D2906">
        <v>7.0679999999999996</v>
      </c>
      <c r="E2906" s="1">
        <v>46001</v>
      </c>
      <c r="F2906">
        <v>7.0679999999999996</v>
      </c>
    </row>
    <row r="2907" spans="1:6" x14ac:dyDescent="0.25">
      <c r="A2907" s="1">
        <v>45712</v>
      </c>
      <c r="B2907">
        <v>7.2531999999999996</v>
      </c>
      <c r="C2907" s="1">
        <v>46002</v>
      </c>
      <c r="D2907">
        <v>7.0571000000000002</v>
      </c>
      <c r="E2907" s="1">
        <v>46002</v>
      </c>
      <c r="F2907">
        <v>7.0571000000000002</v>
      </c>
    </row>
    <row r="2908" spans="1:6" x14ac:dyDescent="0.25">
      <c r="A2908" s="1">
        <v>45713</v>
      </c>
      <c r="B2908">
        <v>7.2549000000000001</v>
      </c>
    </row>
    <row r="2909" spans="1:6" x14ac:dyDescent="0.25">
      <c r="A2909" s="1">
        <v>45714</v>
      </c>
      <c r="B2909">
        <v>7.2652999999999999</v>
      </c>
    </row>
    <row r="2910" spans="1:6" x14ac:dyDescent="0.25">
      <c r="A2910" s="1">
        <v>45715</v>
      </c>
      <c r="B2910">
        <v>7.3010000000000002</v>
      </c>
    </row>
    <row r="2911" spans="1:6" x14ac:dyDescent="0.25">
      <c r="A2911" s="1">
        <v>45716</v>
      </c>
      <c r="B2911">
        <v>7.2934000000000001</v>
      </c>
    </row>
    <row r="2912" spans="1:6" x14ac:dyDescent="0.25">
      <c r="A2912" s="1">
        <v>45719</v>
      </c>
      <c r="B2912">
        <v>7.3029000000000002</v>
      </c>
    </row>
    <row r="2913" spans="1:2" x14ac:dyDescent="0.25">
      <c r="A2913" s="1">
        <v>45720</v>
      </c>
      <c r="B2913">
        <v>7.2533000000000003</v>
      </c>
    </row>
    <row r="2914" spans="1:2" x14ac:dyDescent="0.25">
      <c r="A2914" s="1">
        <v>45721</v>
      </c>
      <c r="B2914">
        <v>7.2366000000000001</v>
      </c>
    </row>
    <row r="2915" spans="1:2" x14ac:dyDescent="0.25">
      <c r="A2915" s="1">
        <v>45722</v>
      </c>
      <c r="B2915">
        <v>7.2441000000000004</v>
      </c>
    </row>
    <row r="2916" spans="1:2" x14ac:dyDescent="0.25">
      <c r="A2916" s="1">
        <v>45723</v>
      </c>
      <c r="B2916">
        <v>7.2451999999999996</v>
      </c>
    </row>
    <row r="2917" spans="1:2" x14ac:dyDescent="0.25">
      <c r="A2917" s="1">
        <v>45726</v>
      </c>
      <c r="B2917">
        <v>7.2633999999999999</v>
      </c>
    </row>
    <row r="2918" spans="1:2" x14ac:dyDescent="0.25">
      <c r="A2918" s="1">
        <v>45727</v>
      </c>
      <c r="B2918">
        <v>7.2267999999999999</v>
      </c>
    </row>
    <row r="2919" spans="1:2" x14ac:dyDescent="0.25">
      <c r="A2919" s="1">
        <v>45728</v>
      </c>
      <c r="B2919">
        <v>7.2415000000000003</v>
      </c>
    </row>
    <row r="2920" spans="1:2" x14ac:dyDescent="0.25">
      <c r="A2920" s="1">
        <v>45729</v>
      </c>
      <c r="B2920">
        <v>7.2480000000000002</v>
      </c>
    </row>
    <row r="2921" spans="1:2" x14ac:dyDescent="0.25">
      <c r="A2921" s="1">
        <v>45730</v>
      </c>
      <c r="B2921">
        <v>7.2378999999999998</v>
      </c>
    </row>
    <row r="2922" spans="1:2" x14ac:dyDescent="0.25">
      <c r="A2922" s="1">
        <v>45733</v>
      </c>
      <c r="B2922">
        <v>7.2271000000000001</v>
      </c>
    </row>
    <row r="2923" spans="1:2" x14ac:dyDescent="0.25">
      <c r="A2923" s="1">
        <v>45734</v>
      </c>
      <c r="B2923">
        <v>7.2276999999999996</v>
      </c>
    </row>
    <row r="2924" spans="1:2" x14ac:dyDescent="0.25">
      <c r="A2924" s="1">
        <v>45735</v>
      </c>
      <c r="B2924">
        <v>7.2309000000000001</v>
      </c>
    </row>
    <row r="2925" spans="1:2" x14ac:dyDescent="0.25">
      <c r="A2925" s="1">
        <v>45736</v>
      </c>
      <c r="B2925">
        <v>7.2522000000000002</v>
      </c>
    </row>
    <row r="2926" spans="1:2" x14ac:dyDescent="0.25">
      <c r="A2926" s="1">
        <v>45737</v>
      </c>
      <c r="B2926">
        <v>7.2571000000000003</v>
      </c>
    </row>
    <row r="2927" spans="1:2" x14ac:dyDescent="0.25">
      <c r="A2927" s="1">
        <v>45740</v>
      </c>
      <c r="B2927">
        <v>7.2638999999999996</v>
      </c>
    </row>
    <row r="2928" spans="1:2" x14ac:dyDescent="0.25">
      <c r="A2928" s="1">
        <v>45741</v>
      </c>
      <c r="B2928">
        <v>7.2659000000000002</v>
      </c>
    </row>
    <row r="2929" spans="1:2" x14ac:dyDescent="0.25">
      <c r="A2929" s="1">
        <v>45742</v>
      </c>
      <c r="B2929">
        <v>7.2796000000000003</v>
      </c>
    </row>
    <row r="2930" spans="1:2" x14ac:dyDescent="0.25">
      <c r="A2930" s="1">
        <v>45743</v>
      </c>
      <c r="B2930">
        <v>7.2679999999999998</v>
      </c>
    </row>
    <row r="2931" spans="1:2" x14ac:dyDescent="0.25">
      <c r="A2931" s="1">
        <v>45744</v>
      </c>
      <c r="B2931">
        <v>7.2704000000000004</v>
      </c>
    </row>
    <row r="2932" spans="1:2" x14ac:dyDescent="0.25">
      <c r="A2932" s="1">
        <v>45747</v>
      </c>
      <c r="B2932">
        <v>7.2659000000000002</v>
      </c>
    </row>
    <row r="2933" spans="1:2" x14ac:dyDescent="0.25">
      <c r="A2933" s="1">
        <v>45748</v>
      </c>
      <c r="B2933">
        <v>7.2808000000000002</v>
      </c>
    </row>
    <row r="2934" spans="1:2" x14ac:dyDescent="0.25">
      <c r="A2934" s="1">
        <v>45749</v>
      </c>
      <c r="B2934">
        <v>7.2964000000000002</v>
      </c>
    </row>
    <row r="2935" spans="1:2" x14ac:dyDescent="0.25">
      <c r="A2935" s="1">
        <v>45750</v>
      </c>
      <c r="B2935">
        <v>7.2804000000000002</v>
      </c>
    </row>
    <row r="2936" spans="1:2" x14ac:dyDescent="0.25">
      <c r="A2936" s="1">
        <v>45751</v>
      </c>
      <c r="B2936">
        <v>7.2950999999999997</v>
      </c>
    </row>
    <row r="2937" spans="1:2" x14ac:dyDescent="0.25">
      <c r="A2937" s="1">
        <v>45754</v>
      </c>
      <c r="B2937">
        <v>7.3449999999999998</v>
      </c>
    </row>
    <row r="2938" spans="1:2" x14ac:dyDescent="0.25">
      <c r="A2938" s="1">
        <v>45755</v>
      </c>
      <c r="B2938">
        <v>7.4257</v>
      </c>
    </row>
    <row r="2939" spans="1:2" x14ac:dyDescent="0.25">
      <c r="A2939" s="1">
        <v>45756</v>
      </c>
      <c r="B2939">
        <v>7.3460000000000001</v>
      </c>
    </row>
    <row r="2940" spans="1:2" x14ac:dyDescent="0.25">
      <c r="A2940" s="1">
        <v>45757</v>
      </c>
      <c r="B2940">
        <v>7.3094000000000001</v>
      </c>
    </row>
    <row r="2941" spans="1:2" x14ac:dyDescent="0.25">
      <c r="A2941" s="1">
        <v>45758</v>
      </c>
      <c r="B2941">
        <v>7.2874999999999996</v>
      </c>
    </row>
    <row r="2942" spans="1:2" x14ac:dyDescent="0.25">
      <c r="A2942" s="1">
        <v>45761</v>
      </c>
      <c r="B2942">
        <v>7.3116000000000003</v>
      </c>
    </row>
    <row r="2943" spans="1:2" x14ac:dyDescent="0.25">
      <c r="A2943" s="1">
        <v>45762</v>
      </c>
      <c r="B2943">
        <v>7.3285999999999998</v>
      </c>
    </row>
    <row r="2944" spans="1:2" x14ac:dyDescent="0.25">
      <c r="A2944" s="1">
        <v>45763</v>
      </c>
      <c r="B2944">
        <v>7.2988999999999997</v>
      </c>
    </row>
    <row r="2945" spans="1:2" x14ac:dyDescent="0.25">
      <c r="A2945" s="1">
        <v>45764</v>
      </c>
      <c r="B2945">
        <v>7.3011999999999997</v>
      </c>
    </row>
    <row r="2946" spans="1:2" x14ac:dyDescent="0.25">
      <c r="A2946" s="1">
        <v>45765</v>
      </c>
      <c r="B2946">
        <v>7.3060999999999998</v>
      </c>
    </row>
    <row r="2947" spans="1:2" x14ac:dyDescent="0.25">
      <c r="A2947" s="1">
        <v>45768</v>
      </c>
      <c r="B2947">
        <v>7.2934000000000001</v>
      </c>
    </row>
    <row r="2948" spans="1:2" x14ac:dyDescent="0.25">
      <c r="A2948" s="1">
        <v>45769</v>
      </c>
      <c r="B2948">
        <v>7.3121999999999998</v>
      </c>
    </row>
    <row r="2949" spans="1:2" x14ac:dyDescent="0.25">
      <c r="A2949" s="1">
        <v>45770</v>
      </c>
      <c r="B2949">
        <v>7.2850000000000001</v>
      </c>
    </row>
    <row r="2950" spans="1:2" x14ac:dyDescent="0.25">
      <c r="A2950" s="1">
        <v>45771</v>
      </c>
      <c r="B2950">
        <v>7.29</v>
      </c>
    </row>
    <row r="2951" spans="1:2" x14ac:dyDescent="0.25">
      <c r="A2951" s="1">
        <v>45772</v>
      </c>
      <c r="B2951">
        <v>7.2885</v>
      </c>
    </row>
    <row r="2952" spans="1:2" x14ac:dyDescent="0.25">
      <c r="A2952" s="1">
        <v>45775</v>
      </c>
      <c r="B2952">
        <v>7.2846000000000002</v>
      </c>
    </row>
    <row r="2953" spans="1:2" x14ac:dyDescent="0.25">
      <c r="A2953" s="1">
        <v>45776</v>
      </c>
      <c r="B2953">
        <v>7.2679</v>
      </c>
    </row>
    <row r="2954" spans="1:2" x14ac:dyDescent="0.25">
      <c r="A2954" s="1">
        <v>45777</v>
      </c>
      <c r="B2954">
        <v>7.2698</v>
      </c>
    </row>
    <row r="2955" spans="1:2" x14ac:dyDescent="0.25">
      <c r="A2955" s="1">
        <v>45778</v>
      </c>
      <c r="B2955">
        <v>7.2789000000000001</v>
      </c>
    </row>
    <row r="2956" spans="1:2" x14ac:dyDescent="0.25">
      <c r="A2956" s="1">
        <v>45779</v>
      </c>
      <c r="B2956">
        <v>7.2130000000000001</v>
      </c>
    </row>
    <row r="2957" spans="1:2" x14ac:dyDescent="0.25">
      <c r="A2957" s="1">
        <v>45782</v>
      </c>
      <c r="B2957">
        <v>7.2011000000000003</v>
      </c>
    </row>
    <row r="2958" spans="1:2" x14ac:dyDescent="0.25">
      <c r="A2958" s="1">
        <v>45783</v>
      </c>
      <c r="B2958">
        <v>7.2098000000000004</v>
      </c>
    </row>
    <row r="2959" spans="1:2" x14ac:dyDescent="0.25">
      <c r="A2959" s="1">
        <v>45784</v>
      </c>
      <c r="B2959">
        <v>7.2282999999999999</v>
      </c>
    </row>
    <row r="2960" spans="1:2" x14ac:dyDescent="0.25">
      <c r="A2960" s="1">
        <v>45785</v>
      </c>
      <c r="B2960">
        <v>7.2428999999999997</v>
      </c>
    </row>
    <row r="2961" spans="1:2" x14ac:dyDescent="0.25">
      <c r="A2961" s="1">
        <v>45786</v>
      </c>
      <c r="B2961">
        <v>7.2403000000000004</v>
      </c>
    </row>
    <row r="2962" spans="1:2" x14ac:dyDescent="0.25">
      <c r="A2962" s="1">
        <v>45789</v>
      </c>
      <c r="B2962">
        <v>7.2005999999999997</v>
      </c>
    </row>
    <row r="2963" spans="1:2" x14ac:dyDescent="0.25">
      <c r="A2963" s="1">
        <v>45790</v>
      </c>
      <c r="B2963">
        <v>7.1990999999999996</v>
      </c>
    </row>
    <row r="2964" spans="1:2" x14ac:dyDescent="0.25">
      <c r="A2964" s="1">
        <v>45791</v>
      </c>
      <c r="B2964">
        <v>7.2111999999999998</v>
      </c>
    </row>
    <row r="2965" spans="1:2" x14ac:dyDescent="0.25">
      <c r="A2965" s="1">
        <v>45792</v>
      </c>
      <c r="B2965">
        <v>7.2049000000000003</v>
      </c>
    </row>
    <row r="2966" spans="1:2" x14ac:dyDescent="0.25">
      <c r="A2966" s="1">
        <v>45793</v>
      </c>
      <c r="B2966">
        <v>7.2104999999999997</v>
      </c>
    </row>
    <row r="2967" spans="1:2" x14ac:dyDescent="0.25">
      <c r="A2967" s="1">
        <v>45796</v>
      </c>
      <c r="B2967">
        <v>7.2146999999999997</v>
      </c>
    </row>
    <row r="2968" spans="1:2" x14ac:dyDescent="0.25">
      <c r="A2968" s="1">
        <v>45797</v>
      </c>
      <c r="B2968">
        <v>7.2152000000000003</v>
      </c>
    </row>
    <row r="2969" spans="1:2" x14ac:dyDescent="0.25">
      <c r="A2969" s="1">
        <v>45798</v>
      </c>
      <c r="B2969">
        <v>7.2041000000000004</v>
      </c>
    </row>
    <row r="2970" spans="1:2" x14ac:dyDescent="0.25">
      <c r="A2970" s="1">
        <v>45799</v>
      </c>
      <c r="B2970">
        <v>7.2043999999999997</v>
      </c>
    </row>
    <row r="2971" spans="1:2" x14ac:dyDescent="0.25">
      <c r="A2971" s="1">
        <v>45800</v>
      </c>
      <c r="B2971">
        <v>7.1726000000000001</v>
      </c>
    </row>
    <row r="2972" spans="1:2" x14ac:dyDescent="0.25">
      <c r="A2972" s="1">
        <v>45803</v>
      </c>
      <c r="B2972">
        <v>7.1768000000000001</v>
      </c>
    </row>
    <row r="2973" spans="1:2" x14ac:dyDescent="0.25">
      <c r="A2973" s="1">
        <v>45804</v>
      </c>
      <c r="B2973">
        <v>7.1896000000000004</v>
      </c>
    </row>
    <row r="2974" spans="1:2" x14ac:dyDescent="0.25">
      <c r="A2974" s="1">
        <v>45805</v>
      </c>
      <c r="B2974">
        <v>7.1924999999999999</v>
      </c>
    </row>
    <row r="2975" spans="1:2" x14ac:dyDescent="0.25">
      <c r="A2975" s="1">
        <v>45806</v>
      </c>
      <c r="B2975">
        <v>7.1875999999999998</v>
      </c>
    </row>
    <row r="2976" spans="1:2" x14ac:dyDescent="0.25">
      <c r="A2976" s="1">
        <v>45807</v>
      </c>
      <c r="B2976">
        <v>7.2050999999999998</v>
      </c>
    </row>
    <row r="2977" spans="1:2" x14ac:dyDescent="0.25">
      <c r="A2977" s="1">
        <v>45810</v>
      </c>
      <c r="B2977">
        <v>7.2106000000000003</v>
      </c>
    </row>
    <row r="2978" spans="1:2" x14ac:dyDescent="0.25">
      <c r="A2978" s="1">
        <v>45811</v>
      </c>
      <c r="B2978">
        <v>7.1917</v>
      </c>
    </row>
    <row r="2979" spans="1:2" x14ac:dyDescent="0.25">
      <c r="A2979" s="1">
        <v>45812</v>
      </c>
      <c r="B2979">
        <v>7.1712999999999996</v>
      </c>
    </row>
    <row r="2980" spans="1:2" x14ac:dyDescent="0.25">
      <c r="A2980" s="1">
        <v>45813</v>
      </c>
      <c r="B2980">
        <v>7.1760999999999999</v>
      </c>
    </row>
    <row r="2981" spans="1:2" x14ac:dyDescent="0.25">
      <c r="A2981" s="1">
        <v>45814</v>
      </c>
      <c r="B2981">
        <v>7.1886000000000001</v>
      </c>
    </row>
    <row r="2982" spans="1:2" x14ac:dyDescent="0.25">
      <c r="A2982" s="1">
        <v>45817</v>
      </c>
      <c r="B2982">
        <v>7.1825999999999999</v>
      </c>
    </row>
    <row r="2983" spans="1:2" x14ac:dyDescent="0.25">
      <c r="A2983" s="1">
        <v>45818</v>
      </c>
      <c r="B2983">
        <v>7.1886999999999999</v>
      </c>
    </row>
    <row r="2984" spans="1:2" x14ac:dyDescent="0.25">
      <c r="A2984" s="1">
        <v>45819</v>
      </c>
      <c r="B2984">
        <v>7.1985999999999999</v>
      </c>
    </row>
    <row r="2985" spans="1:2" x14ac:dyDescent="0.25">
      <c r="A2985" s="1">
        <v>45820</v>
      </c>
      <c r="B2985">
        <v>7.1734999999999998</v>
      </c>
    </row>
    <row r="2986" spans="1:2" x14ac:dyDescent="0.25">
      <c r="A2986" s="1">
        <v>45821</v>
      </c>
      <c r="B2986">
        <v>7.1891999999999996</v>
      </c>
    </row>
    <row r="2987" spans="1:2" x14ac:dyDescent="0.25">
      <c r="A2987" s="1">
        <v>45824</v>
      </c>
      <c r="B2987">
        <v>7.1820000000000004</v>
      </c>
    </row>
    <row r="2988" spans="1:2" x14ac:dyDescent="0.25">
      <c r="A2988" s="1">
        <v>45825</v>
      </c>
      <c r="B2988">
        <v>7.1917</v>
      </c>
    </row>
    <row r="2989" spans="1:2" x14ac:dyDescent="0.25">
      <c r="A2989" s="1">
        <v>45826</v>
      </c>
      <c r="B2989">
        <v>7.1946000000000003</v>
      </c>
    </row>
    <row r="2990" spans="1:2" x14ac:dyDescent="0.25">
      <c r="A2990" s="1">
        <v>45827</v>
      </c>
      <c r="B2990">
        <v>7.1859999999999999</v>
      </c>
    </row>
    <row r="2991" spans="1:2" x14ac:dyDescent="0.25">
      <c r="A2991" s="1">
        <v>45828</v>
      </c>
      <c r="B2991">
        <v>7.1791</v>
      </c>
    </row>
    <row r="2992" spans="1:2" x14ac:dyDescent="0.25">
      <c r="A2992" s="1">
        <v>45831</v>
      </c>
      <c r="B2992">
        <v>7.1750999999999996</v>
      </c>
    </row>
    <row r="2993" spans="1:2" x14ac:dyDescent="0.25">
      <c r="A2993" s="1">
        <v>45832</v>
      </c>
      <c r="B2993">
        <v>7.1656000000000004</v>
      </c>
    </row>
    <row r="2994" spans="1:2" x14ac:dyDescent="0.25">
      <c r="A2994" s="1">
        <v>45833</v>
      </c>
      <c r="B2994">
        <v>7.1730999999999998</v>
      </c>
    </row>
    <row r="2995" spans="1:2" x14ac:dyDescent="0.25">
      <c r="A2995" s="1">
        <v>45834</v>
      </c>
      <c r="B2995">
        <v>7.1639999999999997</v>
      </c>
    </row>
    <row r="2996" spans="1:2" x14ac:dyDescent="0.25">
      <c r="A2996" s="1">
        <v>45835</v>
      </c>
      <c r="B2996">
        <v>7.1726000000000001</v>
      </c>
    </row>
    <row r="2997" spans="1:2" x14ac:dyDescent="0.25">
      <c r="A2997" s="1">
        <v>45838</v>
      </c>
      <c r="B2997">
        <v>7.1574</v>
      </c>
    </row>
    <row r="2998" spans="1:2" x14ac:dyDescent="0.25">
      <c r="A2998" s="1">
        <v>45839</v>
      </c>
      <c r="B2998">
        <v>7.1608999999999998</v>
      </c>
    </row>
    <row r="2999" spans="1:2" x14ac:dyDescent="0.25">
      <c r="A2999" s="1">
        <v>45840</v>
      </c>
      <c r="B2999">
        <v>7.1612</v>
      </c>
    </row>
    <row r="3000" spans="1:2" x14ac:dyDescent="0.25">
      <c r="A3000" s="1">
        <v>45841</v>
      </c>
      <c r="B3000">
        <v>7.1703000000000001</v>
      </c>
    </row>
    <row r="3001" spans="1:2" x14ac:dyDescent="0.25">
      <c r="A3001" s="1">
        <v>45842</v>
      </c>
      <c r="B3001">
        <v>7.1632999999999996</v>
      </c>
    </row>
    <row r="3002" spans="1:2" x14ac:dyDescent="0.25">
      <c r="A3002" s="1">
        <v>45845</v>
      </c>
      <c r="B3002">
        <v>7.1795</v>
      </c>
    </row>
    <row r="3003" spans="1:2" x14ac:dyDescent="0.25">
      <c r="A3003" s="1">
        <v>45846</v>
      </c>
      <c r="B3003">
        <v>7.1818</v>
      </c>
    </row>
    <row r="3004" spans="1:2" x14ac:dyDescent="0.25">
      <c r="A3004" s="1">
        <v>45847</v>
      </c>
      <c r="B3004">
        <v>7.1828000000000003</v>
      </c>
    </row>
    <row r="3005" spans="1:2" x14ac:dyDescent="0.25">
      <c r="A3005" s="1">
        <v>45848</v>
      </c>
      <c r="B3005">
        <v>7.1788999999999996</v>
      </c>
    </row>
    <row r="3006" spans="1:2" x14ac:dyDescent="0.25">
      <c r="A3006" s="1">
        <v>45849</v>
      </c>
      <c r="B3006">
        <v>7.1717000000000004</v>
      </c>
    </row>
    <row r="3007" spans="1:2" x14ac:dyDescent="0.25">
      <c r="A3007" s="1">
        <v>45852</v>
      </c>
      <c r="B3007">
        <v>7.1722999999999999</v>
      </c>
    </row>
    <row r="3008" spans="1:2" x14ac:dyDescent="0.25">
      <c r="A3008" s="1">
        <v>45853</v>
      </c>
      <c r="B3008">
        <v>7.1844999999999999</v>
      </c>
    </row>
    <row r="3009" spans="1:2" x14ac:dyDescent="0.25">
      <c r="A3009" s="1">
        <v>45854</v>
      </c>
      <c r="B3009">
        <v>7.1798999999999999</v>
      </c>
    </row>
    <row r="3010" spans="1:2" x14ac:dyDescent="0.25">
      <c r="A3010" s="1">
        <v>45855</v>
      </c>
      <c r="B3010">
        <v>7.1844000000000001</v>
      </c>
    </row>
    <row r="3011" spans="1:2" x14ac:dyDescent="0.25">
      <c r="A3011" s="1">
        <v>45856</v>
      </c>
      <c r="B3011">
        <v>7.1813000000000002</v>
      </c>
    </row>
    <row r="3012" spans="1:2" x14ac:dyDescent="0.25">
      <c r="A3012" s="1">
        <v>45859</v>
      </c>
      <c r="B3012">
        <v>7.1710000000000003</v>
      </c>
    </row>
    <row r="3013" spans="1:2" x14ac:dyDescent="0.25">
      <c r="A3013" s="1">
        <v>45860</v>
      </c>
      <c r="B3013">
        <v>7.1711999999999998</v>
      </c>
    </row>
    <row r="3014" spans="1:2" x14ac:dyDescent="0.25">
      <c r="A3014" s="1">
        <v>45861</v>
      </c>
      <c r="B3014">
        <v>7.1517999999999997</v>
      </c>
    </row>
    <row r="3015" spans="1:2" x14ac:dyDescent="0.25">
      <c r="A3015" s="1">
        <v>45862</v>
      </c>
      <c r="B3015">
        <v>7.1532</v>
      </c>
    </row>
    <row r="3016" spans="1:2" x14ac:dyDescent="0.25">
      <c r="A3016" s="1">
        <v>45863</v>
      </c>
      <c r="B3016">
        <v>7.1679000000000004</v>
      </c>
    </row>
    <row r="3017" spans="1:2" x14ac:dyDescent="0.25">
      <c r="A3017" s="1">
        <v>45866</v>
      </c>
      <c r="B3017">
        <v>7.1818999999999997</v>
      </c>
    </row>
    <row r="3018" spans="1:2" x14ac:dyDescent="0.25">
      <c r="A3018" s="1">
        <v>45867</v>
      </c>
      <c r="B3018">
        <v>7.1807999999999996</v>
      </c>
    </row>
    <row r="3019" spans="1:2" x14ac:dyDescent="0.25">
      <c r="A3019" s="1">
        <v>45868</v>
      </c>
      <c r="B3019">
        <v>7.2112999999999996</v>
      </c>
    </row>
    <row r="3020" spans="1:2" x14ac:dyDescent="0.25">
      <c r="A3020" s="1">
        <v>45869</v>
      </c>
      <c r="B3020">
        <v>7.2091000000000003</v>
      </c>
    </row>
    <row r="3021" spans="1:2" x14ac:dyDescent="0.25">
      <c r="A3021" s="1">
        <v>45870</v>
      </c>
      <c r="B3021">
        <v>7.1938000000000004</v>
      </c>
    </row>
    <row r="3022" spans="1:2" x14ac:dyDescent="0.25">
      <c r="A3022" s="1">
        <v>45873</v>
      </c>
      <c r="B3022">
        <v>7.1840999999999999</v>
      </c>
    </row>
    <row r="3023" spans="1:2" x14ac:dyDescent="0.25">
      <c r="A3023" s="1">
        <v>45874</v>
      </c>
      <c r="B3023">
        <v>7.1890000000000001</v>
      </c>
    </row>
    <row r="3024" spans="1:2" x14ac:dyDescent="0.25">
      <c r="A3024" s="1">
        <v>45875</v>
      </c>
      <c r="B3024">
        <v>7.1852999999999998</v>
      </c>
    </row>
    <row r="3025" spans="1:2" x14ac:dyDescent="0.25">
      <c r="A3025" s="1">
        <v>45876</v>
      </c>
      <c r="B3025">
        <v>7.181</v>
      </c>
    </row>
    <row r="3026" spans="1:2" x14ac:dyDescent="0.25">
      <c r="A3026" s="1">
        <v>45877</v>
      </c>
      <c r="B3026">
        <v>7.1893000000000002</v>
      </c>
    </row>
    <row r="3027" spans="1:2" x14ac:dyDescent="0.25">
      <c r="A3027" s="1">
        <v>45880</v>
      </c>
      <c r="B3027">
        <v>7.1965000000000003</v>
      </c>
    </row>
    <row r="3028" spans="1:2" x14ac:dyDescent="0.25">
      <c r="A3028" s="1">
        <v>45881</v>
      </c>
      <c r="B3028">
        <v>7.1848999999999998</v>
      </c>
    </row>
    <row r="3029" spans="1:2" x14ac:dyDescent="0.25">
      <c r="A3029" s="1">
        <v>45882</v>
      </c>
      <c r="B3029">
        <v>7.1817000000000002</v>
      </c>
    </row>
    <row r="3030" spans="1:2" x14ac:dyDescent="0.25">
      <c r="A3030" s="1">
        <v>45883</v>
      </c>
      <c r="B3030">
        <v>7.1821000000000002</v>
      </c>
    </row>
    <row r="3031" spans="1:2" x14ac:dyDescent="0.25">
      <c r="A3031" s="1">
        <v>45884</v>
      </c>
      <c r="B3031">
        <v>7.1886000000000001</v>
      </c>
    </row>
    <row r="3032" spans="1:2" x14ac:dyDescent="0.25">
      <c r="A3032" s="1">
        <v>45887</v>
      </c>
      <c r="B3032">
        <v>7.1875</v>
      </c>
    </row>
    <row r="3033" spans="1:2" x14ac:dyDescent="0.25">
      <c r="A3033" s="1">
        <v>45888</v>
      </c>
      <c r="B3033">
        <v>7.1871</v>
      </c>
    </row>
    <row r="3034" spans="1:2" x14ac:dyDescent="0.25">
      <c r="A3034" s="1">
        <v>45889</v>
      </c>
      <c r="B3034">
        <v>7.1820000000000004</v>
      </c>
    </row>
    <row r="3035" spans="1:2" x14ac:dyDescent="0.25">
      <c r="A3035" s="1">
        <v>45890</v>
      </c>
      <c r="B3035">
        <v>7.1828000000000003</v>
      </c>
    </row>
    <row r="3036" spans="1:2" x14ac:dyDescent="0.25">
      <c r="A3036" s="1">
        <v>45891</v>
      </c>
      <c r="B3036">
        <v>7.1718999999999999</v>
      </c>
    </row>
    <row r="3037" spans="1:2" x14ac:dyDescent="0.25">
      <c r="A3037" s="1">
        <v>45894</v>
      </c>
      <c r="B3037">
        <v>7.1584000000000003</v>
      </c>
    </row>
    <row r="3038" spans="1:2" x14ac:dyDescent="0.25">
      <c r="A3038" s="1">
        <v>45895</v>
      </c>
      <c r="B3038">
        <v>7.1532999999999998</v>
      </c>
    </row>
    <row r="3039" spans="1:2" x14ac:dyDescent="0.25">
      <c r="A3039" s="1">
        <v>45896</v>
      </c>
      <c r="B3039">
        <v>7.1539000000000001</v>
      </c>
    </row>
    <row r="3040" spans="1:2" x14ac:dyDescent="0.25">
      <c r="A3040" s="1">
        <v>45897</v>
      </c>
      <c r="B3040">
        <v>7.1201999999999996</v>
      </c>
    </row>
    <row r="3041" spans="1:2" x14ac:dyDescent="0.25">
      <c r="A3041" s="1">
        <v>45898</v>
      </c>
      <c r="B3041">
        <v>7.1223000000000001</v>
      </c>
    </row>
    <row r="3042" spans="1:2" x14ac:dyDescent="0.25">
      <c r="A3042" s="1">
        <v>45901</v>
      </c>
      <c r="B3042">
        <v>7.1336000000000004</v>
      </c>
    </row>
    <row r="3043" spans="1:2" x14ac:dyDescent="0.25">
      <c r="A3043" s="1">
        <v>45902</v>
      </c>
      <c r="B3043">
        <v>7.1384999999999996</v>
      </c>
    </row>
    <row r="3044" spans="1:2" x14ac:dyDescent="0.25">
      <c r="A3044" s="1">
        <v>45903</v>
      </c>
      <c r="B3044">
        <v>7.1391</v>
      </c>
    </row>
    <row r="3045" spans="1:2" x14ac:dyDescent="0.25">
      <c r="A3045" s="1">
        <v>45904</v>
      </c>
      <c r="B3045">
        <v>7.1390000000000002</v>
      </c>
    </row>
    <row r="3046" spans="1:2" x14ac:dyDescent="0.25">
      <c r="A3046" s="1">
        <v>45905</v>
      </c>
      <c r="B3046">
        <v>7.1261999999999999</v>
      </c>
    </row>
    <row r="3047" spans="1:2" x14ac:dyDescent="0.25">
      <c r="A3047" s="1">
        <v>45908</v>
      </c>
      <c r="B3047">
        <v>7.1218000000000004</v>
      </c>
    </row>
    <row r="3048" spans="1:2" x14ac:dyDescent="0.25">
      <c r="A3048" s="1">
        <v>45909</v>
      </c>
      <c r="B3048">
        <v>7.1239999999999997</v>
      </c>
    </row>
    <row r="3049" spans="1:2" x14ac:dyDescent="0.25">
      <c r="A3049" s="1">
        <v>45910</v>
      </c>
      <c r="B3049">
        <v>7.1195000000000004</v>
      </c>
    </row>
    <row r="3050" spans="1:2" x14ac:dyDescent="0.25">
      <c r="A3050" s="1">
        <v>45911</v>
      </c>
      <c r="B3050">
        <v>7.1128999999999998</v>
      </c>
    </row>
    <row r="3051" spans="1:2" x14ac:dyDescent="0.25">
      <c r="A3051" s="1">
        <v>45912</v>
      </c>
      <c r="B3051">
        <v>7.1246</v>
      </c>
    </row>
    <row r="3052" spans="1:2" x14ac:dyDescent="0.25">
      <c r="A3052" s="1">
        <v>45915</v>
      </c>
      <c r="B3052">
        <v>7.1185999999999998</v>
      </c>
    </row>
    <row r="3053" spans="1:2" x14ac:dyDescent="0.25">
      <c r="A3053" s="1">
        <v>45916</v>
      </c>
      <c r="B3053">
        <v>7.1045999999999996</v>
      </c>
    </row>
    <row r="3054" spans="1:2" x14ac:dyDescent="0.25">
      <c r="A3054" s="1">
        <v>45917</v>
      </c>
      <c r="B3054">
        <v>7.1017999999999999</v>
      </c>
    </row>
    <row r="3055" spans="1:2" x14ac:dyDescent="0.25">
      <c r="A3055" s="1">
        <v>45918</v>
      </c>
      <c r="B3055">
        <v>7.1093999999999999</v>
      </c>
    </row>
    <row r="3056" spans="1:2" x14ac:dyDescent="0.25">
      <c r="A3056" s="1">
        <v>45919</v>
      </c>
      <c r="B3056">
        <v>7.1193999999999997</v>
      </c>
    </row>
    <row r="3057" spans="1:2" x14ac:dyDescent="0.25">
      <c r="A3057" s="1">
        <v>45922</v>
      </c>
      <c r="B3057">
        <v>7.1154000000000002</v>
      </c>
    </row>
    <row r="3058" spans="1:2" x14ac:dyDescent="0.25">
      <c r="A3058" s="1">
        <v>45923</v>
      </c>
      <c r="B3058">
        <v>7.1130000000000004</v>
      </c>
    </row>
    <row r="3059" spans="1:2" x14ac:dyDescent="0.25">
      <c r="A3059" s="1">
        <v>45924</v>
      </c>
      <c r="B3059">
        <v>7.1374000000000004</v>
      </c>
    </row>
    <row r="3060" spans="1:2" x14ac:dyDescent="0.25">
      <c r="A3060" s="1">
        <v>45925</v>
      </c>
      <c r="B3060">
        <v>7.1451000000000002</v>
      </c>
    </row>
    <row r="3061" spans="1:2" x14ac:dyDescent="0.25">
      <c r="A3061" s="1">
        <v>45926</v>
      </c>
      <c r="B3061">
        <v>7.1435000000000004</v>
      </c>
    </row>
    <row r="3062" spans="1:2" x14ac:dyDescent="0.25">
      <c r="A3062" s="1">
        <v>45929</v>
      </c>
      <c r="B3062">
        <v>7.1292999999999997</v>
      </c>
    </row>
    <row r="3063" spans="1:2" x14ac:dyDescent="0.25">
      <c r="A3063" s="1">
        <v>45930</v>
      </c>
      <c r="B3063">
        <v>7.1284000000000001</v>
      </c>
    </row>
    <row r="3064" spans="1:2" x14ac:dyDescent="0.25">
      <c r="A3064" s="1">
        <v>45931</v>
      </c>
      <c r="B3064">
        <v>7.1279000000000003</v>
      </c>
    </row>
    <row r="3065" spans="1:2" x14ac:dyDescent="0.25">
      <c r="A3065" s="1">
        <v>45932</v>
      </c>
      <c r="B3065">
        <v>7.1326999999999998</v>
      </c>
    </row>
    <row r="3066" spans="1:2" x14ac:dyDescent="0.25">
      <c r="A3066" s="1">
        <v>45933</v>
      </c>
      <c r="B3066">
        <v>7.1364000000000001</v>
      </c>
    </row>
    <row r="3067" spans="1:2" x14ac:dyDescent="0.25">
      <c r="A3067" s="1">
        <v>45936</v>
      </c>
      <c r="B3067">
        <v>7.1440999999999999</v>
      </c>
    </row>
    <row r="3068" spans="1:2" x14ac:dyDescent="0.25">
      <c r="A3068" s="1">
        <v>45937</v>
      </c>
      <c r="B3068">
        <v>7.1459000000000001</v>
      </c>
    </row>
    <row r="3069" spans="1:2" x14ac:dyDescent="0.25">
      <c r="A3069" s="1">
        <v>45938</v>
      </c>
      <c r="B3069">
        <v>7.1501000000000001</v>
      </c>
    </row>
    <row r="3070" spans="1:2" x14ac:dyDescent="0.25">
      <c r="A3070" s="1">
        <v>45939</v>
      </c>
      <c r="B3070">
        <v>7.1380999999999997</v>
      </c>
    </row>
    <row r="3071" spans="1:2" x14ac:dyDescent="0.25">
      <c r="A3071" s="1">
        <v>45940</v>
      </c>
      <c r="B3071">
        <v>7.1452999999999998</v>
      </c>
    </row>
    <row r="3072" spans="1:2" x14ac:dyDescent="0.25">
      <c r="A3072" s="1">
        <v>45943</v>
      </c>
      <c r="B3072">
        <v>7.1383000000000001</v>
      </c>
    </row>
    <row r="3073" spans="1:2" x14ac:dyDescent="0.25">
      <c r="A3073" s="1">
        <v>45944</v>
      </c>
      <c r="B3073">
        <v>7.1402000000000001</v>
      </c>
    </row>
    <row r="3074" spans="1:2" x14ac:dyDescent="0.25">
      <c r="A3074" s="1">
        <v>45945</v>
      </c>
      <c r="B3074">
        <v>7.1298000000000004</v>
      </c>
    </row>
    <row r="3075" spans="1:2" x14ac:dyDescent="0.25">
      <c r="A3075" s="1">
        <v>45946</v>
      </c>
      <c r="B3075">
        <v>7.1249000000000002</v>
      </c>
    </row>
    <row r="3076" spans="1:2" x14ac:dyDescent="0.25">
      <c r="A3076" s="1">
        <v>45947</v>
      </c>
      <c r="B3076">
        <v>7.1268000000000002</v>
      </c>
    </row>
    <row r="3077" spans="1:2" x14ac:dyDescent="0.25">
      <c r="A3077" s="1">
        <v>45950</v>
      </c>
      <c r="B3077">
        <v>7.1241000000000003</v>
      </c>
    </row>
    <row r="3078" spans="1:2" x14ac:dyDescent="0.25">
      <c r="A3078" s="1">
        <v>45951</v>
      </c>
      <c r="B3078">
        <v>7.1268000000000002</v>
      </c>
    </row>
    <row r="3079" spans="1:2" x14ac:dyDescent="0.25">
      <c r="A3079" s="1">
        <v>45952</v>
      </c>
      <c r="B3079">
        <v>7.1256000000000004</v>
      </c>
    </row>
    <row r="3080" spans="1:2" x14ac:dyDescent="0.25">
      <c r="A3080" s="1">
        <v>45953</v>
      </c>
      <c r="B3080">
        <v>7.1256000000000004</v>
      </c>
    </row>
    <row r="3081" spans="1:2" x14ac:dyDescent="0.25">
      <c r="A3081" s="1">
        <v>45954</v>
      </c>
      <c r="B3081">
        <v>7.1261000000000001</v>
      </c>
    </row>
    <row r="3082" spans="1:2" x14ac:dyDescent="0.25">
      <c r="A3082" s="1">
        <v>45957</v>
      </c>
      <c r="B3082">
        <v>7.1093000000000002</v>
      </c>
    </row>
    <row r="3083" spans="1:2" x14ac:dyDescent="0.25">
      <c r="A3083" s="1">
        <v>45958</v>
      </c>
      <c r="B3083">
        <v>7.0960000000000001</v>
      </c>
    </row>
    <row r="3084" spans="1:2" x14ac:dyDescent="0.25">
      <c r="A3084" s="1">
        <v>45959</v>
      </c>
      <c r="B3084">
        <v>7.0974000000000004</v>
      </c>
    </row>
    <row r="3085" spans="1:2" x14ac:dyDescent="0.25">
      <c r="A3085" s="1">
        <v>45960</v>
      </c>
      <c r="B3085">
        <v>7.1106999999999996</v>
      </c>
    </row>
    <row r="3086" spans="1:2" x14ac:dyDescent="0.25">
      <c r="A3086" s="1">
        <v>45961</v>
      </c>
      <c r="B3086">
        <v>7.1224999999999996</v>
      </c>
    </row>
    <row r="3087" spans="1:2" x14ac:dyDescent="0.25">
      <c r="A3087" s="1">
        <v>45964</v>
      </c>
      <c r="B3087">
        <v>7.1265999999999998</v>
      </c>
    </row>
    <row r="3088" spans="1:2" x14ac:dyDescent="0.25">
      <c r="A3088" s="1">
        <v>45965</v>
      </c>
      <c r="B3088">
        <v>7.1349</v>
      </c>
    </row>
    <row r="3089" spans="1:2" x14ac:dyDescent="0.25">
      <c r="A3089" s="1">
        <v>45966</v>
      </c>
      <c r="B3089">
        <v>7.1313000000000004</v>
      </c>
    </row>
    <row r="3090" spans="1:2" x14ac:dyDescent="0.25">
      <c r="A3090" s="1">
        <v>45967</v>
      </c>
      <c r="B3090">
        <v>7.1212999999999997</v>
      </c>
    </row>
    <row r="3091" spans="1:2" x14ac:dyDescent="0.25">
      <c r="A3091" s="1">
        <v>45968</v>
      </c>
      <c r="B3091">
        <v>7.1261999999999999</v>
      </c>
    </row>
    <row r="3092" spans="1:2" x14ac:dyDescent="0.25">
      <c r="A3092" s="1">
        <v>45971</v>
      </c>
      <c r="B3092">
        <v>7.1227999999999998</v>
      </c>
    </row>
    <row r="3093" spans="1:2" x14ac:dyDescent="0.25">
      <c r="A3093" s="1">
        <v>45972</v>
      </c>
      <c r="B3093">
        <v>7.1222000000000003</v>
      </c>
    </row>
    <row r="3094" spans="1:2" x14ac:dyDescent="0.25">
      <c r="A3094" s="1">
        <v>45973</v>
      </c>
      <c r="B3094">
        <v>7.1127000000000002</v>
      </c>
    </row>
    <row r="3095" spans="1:2" x14ac:dyDescent="0.25">
      <c r="A3095" s="1">
        <v>45974</v>
      </c>
      <c r="B3095">
        <v>7.0956000000000001</v>
      </c>
    </row>
    <row r="3096" spans="1:2" x14ac:dyDescent="0.25">
      <c r="A3096" s="1">
        <v>45975</v>
      </c>
      <c r="B3096">
        <v>7.0991</v>
      </c>
    </row>
    <row r="3097" spans="1:2" x14ac:dyDescent="0.25">
      <c r="A3097" s="1">
        <v>45978</v>
      </c>
      <c r="B3097">
        <v>7.1082999999999998</v>
      </c>
    </row>
    <row r="3098" spans="1:2" x14ac:dyDescent="0.25">
      <c r="A3098" s="1">
        <v>45979</v>
      </c>
      <c r="B3098">
        <v>7.1108000000000002</v>
      </c>
    </row>
    <row r="3099" spans="1:2" x14ac:dyDescent="0.25">
      <c r="A3099" s="1">
        <v>45980</v>
      </c>
      <c r="B3099">
        <v>7.1176000000000004</v>
      </c>
    </row>
    <row r="3100" spans="1:2" x14ac:dyDescent="0.25">
      <c r="A3100" s="1">
        <v>45981</v>
      </c>
      <c r="B3100">
        <v>7.1174999999999997</v>
      </c>
    </row>
    <row r="3101" spans="1:2" x14ac:dyDescent="0.25">
      <c r="A3101" s="1">
        <v>45982</v>
      </c>
      <c r="B3101">
        <v>7.1051000000000002</v>
      </c>
    </row>
    <row r="3102" spans="1:2" x14ac:dyDescent="0.25">
      <c r="A3102" s="1">
        <v>45985</v>
      </c>
      <c r="B3102">
        <v>7.1062000000000003</v>
      </c>
    </row>
    <row r="3103" spans="1:2" x14ac:dyDescent="0.25">
      <c r="A3103" s="1">
        <v>45986</v>
      </c>
      <c r="B3103">
        <v>7.0823999999999998</v>
      </c>
    </row>
    <row r="3104" spans="1:2" x14ac:dyDescent="0.25">
      <c r="A3104" s="1">
        <v>45987</v>
      </c>
      <c r="B3104">
        <v>7.069</v>
      </c>
    </row>
    <row r="3105" spans="1:2" x14ac:dyDescent="0.25">
      <c r="A3105" s="1">
        <v>45988</v>
      </c>
      <c r="B3105">
        <v>7.0743999999999998</v>
      </c>
    </row>
    <row r="3106" spans="1:2" x14ac:dyDescent="0.25">
      <c r="A3106" s="1">
        <v>45989</v>
      </c>
      <c r="B3106">
        <v>7.0708000000000002</v>
      </c>
    </row>
    <row r="3107" spans="1:2" x14ac:dyDescent="0.25">
      <c r="A3107" s="1">
        <v>45992</v>
      </c>
      <c r="B3107">
        <v>7.0719000000000003</v>
      </c>
    </row>
    <row r="3108" spans="1:2" x14ac:dyDescent="0.25">
      <c r="A3108" s="1">
        <v>45993</v>
      </c>
      <c r="B3108">
        <v>7.0670000000000002</v>
      </c>
    </row>
    <row r="3109" spans="1:2" x14ac:dyDescent="0.25">
      <c r="A3109" s="1">
        <v>45994</v>
      </c>
      <c r="B3109">
        <v>7.0576999999999996</v>
      </c>
    </row>
    <row r="3110" spans="1:2" x14ac:dyDescent="0.25">
      <c r="A3110" s="1">
        <v>45995</v>
      </c>
      <c r="B3110">
        <v>7.0716000000000001</v>
      </c>
    </row>
    <row r="3111" spans="1:2" x14ac:dyDescent="0.25">
      <c r="A3111" s="1">
        <v>45996</v>
      </c>
      <c r="B3111">
        <v>7.0692000000000004</v>
      </c>
    </row>
    <row r="3112" spans="1:2" x14ac:dyDescent="0.25">
      <c r="A3112" s="1">
        <v>45999</v>
      </c>
      <c r="B3112">
        <v>7.0716999999999999</v>
      </c>
    </row>
    <row r="3113" spans="1:2" x14ac:dyDescent="0.25">
      <c r="A3113" s="1">
        <v>46000</v>
      </c>
      <c r="B3113">
        <v>7.0609999999999999</v>
      </c>
    </row>
    <row r="3114" spans="1:2" x14ac:dyDescent="0.25">
      <c r="A3114" s="1">
        <v>46001</v>
      </c>
      <c r="B3114">
        <v>7.0609999999999999</v>
      </c>
    </row>
    <row r="3115" spans="1:2" x14ac:dyDescent="0.25">
      <c r="A3115" s="1">
        <v>46002</v>
      </c>
      <c r="B3115">
        <v>7.0507999999999997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C1" sqref="C1"/>
    </sheetView>
  </sheetViews>
  <sheetFormatPr defaultColWidth="8.85546875" defaultRowHeight="15" x14ac:dyDescent="0.25"/>
  <sheetData>
    <row r="1" spans="1:25" x14ac:dyDescent="0.25">
      <c r="A1" t="str">
        <f>_xll.BDH("USDCNH1W Curncy","OUTRIGHT_FWD","20140101","20251231")</f>
        <v>#N/A Field Not Applicable</v>
      </c>
      <c r="C1" t="str">
        <f>_xll.BDH("USDCNH1W Curncy","FWD_PTS","20140101","20251231")</f>
        <v>#N/A Field Not Applicable</v>
      </c>
      <c r="E1" t="str">
        <f>_xll.BDH("USDCNH1M Curncy","OUTRIGHT_FWD","20140101","20251231")</f>
        <v>#N/A Field Not Applicable</v>
      </c>
      <c r="G1" t="str">
        <f>_xll.BDH("USDCNH1M Curncy","FWD_PTS","20140101","20251231")</f>
        <v>#N/A Field Not Applicable</v>
      </c>
      <c r="I1" t="str">
        <f>_xll.BDH("USDCNH3M Curncy","OUTRIGHT_FWD","20140101","20251231")</f>
        <v>#N/A Field Not Applicable</v>
      </c>
      <c r="K1" t="str">
        <f>_xll.BDH("USDCNH3M Curncy","FWD_PTS","20140101","20251231")</f>
        <v>#N/A Field Not Applicable</v>
      </c>
      <c r="M1" t="str">
        <f>_xll.BDH("USDCNH6M Curncy","OUTRIGHT_FWD","20140101","20251231")</f>
        <v>#N/A Field Not Applicable</v>
      </c>
      <c r="O1" t="str">
        <f>_xll.BDH("USDCNH6M Curncy","FWD_PTS","20140101","20251231")</f>
        <v>#N/A Field Not Applicable</v>
      </c>
      <c r="Q1" t="str">
        <f>_xll.BDH("USDCNH1Y Curncy","OUTRIGHT_FWD","20140101","20251231")</f>
        <v>#N/A Invalid Security</v>
      </c>
      <c r="S1" t="str">
        <f>_xll.BDH("USDCNH1Y Curncy","FWD_PTS","20140101","20251231")</f>
        <v>#N/A Invalid Security</v>
      </c>
      <c r="U1" t="str">
        <f>_xll.BDH("CNY1W CMPL Curncy","PX_LAST","20140101","20251231")</f>
        <v>#N/A Invalid Security</v>
      </c>
      <c r="W1" t="str">
        <f>_xll.BDH("CNY1M CMPL Curncy","PX_LAST","20140101","20251231")</f>
        <v>#N/A Invalid Security</v>
      </c>
      <c r="Y1" t="str">
        <f>_xll.BDH("CNY3M CMPL Curncy","PX_LAST","20140101","20251231")</f>
        <v>#N/A Invalid Security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selection activeCell="A2" sqref="A2"/>
    </sheetView>
  </sheetViews>
  <sheetFormatPr defaultColWidth="8.85546875" defaultRowHeight="15" x14ac:dyDescent="0.25"/>
  <sheetData>
    <row r="1" spans="1:27" x14ac:dyDescent="0.25">
      <c r="A1" t="str">
        <f>_xll.BDH("CNHIRBC CH","PX_LAST","20140101","20251231")</f>
        <v>#N/A Invalid Security</v>
      </c>
      <c r="C1" t="str">
        <f>_xll.BDH("CNHIRS3Y Curncy","PX_LAST","20140101","20251231")</f>
        <v>#N/A Invalid Security</v>
      </c>
      <c r="E1" t="str">
        <f>_xll.BDH("CNHIRS5Y Curncy","PX_LAST","20140101","20251231")</f>
        <v>#N/A Invalid Security</v>
      </c>
      <c r="G1" t="str">
        <f>_xll.BDH("CNHIRS10Y Curncy","PX_LAST","20140101","20251231")</f>
        <v>#N/A Invalid Security</v>
      </c>
      <c r="I1" t="str">
        <f>_xll.BDH("CNYIRS1Y Curncy","PX_LAST","20140101","20251231")</f>
        <v>#N/A Invalid Security</v>
      </c>
      <c r="K1" t="str">
        <f>_xll.BDH("CNYIRS3Y Curncy","PX_LAST","20140101","20251231")</f>
        <v>#N/A Invalid Security</v>
      </c>
      <c r="M1" t="str">
        <f>_xll.BDH("CNYIRS5Y Curncy","PX_LAST","20140101","20251231")</f>
        <v>#N/A Invalid Security</v>
      </c>
      <c r="O1" t="str">
        <f>_xll.BDH("CNYIRS10Y Curncy","PX_LAST","20140101","20251231")</f>
        <v>#N/A Invalid Security</v>
      </c>
      <c r="Q1" t="str">
        <f>_xll.BDH("CNGOVT2YR Govt","YLD_YTM_MID","20140101","20251231")</f>
        <v>#N/A Invalid Security</v>
      </c>
      <c r="S1" t="str">
        <f>_xll.BDH("CNGOVT5YR Govt","YLD_YTM_MID","20140101","20251231")</f>
        <v>#N/A Invalid Security</v>
      </c>
      <c r="U1" t="str">
        <f>_xll.BDH("CNGOVT10YR Govt","YLD_YTM_MID","20140101","20251231")</f>
        <v>#N/A Invalid Security</v>
      </c>
      <c r="W1" t="str">
        <f>_xll.BDH("USGG2YR Govt","YLD_YTM_MID","20140101","20251231")</f>
        <v>#N/A Invalid Security</v>
      </c>
      <c r="Y1" t="str">
        <f>_xll.BDH("USGG5YR Govt","YLD_YTM_MID","20140101","20251231")</f>
        <v>#N/A Invalid Security</v>
      </c>
      <c r="AA1" t="str">
        <f>_xll.BDH("USGG10YR Govt","YLD_YTM_MID","20140101","20251231")</f>
        <v>#N/A Invalid Security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/>
  </sheetViews>
  <sheetFormatPr defaultColWidth="8.85546875" defaultRowHeight="15" x14ac:dyDescent="0.25"/>
  <sheetData>
    <row r="1" spans="1:21" x14ac:dyDescent="0.25">
      <c r="A1" t="str">
        <f>_xll.BDH("HIBORON Index","PX_LAST","20140101","20251231")</f>
        <v>#N/A Invalid Security</v>
      </c>
      <c r="C1" t="str">
        <f>_xll.BDH("HIBOR1W Index","PX_LAST","20140101","20251231")</f>
        <v>#N/A Invalid Security</v>
      </c>
      <c r="E1" t="str">
        <f>_xll.BDH("HIBOR1M Index","PX_LAST","20140101","20251231")</f>
        <v>#N/A Invalid Security</v>
      </c>
      <c r="G1" t="str">
        <f>_xll.BDH("SHIBORON Index","PX_LAST","20140101","20251231")</f>
        <v>#N/A Invalid Security</v>
      </c>
      <c r="I1" t="str">
        <f>_xll.BDH("SHIBOR1W Index","PX_LAST","20140101","20251231")</f>
        <v>#N/A Invalid Security</v>
      </c>
      <c r="K1" t="str">
        <f>_xll.BDH("SHIBOR1M Index","PX_LAST","20140101","20251231")</f>
        <v>#N/A Invalid Security</v>
      </c>
      <c r="M1" t="str">
        <f>_xll.BDH("CNREPOON Index","PX_LAST","20140101","20251231")</f>
        <v>#N/A Invalid Security</v>
      </c>
      <c r="O1" t="str">
        <f>_xll.BDH("CNREPO7D Index","PX_LAST","20140101","20251231")</f>
        <v>#N/A Invalid Security</v>
      </c>
      <c r="Q1" t="str">
        <f>_xll.BDH("CNY CCS 1Y Curncy","PX_LAST","20140101","20251231")</f>
        <v>#N/A Invalid Security</v>
      </c>
      <c r="S1" t="str">
        <f>_xll.BDH("CNY CCS 3Y Curncy","PX_LAST","20140101","20251231")</f>
        <v>#N/A Invalid Security</v>
      </c>
      <c r="U1" t="str">
        <f>_xll.BDH("CNY CCS 5Y Curncy","PX_LAST","20140101","20251231")</f>
        <v>#N/A Invalid Security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>
      <selection activeCell="I1" sqref="I1"/>
    </sheetView>
  </sheetViews>
  <sheetFormatPr defaultColWidth="8.85546875" defaultRowHeight="15" x14ac:dyDescent="0.25"/>
  <sheetData>
    <row r="1" spans="1:10" x14ac:dyDescent="0.25">
      <c r="A1" t="str">
        <f>_xll.BDH("HKSEMLNT Index","PX_LAST","20140101","20251231")</f>
        <v>#N/A Invalid Security</v>
      </c>
      <c r="C1" t="str">
        <f>_xll.BDH("HKSEMLFT Index","PX_LAST","20140101","20251231")</f>
        <v>#N/A Invalid Security</v>
      </c>
      <c r="E1" t="str">
        <f>_xll.BDH("CBEIFLOW Index","PX_LAST","20140101","20251231")</f>
        <v>#N/A Invalid Security</v>
      </c>
      <c r="G1" t="str">
        <f>_xll.BDH("CBODFLOW Index","PX_LAST","20140101","20251231")</f>
        <v>#N/A Invalid Security</v>
      </c>
      <c r="I1" s="1">
        <f>_xll.BDH("CNGFOREX Index","PX_LAST","20140101","20251231","cols=2;rows=143")</f>
        <v>41670</v>
      </c>
      <c r="J1">
        <v>3866.64</v>
      </c>
    </row>
    <row r="2" spans="1:10" x14ac:dyDescent="0.25">
      <c r="I2" s="1">
        <v>41698</v>
      </c>
      <c r="J2">
        <v>3913.74</v>
      </c>
    </row>
    <row r="3" spans="1:10" x14ac:dyDescent="0.25">
      <c r="I3" s="1">
        <v>41729</v>
      </c>
      <c r="J3">
        <v>3948.1</v>
      </c>
    </row>
    <row r="4" spans="1:10" x14ac:dyDescent="0.25">
      <c r="I4" s="1">
        <v>41759</v>
      </c>
      <c r="J4">
        <v>3978.8</v>
      </c>
    </row>
    <row r="5" spans="1:10" x14ac:dyDescent="0.25">
      <c r="I5" s="1">
        <v>41790</v>
      </c>
      <c r="J5">
        <v>3983.89</v>
      </c>
    </row>
    <row r="6" spans="1:10" x14ac:dyDescent="0.25">
      <c r="I6" s="1">
        <v>41820</v>
      </c>
      <c r="J6">
        <v>3993.21</v>
      </c>
    </row>
    <row r="7" spans="1:10" x14ac:dyDescent="0.25">
      <c r="I7" s="1">
        <v>41851</v>
      </c>
      <c r="J7">
        <v>3966.27</v>
      </c>
    </row>
    <row r="8" spans="1:10" x14ac:dyDescent="0.25">
      <c r="I8" s="1">
        <v>41882</v>
      </c>
      <c r="J8">
        <v>3968.83</v>
      </c>
    </row>
    <row r="9" spans="1:10" x14ac:dyDescent="0.25">
      <c r="I9" s="1">
        <v>41912</v>
      </c>
      <c r="J9">
        <v>3887.7</v>
      </c>
    </row>
    <row r="10" spans="1:10" x14ac:dyDescent="0.25">
      <c r="I10" s="1">
        <v>41943</v>
      </c>
      <c r="J10">
        <v>3852.92</v>
      </c>
    </row>
    <row r="11" spans="1:10" x14ac:dyDescent="0.25">
      <c r="I11" s="1">
        <v>41973</v>
      </c>
      <c r="J11">
        <v>3847.35</v>
      </c>
    </row>
    <row r="12" spans="1:10" x14ac:dyDescent="0.25">
      <c r="I12" s="1">
        <v>42004</v>
      </c>
      <c r="J12">
        <v>3843.02</v>
      </c>
    </row>
    <row r="13" spans="1:10" x14ac:dyDescent="0.25">
      <c r="I13" s="1">
        <v>42035</v>
      </c>
      <c r="J13">
        <v>3813.41</v>
      </c>
    </row>
    <row r="14" spans="1:10" x14ac:dyDescent="0.25">
      <c r="I14" s="1">
        <v>42063</v>
      </c>
      <c r="J14">
        <v>3801.5</v>
      </c>
    </row>
    <row r="15" spans="1:10" x14ac:dyDescent="0.25">
      <c r="I15" s="1">
        <v>42094</v>
      </c>
      <c r="J15">
        <v>3730.04</v>
      </c>
    </row>
    <row r="16" spans="1:10" x14ac:dyDescent="0.25">
      <c r="I16" s="1">
        <v>42124</v>
      </c>
      <c r="J16">
        <v>3748.14</v>
      </c>
    </row>
    <row r="17" spans="9:10" x14ac:dyDescent="0.25">
      <c r="I17" s="1">
        <v>42155</v>
      </c>
      <c r="J17">
        <v>3711.14</v>
      </c>
    </row>
    <row r="18" spans="9:10" x14ac:dyDescent="0.25">
      <c r="I18" s="1">
        <v>42185</v>
      </c>
      <c r="J18">
        <v>3693.84</v>
      </c>
    </row>
    <row r="19" spans="9:10" x14ac:dyDescent="0.25">
      <c r="I19" s="1">
        <v>42216</v>
      </c>
      <c r="J19">
        <v>3651.31</v>
      </c>
    </row>
    <row r="20" spans="9:10" x14ac:dyDescent="0.25">
      <c r="I20" s="1">
        <v>42247</v>
      </c>
      <c r="J20">
        <v>3557.38</v>
      </c>
    </row>
    <row r="21" spans="9:10" x14ac:dyDescent="0.25">
      <c r="I21" s="1">
        <v>42277</v>
      </c>
      <c r="J21">
        <v>3514.12</v>
      </c>
    </row>
    <row r="22" spans="9:10" x14ac:dyDescent="0.25">
      <c r="I22" s="1">
        <v>42308</v>
      </c>
      <c r="J22">
        <v>3525.51</v>
      </c>
    </row>
    <row r="23" spans="9:10" x14ac:dyDescent="0.25">
      <c r="I23" s="1">
        <v>42338</v>
      </c>
      <c r="J23">
        <v>3438.28</v>
      </c>
    </row>
    <row r="24" spans="9:10" x14ac:dyDescent="0.25">
      <c r="I24" s="1">
        <v>42369</v>
      </c>
      <c r="J24">
        <v>3330.36</v>
      </c>
    </row>
    <row r="25" spans="9:10" x14ac:dyDescent="0.25">
      <c r="I25" s="1">
        <v>42400</v>
      </c>
      <c r="J25">
        <v>3230.89</v>
      </c>
    </row>
    <row r="26" spans="9:10" x14ac:dyDescent="0.25">
      <c r="I26" s="1">
        <v>42429</v>
      </c>
      <c r="J26">
        <v>3202.32</v>
      </c>
    </row>
    <row r="27" spans="9:10" x14ac:dyDescent="0.25">
      <c r="I27" s="1">
        <v>42460</v>
      </c>
      <c r="J27">
        <v>3212.58</v>
      </c>
    </row>
    <row r="28" spans="9:10" x14ac:dyDescent="0.25">
      <c r="I28" s="1">
        <v>42490</v>
      </c>
      <c r="J28">
        <v>3219.67</v>
      </c>
    </row>
    <row r="29" spans="9:10" x14ac:dyDescent="0.25">
      <c r="I29" s="1">
        <v>42521</v>
      </c>
      <c r="J29">
        <v>3191.74</v>
      </c>
    </row>
    <row r="30" spans="9:10" x14ac:dyDescent="0.25">
      <c r="I30" s="1">
        <v>42551</v>
      </c>
      <c r="J30">
        <v>3205.16</v>
      </c>
    </row>
    <row r="31" spans="9:10" x14ac:dyDescent="0.25">
      <c r="I31" s="1">
        <v>42582</v>
      </c>
      <c r="J31">
        <v>3201.06</v>
      </c>
    </row>
    <row r="32" spans="9:10" x14ac:dyDescent="0.25">
      <c r="I32" s="1">
        <v>42613</v>
      </c>
      <c r="J32">
        <v>3185.17</v>
      </c>
    </row>
    <row r="33" spans="9:10" x14ac:dyDescent="0.25">
      <c r="I33" s="1">
        <v>42643</v>
      </c>
      <c r="J33">
        <v>3166.38</v>
      </c>
    </row>
    <row r="34" spans="9:10" x14ac:dyDescent="0.25">
      <c r="I34" s="1">
        <v>42674</v>
      </c>
      <c r="J34">
        <v>3120.66</v>
      </c>
    </row>
    <row r="35" spans="9:10" x14ac:dyDescent="0.25">
      <c r="I35" s="1">
        <v>42704</v>
      </c>
      <c r="J35">
        <v>3051.6</v>
      </c>
    </row>
    <row r="36" spans="9:10" x14ac:dyDescent="0.25">
      <c r="I36" s="1">
        <v>42735</v>
      </c>
      <c r="J36">
        <v>3010.52</v>
      </c>
    </row>
    <row r="37" spans="9:10" x14ac:dyDescent="0.25">
      <c r="I37" s="1">
        <v>42766</v>
      </c>
      <c r="J37">
        <v>2998.2</v>
      </c>
    </row>
    <row r="38" spans="9:10" x14ac:dyDescent="0.25">
      <c r="I38" s="1">
        <v>42794</v>
      </c>
      <c r="J38">
        <v>3005.12</v>
      </c>
    </row>
    <row r="39" spans="9:10" x14ac:dyDescent="0.25">
      <c r="I39" s="1">
        <v>42825</v>
      </c>
      <c r="J39">
        <v>3009.09</v>
      </c>
    </row>
    <row r="40" spans="9:10" x14ac:dyDescent="0.25">
      <c r="I40" s="1">
        <v>42855</v>
      </c>
      <c r="J40">
        <v>3029.53</v>
      </c>
    </row>
    <row r="41" spans="9:10" x14ac:dyDescent="0.25">
      <c r="I41" s="1">
        <v>42886</v>
      </c>
      <c r="J41">
        <v>3053.57</v>
      </c>
    </row>
    <row r="42" spans="9:10" x14ac:dyDescent="0.25">
      <c r="I42" s="1">
        <v>42916</v>
      </c>
      <c r="J42">
        <v>3056.79</v>
      </c>
    </row>
    <row r="43" spans="9:10" x14ac:dyDescent="0.25">
      <c r="I43" s="1">
        <v>42947</v>
      </c>
      <c r="J43">
        <v>3080.72</v>
      </c>
    </row>
    <row r="44" spans="9:10" x14ac:dyDescent="0.25">
      <c r="I44" s="1">
        <v>42978</v>
      </c>
      <c r="J44">
        <v>3091.53</v>
      </c>
    </row>
    <row r="45" spans="9:10" x14ac:dyDescent="0.25">
      <c r="I45" s="1">
        <v>43008</v>
      </c>
      <c r="J45">
        <v>3108.51</v>
      </c>
    </row>
    <row r="46" spans="9:10" x14ac:dyDescent="0.25">
      <c r="I46" s="1">
        <v>43039</v>
      </c>
      <c r="J46">
        <v>3109.21</v>
      </c>
    </row>
    <row r="47" spans="9:10" x14ac:dyDescent="0.25">
      <c r="I47" s="1">
        <v>43069</v>
      </c>
      <c r="J47">
        <v>3119.28</v>
      </c>
    </row>
    <row r="48" spans="9:10" x14ac:dyDescent="0.25">
      <c r="I48" s="1">
        <v>43100</v>
      </c>
      <c r="J48">
        <v>3139.95</v>
      </c>
    </row>
    <row r="49" spans="9:10" x14ac:dyDescent="0.25">
      <c r="I49" s="1">
        <v>43131</v>
      </c>
      <c r="J49">
        <v>3161.46</v>
      </c>
    </row>
    <row r="50" spans="9:10" x14ac:dyDescent="0.25">
      <c r="I50" s="1">
        <v>43159</v>
      </c>
      <c r="J50">
        <v>3134.48</v>
      </c>
    </row>
    <row r="51" spans="9:10" x14ac:dyDescent="0.25">
      <c r="I51" s="1">
        <v>43190</v>
      </c>
      <c r="J51">
        <v>3142.82</v>
      </c>
    </row>
    <row r="52" spans="9:10" x14ac:dyDescent="0.25">
      <c r="I52" s="1">
        <v>43220</v>
      </c>
      <c r="J52">
        <v>3124.85</v>
      </c>
    </row>
    <row r="53" spans="9:10" x14ac:dyDescent="0.25">
      <c r="I53" s="1">
        <v>43251</v>
      </c>
      <c r="J53">
        <v>3110.62</v>
      </c>
    </row>
    <row r="54" spans="9:10" x14ac:dyDescent="0.25">
      <c r="I54" s="1">
        <v>43281</v>
      </c>
      <c r="J54">
        <v>3112.13</v>
      </c>
    </row>
    <row r="55" spans="9:10" x14ac:dyDescent="0.25">
      <c r="I55" s="1">
        <v>43312</v>
      </c>
      <c r="J55">
        <v>3117.95</v>
      </c>
    </row>
    <row r="56" spans="9:10" x14ac:dyDescent="0.25">
      <c r="I56" s="1">
        <v>43343</v>
      </c>
      <c r="J56">
        <v>3109.72</v>
      </c>
    </row>
    <row r="57" spans="9:10" x14ac:dyDescent="0.25">
      <c r="I57" s="1">
        <v>43373</v>
      </c>
      <c r="J57">
        <v>3087.02</v>
      </c>
    </row>
    <row r="58" spans="9:10" x14ac:dyDescent="0.25">
      <c r="I58" s="1">
        <v>43404</v>
      </c>
      <c r="J58">
        <v>3053.1</v>
      </c>
    </row>
    <row r="59" spans="9:10" x14ac:dyDescent="0.25">
      <c r="I59" s="1">
        <v>43434</v>
      </c>
      <c r="J59">
        <v>3061.7</v>
      </c>
    </row>
    <row r="60" spans="9:10" x14ac:dyDescent="0.25">
      <c r="I60" s="1">
        <v>43465</v>
      </c>
      <c r="J60">
        <v>3072.71</v>
      </c>
    </row>
    <row r="61" spans="9:10" x14ac:dyDescent="0.25">
      <c r="I61" s="1">
        <v>43496</v>
      </c>
      <c r="J61">
        <v>3087.92</v>
      </c>
    </row>
    <row r="62" spans="9:10" x14ac:dyDescent="0.25">
      <c r="I62" s="1">
        <v>43524</v>
      </c>
      <c r="J62">
        <v>3090.18</v>
      </c>
    </row>
    <row r="63" spans="9:10" x14ac:dyDescent="0.25">
      <c r="I63" s="1">
        <v>43555</v>
      </c>
      <c r="J63">
        <v>3098.76</v>
      </c>
    </row>
    <row r="64" spans="9:10" x14ac:dyDescent="0.25">
      <c r="I64" s="1">
        <v>43585</v>
      </c>
      <c r="J64">
        <v>3094.95</v>
      </c>
    </row>
    <row r="65" spans="9:10" x14ac:dyDescent="0.25">
      <c r="I65" s="1">
        <v>43616</v>
      </c>
      <c r="J65">
        <v>3101</v>
      </c>
    </row>
    <row r="66" spans="9:10" x14ac:dyDescent="0.25">
      <c r="I66" s="1">
        <v>43646</v>
      </c>
      <c r="J66">
        <v>3119.23</v>
      </c>
    </row>
    <row r="67" spans="9:10" x14ac:dyDescent="0.25">
      <c r="I67" s="1">
        <v>43677</v>
      </c>
      <c r="J67">
        <v>3103.7</v>
      </c>
    </row>
    <row r="68" spans="9:10" x14ac:dyDescent="0.25">
      <c r="I68" s="1">
        <v>43708</v>
      </c>
      <c r="J68">
        <v>3107.18</v>
      </c>
    </row>
    <row r="69" spans="9:10" x14ac:dyDescent="0.25">
      <c r="I69" s="1">
        <v>43738</v>
      </c>
      <c r="J69">
        <v>3092.43</v>
      </c>
    </row>
    <row r="70" spans="9:10" x14ac:dyDescent="0.25">
      <c r="I70" s="1">
        <v>43769</v>
      </c>
      <c r="J70">
        <v>3105.16</v>
      </c>
    </row>
    <row r="71" spans="9:10" x14ac:dyDescent="0.25">
      <c r="I71" s="1">
        <v>43799</v>
      </c>
      <c r="J71">
        <v>3095.59</v>
      </c>
    </row>
    <row r="72" spans="9:10" x14ac:dyDescent="0.25">
      <c r="I72" s="1">
        <v>43830</v>
      </c>
      <c r="J72">
        <v>3107.92</v>
      </c>
    </row>
    <row r="73" spans="9:10" x14ac:dyDescent="0.25">
      <c r="I73" s="1">
        <v>43861</v>
      </c>
      <c r="J73">
        <v>3115.5</v>
      </c>
    </row>
    <row r="74" spans="9:10" x14ac:dyDescent="0.25">
      <c r="I74" s="1">
        <v>43890</v>
      </c>
      <c r="J74">
        <v>3106.72</v>
      </c>
    </row>
    <row r="75" spans="9:10" x14ac:dyDescent="0.25">
      <c r="I75" s="1">
        <v>43921</v>
      </c>
      <c r="J75">
        <v>3060.63</v>
      </c>
    </row>
    <row r="76" spans="9:10" x14ac:dyDescent="0.25">
      <c r="I76" s="1">
        <v>43951</v>
      </c>
      <c r="J76">
        <v>3091.46</v>
      </c>
    </row>
    <row r="77" spans="9:10" x14ac:dyDescent="0.25">
      <c r="I77" s="1">
        <v>43982</v>
      </c>
      <c r="J77">
        <v>3101.69</v>
      </c>
    </row>
    <row r="78" spans="9:10" x14ac:dyDescent="0.25">
      <c r="I78" s="1">
        <v>44012</v>
      </c>
      <c r="J78">
        <v>3112.33</v>
      </c>
    </row>
    <row r="79" spans="9:10" x14ac:dyDescent="0.25">
      <c r="I79" s="1">
        <v>44043</v>
      </c>
      <c r="J79">
        <v>3154.39</v>
      </c>
    </row>
    <row r="80" spans="9:10" x14ac:dyDescent="0.25">
      <c r="I80" s="1">
        <v>44074</v>
      </c>
      <c r="J80">
        <v>3164.61</v>
      </c>
    </row>
    <row r="81" spans="9:10" x14ac:dyDescent="0.25">
      <c r="I81" s="1">
        <v>44104</v>
      </c>
      <c r="J81">
        <v>3142.56</v>
      </c>
    </row>
    <row r="82" spans="9:10" x14ac:dyDescent="0.25">
      <c r="I82" s="1">
        <v>44135</v>
      </c>
      <c r="J82">
        <v>3127.98</v>
      </c>
    </row>
    <row r="83" spans="9:10" x14ac:dyDescent="0.25">
      <c r="I83" s="1">
        <v>44165</v>
      </c>
      <c r="J83">
        <v>3178.49</v>
      </c>
    </row>
    <row r="84" spans="9:10" x14ac:dyDescent="0.25">
      <c r="I84" s="1">
        <v>44196</v>
      </c>
      <c r="J84">
        <v>3216.52</v>
      </c>
    </row>
    <row r="85" spans="9:10" x14ac:dyDescent="0.25">
      <c r="I85" s="1">
        <v>44227</v>
      </c>
      <c r="J85">
        <v>3210.67</v>
      </c>
    </row>
    <row r="86" spans="9:10" x14ac:dyDescent="0.25">
      <c r="I86" s="1">
        <v>44255</v>
      </c>
      <c r="J86">
        <v>3204.99</v>
      </c>
    </row>
    <row r="87" spans="9:10" x14ac:dyDescent="0.25">
      <c r="I87" s="1">
        <v>44286</v>
      </c>
      <c r="J87">
        <v>3170.03</v>
      </c>
    </row>
    <row r="88" spans="9:10" x14ac:dyDescent="0.25">
      <c r="I88" s="1">
        <v>44316</v>
      </c>
      <c r="J88">
        <v>3198.18</v>
      </c>
    </row>
    <row r="89" spans="9:10" x14ac:dyDescent="0.25">
      <c r="I89" s="1">
        <v>44347</v>
      </c>
      <c r="J89">
        <v>3221.8</v>
      </c>
    </row>
    <row r="90" spans="9:10" x14ac:dyDescent="0.25">
      <c r="I90" s="1">
        <v>44377</v>
      </c>
      <c r="J90">
        <v>3214.01</v>
      </c>
    </row>
    <row r="91" spans="9:10" x14ac:dyDescent="0.25">
      <c r="I91" s="1">
        <v>44408</v>
      </c>
      <c r="J91">
        <v>3235.89</v>
      </c>
    </row>
    <row r="92" spans="9:10" x14ac:dyDescent="0.25">
      <c r="I92" s="1">
        <v>44439</v>
      </c>
      <c r="J92">
        <v>3232.12</v>
      </c>
    </row>
    <row r="93" spans="9:10" x14ac:dyDescent="0.25">
      <c r="I93" s="1">
        <v>44469</v>
      </c>
      <c r="J93">
        <v>3200.63</v>
      </c>
    </row>
    <row r="94" spans="9:10" x14ac:dyDescent="0.25">
      <c r="I94" s="1">
        <v>44500</v>
      </c>
      <c r="J94">
        <v>3217.61</v>
      </c>
    </row>
    <row r="95" spans="9:10" x14ac:dyDescent="0.25">
      <c r="I95" s="1">
        <v>44530</v>
      </c>
      <c r="J95">
        <v>3222.39</v>
      </c>
    </row>
    <row r="96" spans="9:10" x14ac:dyDescent="0.25">
      <c r="I96" s="1">
        <v>44561</v>
      </c>
      <c r="J96">
        <v>3250.17</v>
      </c>
    </row>
    <row r="97" spans="9:10" x14ac:dyDescent="0.25">
      <c r="I97" s="1">
        <v>44592</v>
      </c>
      <c r="J97">
        <v>3221.63</v>
      </c>
    </row>
    <row r="98" spans="9:10" x14ac:dyDescent="0.25">
      <c r="I98" s="1">
        <v>44620</v>
      </c>
      <c r="J98">
        <v>3213.83</v>
      </c>
    </row>
    <row r="99" spans="9:10" x14ac:dyDescent="0.25">
      <c r="I99" s="1">
        <v>44651</v>
      </c>
      <c r="J99">
        <v>3187.99</v>
      </c>
    </row>
    <row r="100" spans="9:10" x14ac:dyDescent="0.25">
      <c r="I100" s="1">
        <v>44681</v>
      </c>
      <c r="J100">
        <v>3119.72</v>
      </c>
    </row>
    <row r="101" spans="9:10" x14ac:dyDescent="0.25">
      <c r="I101" s="1">
        <v>44712</v>
      </c>
      <c r="J101">
        <v>3127.78</v>
      </c>
    </row>
    <row r="102" spans="9:10" x14ac:dyDescent="0.25">
      <c r="I102" s="1">
        <v>44742</v>
      </c>
      <c r="J102">
        <v>3071.27</v>
      </c>
    </row>
    <row r="103" spans="9:10" x14ac:dyDescent="0.25">
      <c r="I103" s="1">
        <v>44773</v>
      </c>
      <c r="J103">
        <v>3104.07</v>
      </c>
    </row>
    <row r="104" spans="9:10" x14ac:dyDescent="0.25">
      <c r="I104" s="1">
        <v>44804</v>
      </c>
      <c r="J104">
        <v>3054.88</v>
      </c>
    </row>
    <row r="105" spans="9:10" x14ac:dyDescent="0.25">
      <c r="I105" s="1">
        <v>44834</v>
      </c>
      <c r="J105">
        <v>3028.96</v>
      </c>
    </row>
    <row r="106" spans="9:10" x14ac:dyDescent="0.25">
      <c r="I106" s="1">
        <v>44865</v>
      </c>
      <c r="J106">
        <v>3052.43</v>
      </c>
    </row>
    <row r="107" spans="9:10" x14ac:dyDescent="0.25">
      <c r="I107" s="1">
        <v>44895</v>
      </c>
      <c r="J107">
        <v>3117.49</v>
      </c>
    </row>
    <row r="108" spans="9:10" x14ac:dyDescent="0.25">
      <c r="I108" s="1">
        <v>44926</v>
      </c>
      <c r="J108">
        <v>3127.69</v>
      </c>
    </row>
    <row r="109" spans="9:10" x14ac:dyDescent="0.25">
      <c r="I109" s="1">
        <v>44957</v>
      </c>
      <c r="J109">
        <v>3184.46</v>
      </c>
    </row>
    <row r="110" spans="9:10" x14ac:dyDescent="0.25">
      <c r="I110" s="1">
        <v>44985</v>
      </c>
      <c r="J110">
        <v>3133.15</v>
      </c>
    </row>
    <row r="111" spans="9:10" x14ac:dyDescent="0.25">
      <c r="I111" s="1">
        <v>45016</v>
      </c>
      <c r="J111">
        <v>3183.87</v>
      </c>
    </row>
    <row r="112" spans="9:10" x14ac:dyDescent="0.25">
      <c r="I112" s="1">
        <v>45046</v>
      </c>
      <c r="J112">
        <v>3204.77</v>
      </c>
    </row>
    <row r="113" spans="9:10" x14ac:dyDescent="0.25">
      <c r="I113" s="1">
        <v>45077</v>
      </c>
      <c r="J113">
        <v>3176.51</v>
      </c>
    </row>
    <row r="114" spans="9:10" x14ac:dyDescent="0.25">
      <c r="I114" s="1">
        <v>45107</v>
      </c>
      <c r="J114">
        <v>3193</v>
      </c>
    </row>
    <row r="115" spans="9:10" x14ac:dyDescent="0.25">
      <c r="I115" s="1">
        <v>45138</v>
      </c>
      <c r="J115">
        <v>3204.27</v>
      </c>
    </row>
    <row r="116" spans="9:10" x14ac:dyDescent="0.25">
      <c r="I116" s="1">
        <v>45169</v>
      </c>
      <c r="J116">
        <v>3160.1</v>
      </c>
    </row>
    <row r="117" spans="9:10" x14ac:dyDescent="0.25">
      <c r="I117" s="1">
        <v>45199</v>
      </c>
      <c r="J117">
        <v>3115.07</v>
      </c>
    </row>
    <row r="118" spans="9:10" x14ac:dyDescent="0.25">
      <c r="I118" s="1">
        <v>45230</v>
      </c>
      <c r="J118">
        <v>3101.22</v>
      </c>
    </row>
    <row r="119" spans="9:10" x14ac:dyDescent="0.25">
      <c r="I119" s="1">
        <v>45260</v>
      </c>
      <c r="J119">
        <v>3171.81</v>
      </c>
    </row>
    <row r="120" spans="9:10" x14ac:dyDescent="0.25">
      <c r="I120" s="1">
        <v>45291</v>
      </c>
      <c r="J120">
        <v>3237.98</v>
      </c>
    </row>
    <row r="121" spans="9:10" x14ac:dyDescent="0.25">
      <c r="I121" s="1">
        <v>45322</v>
      </c>
      <c r="J121">
        <v>3219.32</v>
      </c>
    </row>
    <row r="122" spans="9:10" x14ac:dyDescent="0.25">
      <c r="I122" s="1">
        <v>45351</v>
      </c>
      <c r="J122">
        <v>3225.82</v>
      </c>
    </row>
    <row r="123" spans="9:10" x14ac:dyDescent="0.25">
      <c r="I123" s="1">
        <v>45382</v>
      </c>
      <c r="J123">
        <v>3245.66</v>
      </c>
    </row>
    <row r="124" spans="9:10" x14ac:dyDescent="0.25">
      <c r="I124" s="1">
        <v>45412</v>
      </c>
      <c r="J124">
        <v>3200.83</v>
      </c>
    </row>
    <row r="125" spans="9:10" x14ac:dyDescent="0.25">
      <c r="I125" s="1">
        <v>45443</v>
      </c>
      <c r="J125">
        <v>3232.04</v>
      </c>
    </row>
    <row r="126" spans="9:10" x14ac:dyDescent="0.25">
      <c r="I126" s="1">
        <v>45473</v>
      </c>
      <c r="J126">
        <v>3222.36</v>
      </c>
    </row>
    <row r="127" spans="9:10" x14ac:dyDescent="0.25">
      <c r="I127" s="1">
        <v>45504</v>
      </c>
      <c r="J127">
        <v>3256.37</v>
      </c>
    </row>
    <row r="128" spans="9:10" x14ac:dyDescent="0.25">
      <c r="I128" s="1">
        <v>45535</v>
      </c>
      <c r="J128">
        <v>3288.21</v>
      </c>
    </row>
    <row r="129" spans="9:10" x14ac:dyDescent="0.25">
      <c r="I129" s="1">
        <v>45565</v>
      </c>
      <c r="J129">
        <v>3316.37</v>
      </c>
    </row>
    <row r="130" spans="9:10" x14ac:dyDescent="0.25">
      <c r="I130" s="1">
        <v>45596</v>
      </c>
      <c r="J130">
        <v>3261.05</v>
      </c>
    </row>
    <row r="131" spans="9:10" x14ac:dyDescent="0.25">
      <c r="I131" s="1">
        <v>45626</v>
      </c>
      <c r="J131">
        <v>3265.86</v>
      </c>
    </row>
    <row r="132" spans="9:10" x14ac:dyDescent="0.25">
      <c r="I132" s="1">
        <v>45657</v>
      </c>
      <c r="J132">
        <v>3202.36</v>
      </c>
    </row>
    <row r="133" spans="9:10" x14ac:dyDescent="0.25">
      <c r="I133" s="1">
        <v>45688</v>
      </c>
      <c r="J133">
        <v>3209.04</v>
      </c>
    </row>
    <row r="134" spans="9:10" x14ac:dyDescent="0.25">
      <c r="I134" s="1">
        <v>45716</v>
      </c>
      <c r="J134">
        <v>3227.22</v>
      </c>
    </row>
    <row r="135" spans="9:10" x14ac:dyDescent="0.25">
      <c r="I135" s="1">
        <v>45747</v>
      </c>
      <c r="J135">
        <v>3240.67</v>
      </c>
    </row>
    <row r="136" spans="9:10" x14ac:dyDescent="0.25">
      <c r="I136" s="1">
        <v>45777</v>
      </c>
      <c r="J136">
        <v>3281.66</v>
      </c>
    </row>
    <row r="137" spans="9:10" x14ac:dyDescent="0.25">
      <c r="I137" s="1">
        <v>45808</v>
      </c>
      <c r="J137">
        <v>3285.26</v>
      </c>
    </row>
    <row r="138" spans="9:10" x14ac:dyDescent="0.25">
      <c r="I138" s="1">
        <v>45838</v>
      </c>
      <c r="J138">
        <v>3317.42</v>
      </c>
    </row>
    <row r="139" spans="9:10" x14ac:dyDescent="0.25">
      <c r="I139" s="1">
        <v>45869</v>
      </c>
      <c r="J139">
        <v>3292.24</v>
      </c>
    </row>
    <row r="140" spans="9:10" x14ac:dyDescent="0.25">
      <c r="I140" s="1">
        <v>45900</v>
      </c>
      <c r="J140">
        <v>3322.15</v>
      </c>
    </row>
    <row r="141" spans="9:10" x14ac:dyDescent="0.25">
      <c r="I141" s="1">
        <v>45930</v>
      </c>
      <c r="J141">
        <v>3338.66</v>
      </c>
    </row>
    <row r="142" spans="9:10" x14ac:dyDescent="0.25">
      <c r="I142" s="1">
        <v>45961</v>
      </c>
      <c r="J142">
        <v>3343.34</v>
      </c>
    </row>
    <row r="143" spans="9:10" x14ac:dyDescent="0.25">
      <c r="I143" s="1">
        <v>45991</v>
      </c>
      <c r="J143">
        <v>3346.37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09"/>
  <sheetViews>
    <sheetView workbookViewId="0"/>
  </sheetViews>
  <sheetFormatPr defaultColWidth="8.85546875" defaultRowHeight="15" x14ac:dyDescent="0.25"/>
  <sheetData>
    <row r="1" spans="1:12" x14ac:dyDescent="0.25">
      <c r="A1" s="1">
        <f>_xll.BDH("VIX Index","PX_LAST","20140101","20251231","cols=2;rows=3032")</f>
        <v>41641</v>
      </c>
      <c r="B1">
        <v>14.23</v>
      </c>
      <c r="C1" s="1">
        <f>_xll.BDH("VXEEM Index","PX_LAST","20140101","20251231","cols=2;rows=3005")</f>
        <v>41641</v>
      </c>
      <c r="D1">
        <v>24.55</v>
      </c>
      <c r="E1" s="1">
        <f>_xll.BDH("MOVE Index","PX_LAST","20140101","20251231","cols=2;rows=3033")</f>
        <v>41640</v>
      </c>
      <c r="F1">
        <v>73.546000000000006</v>
      </c>
      <c r="G1" s="1">
        <f>_xll.BDH("OVX Index","PX_LAST","20140101","20251231","cols=2;rows=3009")</f>
        <v>41641</v>
      </c>
      <c r="H1">
        <v>20.239999999999998</v>
      </c>
      <c r="I1" s="1">
        <f>_xll.BDH("GVZ Index","PX_LAST","20140101","20251231","cols=2;rows=3009")</f>
        <v>41641</v>
      </c>
      <c r="J1">
        <v>20.420000000000002</v>
      </c>
      <c r="K1" s="1">
        <f>_xll.BDH("DXY Curncy","PX_LAST","20140101","20251231","cols=2;rows=3109")</f>
        <v>41640</v>
      </c>
      <c r="L1">
        <v>80.108000000000004</v>
      </c>
    </row>
    <row r="2" spans="1:12" x14ac:dyDescent="0.25">
      <c r="A2" s="1">
        <v>41642</v>
      </c>
      <c r="B2">
        <v>13.76</v>
      </c>
      <c r="C2" s="1">
        <v>41642</v>
      </c>
      <c r="D2">
        <v>24.21</v>
      </c>
      <c r="E2" s="1">
        <v>41641</v>
      </c>
      <c r="F2">
        <v>73.398300000000006</v>
      </c>
      <c r="G2" s="1">
        <v>41642</v>
      </c>
      <c r="H2">
        <v>20.6</v>
      </c>
      <c r="I2" s="1">
        <v>41642</v>
      </c>
      <c r="J2">
        <v>19.190000000000001</v>
      </c>
      <c r="K2" s="1">
        <v>41641</v>
      </c>
      <c r="L2">
        <v>80.63</v>
      </c>
    </row>
    <row r="3" spans="1:12" x14ac:dyDescent="0.25">
      <c r="A3" s="1">
        <v>41645</v>
      </c>
      <c r="B3">
        <v>13.55</v>
      </c>
      <c r="C3" s="1">
        <v>41645</v>
      </c>
      <c r="D3">
        <v>24.24</v>
      </c>
      <c r="E3" s="1">
        <v>41642</v>
      </c>
      <c r="F3">
        <v>72.746200000000002</v>
      </c>
      <c r="G3" s="1">
        <v>41645</v>
      </c>
      <c r="H3">
        <v>20.7</v>
      </c>
      <c r="I3" s="1">
        <v>41645</v>
      </c>
      <c r="J3">
        <v>19.5</v>
      </c>
      <c r="K3" s="1">
        <v>41642</v>
      </c>
      <c r="L3">
        <v>80.790999999999997</v>
      </c>
    </row>
    <row r="4" spans="1:12" x14ac:dyDescent="0.25">
      <c r="A4" s="1">
        <v>41646</v>
      </c>
      <c r="B4">
        <v>12.92</v>
      </c>
      <c r="C4" s="1">
        <v>41646</v>
      </c>
      <c r="D4">
        <v>23.01</v>
      </c>
      <c r="E4" s="1">
        <v>41645</v>
      </c>
      <c r="F4">
        <v>69.886200000000002</v>
      </c>
      <c r="G4" s="1">
        <v>41646</v>
      </c>
      <c r="H4">
        <v>19.670000000000002</v>
      </c>
      <c r="I4" s="1">
        <v>41646</v>
      </c>
      <c r="J4">
        <v>19.12</v>
      </c>
      <c r="K4" s="1">
        <v>41645</v>
      </c>
      <c r="L4">
        <v>80.652000000000001</v>
      </c>
    </row>
    <row r="5" spans="1:12" x14ac:dyDescent="0.25">
      <c r="A5" s="1">
        <v>41647</v>
      </c>
      <c r="B5">
        <v>12.87</v>
      </c>
      <c r="C5" s="1">
        <v>41647</v>
      </c>
      <c r="D5">
        <v>23.6</v>
      </c>
      <c r="E5" s="1">
        <v>41646</v>
      </c>
      <c r="F5">
        <v>73.7774</v>
      </c>
      <c r="G5" s="1">
        <v>41647</v>
      </c>
      <c r="H5">
        <v>20.170000000000002</v>
      </c>
      <c r="I5" s="1">
        <v>41647</v>
      </c>
      <c r="J5">
        <v>19.43</v>
      </c>
      <c r="K5" s="1">
        <v>41646</v>
      </c>
      <c r="L5">
        <v>80.832999999999998</v>
      </c>
    </row>
    <row r="6" spans="1:12" x14ac:dyDescent="0.25">
      <c r="A6" s="1">
        <v>41648</v>
      </c>
      <c r="B6">
        <v>12.89</v>
      </c>
      <c r="C6" s="1">
        <v>41648</v>
      </c>
      <c r="D6">
        <v>23.45</v>
      </c>
      <c r="E6" s="1">
        <v>41647</v>
      </c>
      <c r="F6">
        <v>75.284000000000006</v>
      </c>
      <c r="G6" s="1">
        <v>41648</v>
      </c>
      <c r="H6">
        <v>19.510000000000002</v>
      </c>
      <c r="I6" s="1">
        <v>41648</v>
      </c>
      <c r="J6">
        <v>18.46</v>
      </c>
      <c r="K6" s="1">
        <v>41647</v>
      </c>
      <c r="L6">
        <v>81.022000000000006</v>
      </c>
    </row>
    <row r="7" spans="1:12" x14ac:dyDescent="0.25">
      <c r="A7" s="1">
        <v>41649</v>
      </c>
      <c r="B7">
        <v>12.14</v>
      </c>
      <c r="C7" s="1">
        <v>41649</v>
      </c>
      <c r="D7">
        <v>22.1</v>
      </c>
      <c r="E7" s="1">
        <v>41648</v>
      </c>
      <c r="F7">
        <v>73.742599999999996</v>
      </c>
      <c r="G7" s="1">
        <v>41649</v>
      </c>
      <c r="H7">
        <v>19.47</v>
      </c>
      <c r="I7" s="1">
        <v>41649</v>
      </c>
      <c r="J7">
        <v>17.27</v>
      </c>
      <c r="K7" s="1">
        <v>41648</v>
      </c>
      <c r="L7">
        <v>81.004999999999995</v>
      </c>
    </row>
    <row r="8" spans="1:12" x14ac:dyDescent="0.25">
      <c r="A8" s="1">
        <v>41652</v>
      </c>
      <c r="B8">
        <v>13.28</v>
      </c>
      <c r="C8" s="1">
        <v>41652</v>
      </c>
      <c r="D8">
        <v>22.3</v>
      </c>
      <c r="E8" s="1">
        <v>41649</v>
      </c>
      <c r="F8">
        <v>61.181899999999999</v>
      </c>
      <c r="G8" s="1">
        <v>41652</v>
      </c>
      <c r="H8">
        <v>19.75</v>
      </c>
      <c r="I8" s="1">
        <v>41652</v>
      </c>
      <c r="J8">
        <v>16.670000000000002</v>
      </c>
      <c r="K8" s="1">
        <v>41649</v>
      </c>
      <c r="L8">
        <v>80.658000000000001</v>
      </c>
    </row>
    <row r="9" spans="1:12" x14ac:dyDescent="0.25">
      <c r="A9" s="1">
        <v>41653</v>
      </c>
      <c r="B9">
        <v>12.28</v>
      </c>
      <c r="C9" s="1">
        <v>41653</v>
      </c>
      <c r="D9">
        <v>22.25</v>
      </c>
      <c r="E9" s="1">
        <v>41652</v>
      </c>
      <c r="F9">
        <v>58.915599999999998</v>
      </c>
      <c r="G9" s="1">
        <v>41653</v>
      </c>
      <c r="H9">
        <v>19.809999999999999</v>
      </c>
      <c r="I9" s="1">
        <v>41653</v>
      </c>
      <c r="J9">
        <v>16.5</v>
      </c>
      <c r="K9" s="1">
        <v>41652</v>
      </c>
      <c r="L9">
        <v>80.513000000000005</v>
      </c>
    </row>
    <row r="10" spans="1:12" x14ac:dyDescent="0.25">
      <c r="A10" s="1">
        <v>41654</v>
      </c>
      <c r="B10">
        <v>12.28</v>
      </c>
      <c r="C10" s="1">
        <v>41654</v>
      </c>
      <c r="D10">
        <v>20.79</v>
      </c>
      <c r="E10" s="1">
        <v>41653</v>
      </c>
      <c r="F10">
        <v>61.633600000000001</v>
      </c>
      <c r="G10" s="1">
        <v>41654</v>
      </c>
      <c r="H10">
        <v>18.7</v>
      </c>
      <c r="I10" s="1">
        <v>41654</v>
      </c>
      <c r="J10">
        <v>16.43</v>
      </c>
      <c r="K10" s="1">
        <v>41653</v>
      </c>
      <c r="L10">
        <v>80.662000000000006</v>
      </c>
    </row>
    <row r="11" spans="1:12" x14ac:dyDescent="0.25">
      <c r="A11" s="1">
        <v>41655</v>
      </c>
      <c r="B11">
        <v>12.53</v>
      </c>
      <c r="C11" s="1">
        <v>41655</v>
      </c>
      <c r="D11">
        <v>21.93</v>
      </c>
      <c r="E11" s="1">
        <v>41654</v>
      </c>
      <c r="F11">
        <v>60.814900000000002</v>
      </c>
      <c r="G11" s="1">
        <v>41655</v>
      </c>
      <c r="H11">
        <v>17.91</v>
      </c>
      <c r="I11" s="1">
        <v>41655</v>
      </c>
      <c r="J11">
        <v>15.39</v>
      </c>
      <c r="K11" s="1">
        <v>41654</v>
      </c>
      <c r="L11">
        <v>81.027000000000001</v>
      </c>
    </row>
    <row r="12" spans="1:12" x14ac:dyDescent="0.25">
      <c r="A12" s="1">
        <v>41656</v>
      </c>
      <c r="B12">
        <v>12.44</v>
      </c>
      <c r="C12" s="1">
        <v>41656</v>
      </c>
      <c r="D12">
        <v>20.25</v>
      </c>
      <c r="E12" s="1">
        <v>41655</v>
      </c>
      <c r="F12">
        <v>60.799700000000001</v>
      </c>
      <c r="G12" s="1">
        <v>41656</v>
      </c>
      <c r="H12">
        <v>17.12</v>
      </c>
      <c r="I12" s="1">
        <v>41656</v>
      </c>
      <c r="J12">
        <v>14.34</v>
      </c>
      <c r="K12" s="1">
        <v>41655</v>
      </c>
      <c r="L12">
        <v>80.91</v>
      </c>
    </row>
    <row r="13" spans="1:12" x14ac:dyDescent="0.25">
      <c r="A13" s="1">
        <v>41660</v>
      </c>
      <c r="B13">
        <v>12.87</v>
      </c>
      <c r="C13" s="1">
        <v>41660</v>
      </c>
      <c r="D13">
        <v>21.16</v>
      </c>
      <c r="E13" s="1">
        <v>41656</v>
      </c>
      <c r="F13">
        <v>60.2776</v>
      </c>
      <c r="G13" s="1">
        <v>41660</v>
      </c>
      <c r="H13">
        <v>18.260000000000002</v>
      </c>
      <c r="I13" s="1">
        <v>41660</v>
      </c>
      <c r="J13">
        <v>15.97</v>
      </c>
      <c r="K13" s="1">
        <v>41656</v>
      </c>
      <c r="L13">
        <v>81.224999999999994</v>
      </c>
    </row>
    <row r="14" spans="1:12" x14ac:dyDescent="0.25">
      <c r="A14" s="1">
        <v>41661</v>
      </c>
      <c r="B14">
        <v>12.84</v>
      </c>
      <c r="C14" s="1">
        <v>41661</v>
      </c>
      <c r="D14">
        <v>20.399999999999999</v>
      </c>
      <c r="E14" s="1">
        <v>41659</v>
      </c>
      <c r="F14">
        <v>60.2776</v>
      </c>
      <c r="G14" s="1">
        <v>41661</v>
      </c>
      <c r="H14">
        <v>18.170000000000002</v>
      </c>
      <c r="I14" s="1">
        <v>41661</v>
      </c>
      <c r="J14">
        <v>15.62</v>
      </c>
      <c r="K14" s="1">
        <v>41659</v>
      </c>
      <c r="L14">
        <v>81.224999999999994</v>
      </c>
    </row>
    <row r="15" spans="1:12" x14ac:dyDescent="0.25">
      <c r="A15" s="1">
        <v>41662</v>
      </c>
      <c r="B15">
        <v>13.77</v>
      </c>
      <c r="C15" s="1">
        <v>41662</v>
      </c>
      <c r="D15">
        <v>23.31</v>
      </c>
      <c r="E15" s="1">
        <v>41660</v>
      </c>
      <c r="F15">
        <v>59.546700000000001</v>
      </c>
      <c r="G15" s="1">
        <v>41662</v>
      </c>
      <c r="H15">
        <v>18.79</v>
      </c>
      <c r="I15" s="1">
        <v>41662</v>
      </c>
      <c r="J15">
        <v>16.010000000000002</v>
      </c>
      <c r="K15" s="1">
        <v>41660</v>
      </c>
      <c r="L15">
        <v>81.097999999999999</v>
      </c>
    </row>
    <row r="16" spans="1:12" x14ac:dyDescent="0.25">
      <c r="A16" s="1">
        <v>41663</v>
      </c>
      <c r="B16">
        <v>18.14</v>
      </c>
      <c r="C16" s="1">
        <v>41663</v>
      </c>
      <c r="D16">
        <v>28.26</v>
      </c>
      <c r="E16" s="1">
        <v>41661</v>
      </c>
      <c r="F16">
        <v>60.521500000000003</v>
      </c>
      <c r="G16" s="1">
        <v>41663</v>
      </c>
      <c r="H16">
        <v>19.46</v>
      </c>
      <c r="I16" s="1">
        <v>41663</v>
      </c>
      <c r="J16">
        <v>17.54</v>
      </c>
      <c r="K16" s="1">
        <v>41661</v>
      </c>
      <c r="L16">
        <v>81.167000000000002</v>
      </c>
    </row>
    <row r="17" spans="1:12" x14ac:dyDescent="0.25">
      <c r="A17" s="1">
        <v>41666</v>
      </c>
      <c r="B17">
        <v>17.420000000000002</v>
      </c>
      <c r="C17" s="1">
        <v>41666</v>
      </c>
      <c r="D17">
        <v>29.43</v>
      </c>
      <c r="E17" s="1">
        <v>41662</v>
      </c>
      <c r="F17">
        <v>62.217700000000001</v>
      </c>
      <c r="G17" s="1">
        <v>41666</v>
      </c>
      <c r="H17">
        <v>20.89</v>
      </c>
      <c r="I17" s="1">
        <v>41666</v>
      </c>
      <c r="J17">
        <v>18.38</v>
      </c>
      <c r="K17" s="1">
        <v>41662</v>
      </c>
      <c r="L17">
        <v>80.438000000000002</v>
      </c>
    </row>
    <row r="18" spans="1:12" x14ac:dyDescent="0.25">
      <c r="A18" s="1">
        <v>41667</v>
      </c>
      <c r="B18">
        <v>15.8</v>
      </c>
      <c r="C18" s="1">
        <v>41667</v>
      </c>
      <c r="D18">
        <v>29.51</v>
      </c>
      <c r="E18" s="1">
        <v>41663</v>
      </c>
      <c r="F18">
        <v>63.507599999999996</v>
      </c>
      <c r="G18" s="1">
        <v>41667</v>
      </c>
      <c r="H18">
        <v>20.83</v>
      </c>
      <c r="I18" s="1">
        <v>41667</v>
      </c>
      <c r="J18">
        <v>18.71</v>
      </c>
      <c r="K18" s="1">
        <v>41663</v>
      </c>
      <c r="L18">
        <v>80.457999999999998</v>
      </c>
    </row>
    <row r="19" spans="1:12" x14ac:dyDescent="0.25">
      <c r="A19" s="1">
        <v>41668</v>
      </c>
      <c r="B19">
        <v>17.350000000000001</v>
      </c>
      <c r="C19" s="1">
        <v>41668</v>
      </c>
      <c r="D19">
        <v>30.92</v>
      </c>
      <c r="E19" s="1">
        <v>41666</v>
      </c>
      <c r="F19">
        <v>64.205299999999994</v>
      </c>
      <c r="G19" s="1">
        <v>41668</v>
      </c>
      <c r="H19">
        <v>20.81</v>
      </c>
      <c r="I19" s="1">
        <v>41668</v>
      </c>
      <c r="J19">
        <v>17.45</v>
      </c>
      <c r="K19" s="1">
        <v>41666</v>
      </c>
      <c r="L19">
        <v>80.524000000000001</v>
      </c>
    </row>
    <row r="20" spans="1:12" x14ac:dyDescent="0.25">
      <c r="A20" s="1">
        <v>41669</v>
      </c>
      <c r="B20">
        <v>17.29</v>
      </c>
      <c r="C20" s="1">
        <v>41669</v>
      </c>
      <c r="D20">
        <v>28.38</v>
      </c>
      <c r="E20" s="1">
        <v>41667</v>
      </c>
      <c r="F20">
        <v>64.518299999999996</v>
      </c>
      <c r="G20" s="1">
        <v>41669</v>
      </c>
      <c r="H20">
        <v>19.760000000000002</v>
      </c>
      <c r="I20" s="1">
        <v>41669</v>
      </c>
      <c r="J20">
        <v>17.97</v>
      </c>
      <c r="K20" s="1">
        <v>41667</v>
      </c>
      <c r="L20">
        <v>80.567999999999998</v>
      </c>
    </row>
    <row r="21" spans="1:12" x14ac:dyDescent="0.25">
      <c r="A21" s="1">
        <v>41670</v>
      </c>
      <c r="B21">
        <v>18.41</v>
      </c>
      <c r="C21" s="1">
        <v>41670</v>
      </c>
      <c r="D21">
        <v>28.9</v>
      </c>
      <c r="E21" s="1">
        <v>41668</v>
      </c>
      <c r="F21">
        <v>64.549400000000006</v>
      </c>
      <c r="G21" s="1">
        <v>41670</v>
      </c>
      <c r="H21">
        <v>20.350000000000001</v>
      </c>
      <c r="I21" s="1">
        <v>41670</v>
      </c>
      <c r="J21">
        <v>18.62</v>
      </c>
      <c r="K21" s="1">
        <v>41668</v>
      </c>
      <c r="L21">
        <v>80.504999999999995</v>
      </c>
    </row>
    <row r="22" spans="1:12" x14ac:dyDescent="0.25">
      <c r="A22" s="1">
        <v>41673</v>
      </c>
      <c r="B22">
        <v>21.44</v>
      </c>
      <c r="C22" s="1">
        <v>41673</v>
      </c>
      <c r="D22">
        <v>31.16</v>
      </c>
      <c r="E22" s="1">
        <v>41669</v>
      </c>
      <c r="F22">
        <v>64.855599999999995</v>
      </c>
      <c r="G22" s="1">
        <v>41673</v>
      </c>
      <c r="H22">
        <v>21.65</v>
      </c>
      <c r="I22" s="1">
        <v>41673</v>
      </c>
      <c r="J22">
        <v>19.149999999999999</v>
      </c>
      <c r="K22" s="1">
        <v>41669</v>
      </c>
      <c r="L22">
        <v>81.084999999999994</v>
      </c>
    </row>
    <row r="23" spans="1:12" x14ac:dyDescent="0.25">
      <c r="A23" s="1">
        <v>41674</v>
      </c>
      <c r="B23">
        <v>19.11</v>
      </c>
      <c r="C23" s="1">
        <v>41674</v>
      </c>
      <c r="D23">
        <v>29.13</v>
      </c>
      <c r="E23" s="1">
        <v>41670</v>
      </c>
      <c r="F23">
        <v>64.724999999999994</v>
      </c>
      <c r="G23" s="1">
        <v>41674</v>
      </c>
      <c r="H23">
        <v>21.47</v>
      </c>
      <c r="I23" s="1">
        <v>41674</v>
      </c>
      <c r="J23">
        <v>18.510000000000002</v>
      </c>
      <c r="K23" s="1">
        <v>41670</v>
      </c>
      <c r="L23">
        <v>81.311000000000007</v>
      </c>
    </row>
    <row r="24" spans="1:12" x14ac:dyDescent="0.25">
      <c r="A24" s="1">
        <v>41675</v>
      </c>
      <c r="B24">
        <v>19.95</v>
      </c>
      <c r="C24" s="1">
        <v>41675</v>
      </c>
      <c r="D24">
        <v>29.23</v>
      </c>
      <c r="E24" s="1">
        <v>41673</v>
      </c>
      <c r="F24">
        <v>65.798900000000003</v>
      </c>
      <c r="G24" s="1">
        <v>41675</v>
      </c>
      <c r="H24">
        <v>20.65</v>
      </c>
      <c r="I24" s="1">
        <v>41675</v>
      </c>
      <c r="J24">
        <v>18.52</v>
      </c>
      <c r="K24" s="1">
        <v>41673</v>
      </c>
      <c r="L24">
        <v>81.009</v>
      </c>
    </row>
    <row r="25" spans="1:12" x14ac:dyDescent="0.25">
      <c r="A25" s="1">
        <v>41676</v>
      </c>
      <c r="B25">
        <v>17.23</v>
      </c>
      <c r="C25" s="1">
        <v>41676</v>
      </c>
      <c r="D25">
        <v>27.26</v>
      </c>
      <c r="E25" s="1">
        <v>41674</v>
      </c>
      <c r="F25">
        <v>66.7971</v>
      </c>
      <c r="G25" s="1">
        <v>41676</v>
      </c>
      <c r="H25">
        <v>19.649999999999999</v>
      </c>
      <c r="I25" s="1">
        <v>41676</v>
      </c>
      <c r="J25">
        <v>17.93</v>
      </c>
      <c r="K25" s="1">
        <v>41674</v>
      </c>
      <c r="L25">
        <v>81.120999999999995</v>
      </c>
    </row>
    <row r="26" spans="1:12" x14ac:dyDescent="0.25">
      <c r="A26" s="1">
        <v>41677</v>
      </c>
      <c r="B26">
        <v>15.29</v>
      </c>
      <c r="C26" s="1">
        <v>41677</v>
      </c>
      <c r="D26">
        <v>26.47</v>
      </c>
      <c r="E26" s="1">
        <v>41675</v>
      </c>
      <c r="F26">
        <v>67.261300000000006</v>
      </c>
      <c r="G26" s="1">
        <v>41677</v>
      </c>
      <c r="H26">
        <v>19.03</v>
      </c>
      <c r="I26" s="1">
        <v>41677</v>
      </c>
      <c r="J26">
        <v>16.59</v>
      </c>
      <c r="K26" s="1">
        <v>41675</v>
      </c>
      <c r="L26">
        <v>81.036000000000001</v>
      </c>
    </row>
    <row r="27" spans="1:12" x14ac:dyDescent="0.25">
      <c r="A27" s="1">
        <v>41680</v>
      </c>
      <c r="B27">
        <v>15.26</v>
      </c>
      <c r="C27" s="1">
        <v>41680</v>
      </c>
      <c r="D27">
        <v>26.5</v>
      </c>
      <c r="E27" s="1">
        <v>41676</v>
      </c>
      <c r="F27">
        <v>67.183599999999998</v>
      </c>
      <c r="G27" s="1">
        <v>41680</v>
      </c>
      <c r="H27">
        <v>19.18</v>
      </c>
      <c r="I27" s="1">
        <v>41680</v>
      </c>
      <c r="J27">
        <v>17.079999999999998</v>
      </c>
      <c r="K27" s="1">
        <v>41676</v>
      </c>
      <c r="L27">
        <v>80.906000000000006</v>
      </c>
    </row>
    <row r="28" spans="1:12" x14ac:dyDescent="0.25">
      <c r="A28" s="1">
        <v>41681</v>
      </c>
      <c r="B28">
        <v>14.51</v>
      </c>
      <c r="C28" s="1">
        <v>41681</v>
      </c>
      <c r="D28">
        <v>25.13</v>
      </c>
      <c r="E28" s="1">
        <v>41677</v>
      </c>
      <c r="F28">
        <v>64.749799999999993</v>
      </c>
      <c r="G28" s="1">
        <v>41681</v>
      </c>
      <c r="H28">
        <v>19.05</v>
      </c>
      <c r="I28" s="1">
        <v>41681</v>
      </c>
      <c r="J28">
        <v>16.809999999999999</v>
      </c>
      <c r="K28" s="1">
        <v>41677</v>
      </c>
      <c r="L28">
        <v>80.691000000000003</v>
      </c>
    </row>
    <row r="29" spans="1:12" x14ac:dyDescent="0.25">
      <c r="A29" s="1">
        <v>41682</v>
      </c>
      <c r="B29">
        <v>14.3</v>
      </c>
      <c r="C29" s="1">
        <v>41682</v>
      </c>
      <c r="D29">
        <v>25.54</v>
      </c>
      <c r="E29" s="1">
        <v>41680</v>
      </c>
      <c r="F29">
        <v>62.260800000000003</v>
      </c>
      <c r="G29" s="1">
        <v>41682</v>
      </c>
      <c r="H29">
        <v>19.23</v>
      </c>
      <c r="I29" s="1">
        <v>41682</v>
      </c>
      <c r="J29">
        <v>16.23</v>
      </c>
      <c r="K29" s="1">
        <v>41680</v>
      </c>
      <c r="L29">
        <v>80.641999999999996</v>
      </c>
    </row>
    <row r="30" spans="1:12" x14ac:dyDescent="0.25">
      <c r="A30" s="1">
        <v>41683</v>
      </c>
      <c r="B30">
        <v>14.14</v>
      </c>
      <c r="C30" s="1">
        <v>41683</v>
      </c>
      <c r="D30">
        <v>24.6</v>
      </c>
      <c r="E30" s="1">
        <v>41681</v>
      </c>
      <c r="F30">
        <v>61.493600000000001</v>
      </c>
      <c r="G30" s="1">
        <v>41683</v>
      </c>
      <c r="H30">
        <v>19</v>
      </c>
      <c r="I30" s="1">
        <v>41683</v>
      </c>
      <c r="J30">
        <v>16.13</v>
      </c>
      <c r="K30" s="1">
        <v>41681</v>
      </c>
      <c r="L30">
        <v>80.638000000000005</v>
      </c>
    </row>
    <row r="31" spans="1:12" x14ac:dyDescent="0.25">
      <c r="A31" s="1">
        <v>41684</v>
      </c>
      <c r="B31">
        <v>13.57</v>
      </c>
      <c r="C31" s="1">
        <v>41684</v>
      </c>
      <c r="D31">
        <v>23.97</v>
      </c>
      <c r="E31" s="1">
        <v>41682</v>
      </c>
      <c r="F31">
        <v>61.002299999999998</v>
      </c>
      <c r="G31" s="1">
        <v>41684</v>
      </c>
      <c r="H31">
        <v>17.95</v>
      </c>
      <c r="I31" s="1">
        <v>41684</v>
      </c>
      <c r="J31">
        <v>16.260000000000002</v>
      </c>
      <c r="K31" s="1">
        <v>41682</v>
      </c>
      <c r="L31">
        <v>80.679000000000002</v>
      </c>
    </row>
    <row r="32" spans="1:12" x14ac:dyDescent="0.25">
      <c r="A32" s="1">
        <v>41688</v>
      </c>
      <c r="B32">
        <v>13.87</v>
      </c>
      <c r="C32" s="1">
        <v>41688</v>
      </c>
      <c r="D32">
        <v>25.29</v>
      </c>
      <c r="E32" s="1">
        <v>41683</v>
      </c>
      <c r="F32">
        <v>58.086599999999997</v>
      </c>
      <c r="G32" s="1">
        <v>41688</v>
      </c>
      <c r="H32">
        <v>18.43</v>
      </c>
      <c r="I32" s="1">
        <v>41688</v>
      </c>
      <c r="J32">
        <v>16.28</v>
      </c>
      <c r="K32" s="1">
        <v>41683</v>
      </c>
      <c r="L32">
        <v>80.322999999999993</v>
      </c>
    </row>
    <row r="33" spans="1:12" x14ac:dyDescent="0.25">
      <c r="A33" s="1">
        <v>41689</v>
      </c>
      <c r="B33">
        <v>15.5</v>
      </c>
      <c r="C33" s="1">
        <v>41689</v>
      </c>
      <c r="D33">
        <v>25.22</v>
      </c>
      <c r="E33" s="1">
        <v>41684</v>
      </c>
      <c r="F33">
        <v>57.294899999999998</v>
      </c>
      <c r="G33" s="1">
        <v>41689</v>
      </c>
      <c r="H33">
        <v>18.350000000000001</v>
      </c>
      <c r="I33" s="1">
        <v>41689</v>
      </c>
      <c r="J33">
        <v>16.48</v>
      </c>
      <c r="K33" s="1">
        <v>41684</v>
      </c>
      <c r="L33">
        <v>80.135999999999996</v>
      </c>
    </row>
    <row r="34" spans="1:12" x14ac:dyDescent="0.25">
      <c r="A34" s="1">
        <v>41690</v>
      </c>
      <c r="B34">
        <v>14.79</v>
      </c>
      <c r="C34" s="1">
        <v>41690</v>
      </c>
      <c r="D34">
        <v>24.25</v>
      </c>
      <c r="E34" s="1">
        <v>41687</v>
      </c>
      <c r="F34">
        <v>57.294899999999998</v>
      </c>
      <c r="G34" s="1">
        <v>41690</v>
      </c>
      <c r="H34">
        <v>17.59</v>
      </c>
      <c r="I34" s="1">
        <v>41690</v>
      </c>
      <c r="J34">
        <v>16.07</v>
      </c>
      <c r="K34" s="1">
        <v>41687</v>
      </c>
      <c r="L34">
        <v>80.135999999999996</v>
      </c>
    </row>
    <row r="35" spans="1:12" x14ac:dyDescent="0.25">
      <c r="A35" s="1">
        <v>41691</v>
      </c>
      <c r="B35">
        <v>14.68</v>
      </c>
      <c r="C35" s="1">
        <v>41691</v>
      </c>
      <c r="D35">
        <v>23.45</v>
      </c>
      <c r="E35" s="1">
        <v>41688</v>
      </c>
      <c r="F35">
        <v>55.9861</v>
      </c>
      <c r="G35" s="1">
        <v>41691</v>
      </c>
      <c r="H35">
        <v>17.899999999999999</v>
      </c>
      <c r="I35" s="1">
        <v>41691</v>
      </c>
      <c r="J35">
        <v>15.73</v>
      </c>
      <c r="K35" s="1">
        <v>41688</v>
      </c>
      <c r="L35">
        <v>80.007999999999996</v>
      </c>
    </row>
    <row r="36" spans="1:12" x14ac:dyDescent="0.25">
      <c r="A36" s="1">
        <v>41694</v>
      </c>
      <c r="B36">
        <v>14.23</v>
      </c>
      <c r="C36" s="1">
        <v>41694</v>
      </c>
      <c r="D36">
        <v>23.24</v>
      </c>
      <c r="E36" s="1">
        <v>41689</v>
      </c>
      <c r="F36">
        <v>57.279400000000003</v>
      </c>
      <c r="G36" s="1">
        <v>41694</v>
      </c>
      <c r="H36">
        <v>18.16</v>
      </c>
      <c r="I36" s="1">
        <v>41694</v>
      </c>
      <c r="J36">
        <v>15.94</v>
      </c>
      <c r="K36" s="1">
        <v>41689</v>
      </c>
      <c r="L36">
        <v>80.144000000000005</v>
      </c>
    </row>
    <row r="37" spans="1:12" x14ac:dyDescent="0.25">
      <c r="A37" s="1">
        <v>41695</v>
      </c>
      <c r="B37">
        <v>13.67</v>
      </c>
      <c r="C37" s="1">
        <v>41695</v>
      </c>
      <c r="D37">
        <v>23.8</v>
      </c>
      <c r="E37" s="1">
        <v>41690</v>
      </c>
      <c r="F37">
        <v>58.7042</v>
      </c>
      <c r="G37" s="1">
        <v>41695</v>
      </c>
      <c r="H37">
        <v>18.47</v>
      </c>
      <c r="I37" s="1">
        <v>41695</v>
      </c>
      <c r="J37">
        <v>15.86</v>
      </c>
      <c r="K37" s="1">
        <v>41690</v>
      </c>
      <c r="L37">
        <v>80.286000000000001</v>
      </c>
    </row>
    <row r="38" spans="1:12" x14ac:dyDescent="0.25">
      <c r="A38" s="1">
        <v>41696</v>
      </c>
      <c r="B38">
        <v>14.35</v>
      </c>
      <c r="C38" s="1">
        <v>41696</v>
      </c>
      <c r="D38">
        <v>23.9</v>
      </c>
      <c r="E38" s="1">
        <v>41691</v>
      </c>
      <c r="F38">
        <v>58.383899999999997</v>
      </c>
      <c r="G38" s="1">
        <v>41696</v>
      </c>
      <c r="H38">
        <v>18.48</v>
      </c>
      <c r="I38" s="1">
        <v>41696</v>
      </c>
      <c r="J38">
        <v>16.46</v>
      </c>
      <c r="K38" s="1">
        <v>41691</v>
      </c>
      <c r="L38">
        <v>80.236999999999995</v>
      </c>
    </row>
    <row r="39" spans="1:12" x14ac:dyDescent="0.25">
      <c r="A39" s="1">
        <v>41697</v>
      </c>
      <c r="B39">
        <v>14.04</v>
      </c>
      <c r="C39" s="1">
        <v>41697</v>
      </c>
      <c r="D39">
        <v>23.44</v>
      </c>
      <c r="E39" s="1">
        <v>41694</v>
      </c>
      <c r="F39">
        <v>57.360900000000001</v>
      </c>
      <c r="G39" s="1">
        <v>41697</v>
      </c>
      <c r="H39">
        <v>18.809999999999999</v>
      </c>
      <c r="I39" s="1">
        <v>41697</v>
      </c>
      <c r="J39">
        <v>15.75</v>
      </c>
      <c r="K39" s="1">
        <v>41694</v>
      </c>
      <c r="L39">
        <v>80.198999999999998</v>
      </c>
    </row>
    <row r="40" spans="1:12" x14ac:dyDescent="0.25">
      <c r="A40" s="1">
        <v>41698</v>
      </c>
      <c r="B40">
        <v>14</v>
      </c>
      <c r="C40" s="1">
        <v>41698</v>
      </c>
      <c r="D40">
        <v>25.04</v>
      </c>
      <c r="E40" s="1">
        <v>41695</v>
      </c>
      <c r="F40">
        <v>56.795999999999999</v>
      </c>
      <c r="G40" s="1">
        <v>41698</v>
      </c>
      <c r="H40">
        <v>18.71</v>
      </c>
      <c r="I40" s="1">
        <v>41698</v>
      </c>
      <c r="J40">
        <v>16.07</v>
      </c>
      <c r="K40" s="1">
        <v>41695</v>
      </c>
      <c r="L40">
        <v>80.137</v>
      </c>
    </row>
    <row r="41" spans="1:12" x14ac:dyDescent="0.25">
      <c r="A41" s="1">
        <v>41701</v>
      </c>
      <c r="B41">
        <v>16</v>
      </c>
      <c r="C41" s="1">
        <v>41701</v>
      </c>
      <c r="D41">
        <v>27.98</v>
      </c>
      <c r="E41" s="1">
        <v>41696</v>
      </c>
      <c r="F41">
        <v>57.794899999999998</v>
      </c>
      <c r="G41" s="1">
        <v>41701</v>
      </c>
      <c r="H41">
        <v>20.9</v>
      </c>
      <c r="I41" s="1">
        <v>41701</v>
      </c>
      <c r="J41">
        <v>17.05</v>
      </c>
      <c r="K41" s="1">
        <v>41696</v>
      </c>
      <c r="L41">
        <v>80.429000000000002</v>
      </c>
    </row>
    <row r="42" spans="1:12" x14ac:dyDescent="0.25">
      <c r="A42" s="1">
        <v>41702</v>
      </c>
      <c r="B42">
        <v>14.1</v>
      </c>
      <c r="C42" s="1">
        <v>41702</v>
      </c>
      <c r="D42">
        <v>24.81</v>
      </c>
      <c r="E42" s="1">
        <v>41697</v>
      </c>
      <c r="F42">
        <v>58.137300000000003</v>
      </c>
      <c r="G42" s="1">
        <v>41702</v>
      </c>
      <c r="H42">
        <v>19.88</v>
      </c>
      <c r="I42" s="1">
        <v>41702</v>
      </c>
      <c r="J42">
        <v>16.75</v>
      </c>
      <c r="K42" s="1">
        <v>41697</v>
      </c>
      <c r="L42">
        <v>80.284999999999997</v>
      </c>
    </row>
    <row r="43" spans="1:12" x14ac:dyDescent="0.25">
      <c r="A43" s="1">
        <v>41703</v>
      </c>
      <c r="B43">
        <v>13.89</v>
      </c>
      <c r="C43" s="1">
        <v>41703</v>
      </c>
      <c r="D43">
        <v>24.25</v>
      </c>
      <c r="E43" s="1">
        <v>41698</v>
      </c>
      <c r="F43">
        <v>57.662799999999997</v>
      </c>
      <c r="G43" s="1">
        <v>41703</v>
      </c>
      <c r="H43">
        <v>20.29</v>
      </c>
      <c r="I43" s="1">
        <v>41703</v>
      </c>
      <c r="J43">
        <v>16.579999999999998</v>
      </c>
      <c r="K43" s="1">
        <v>41698</v>
      </c>
      <c r="L43">
        <v>79.691000000000003</v>
      </c>
    </row>
    <row r="44" spans="1:12" x14ac:dyDescent="0.25">
      <c r="A44" s="1">
        <v>41704</v>
      </c>
      <c r="B44">
        <v>14.21</v>
      </c>
      <c r="C44" s="1">
        <v>41704</v>
      </c>
      <c r="D44">
        <v>24.42</v>
      </c>
      <c r="E44" s="1">
        <v>41701</v>
      </c>
      <c r="F44">
        <v>57.753999999999998</v>
      </c>
      <c r="G44" s="1">
        <v>41704</v>
      </c>
      <c r="H44">
        <v>19.96</v>
      </c>
      <c r="I44" s="1">
        <v>41704</v>
      </c>
      <c r="J44">
        <v>16.309999999999999</v>
      </c>
      <c r="K44" s="1">
        <v>41701</v>
      </c>
      <c r="L44">
        <v>80.076999999999998</v>
      </c>
    </row>
    <row r="45" spans="1:12" x14ac:dyDescent="0.25">
      <c r="A45" s="1">
        <v>41705</v>
      </c>
      <c r="B45">
        <v>14.11</v>
      </c>
      <c r="C45" s="1">
        <v>41705</v>
      </c>
      <c r="D45">
        <v>25.65</v>
      </c>
      <c r="E45" s="1">
        <v>41702</v>
      </c>
      <c r="F45">
        <v>63.156199999999998</v>
      </c>
      <c r="G45" s="1">
        <v>41705</v>
      </c>
      <c r="H45">
        <v>20.010000000000002</v>
      </c>
      <c r="I45" s="1">
        <v>41705</v>
      </c>
      <c r="J45">
        <v>15.82</v>
      </c>
      <c r="K45" s="1">
        <v>41702</v>
      </c>
      <c r="L45">
        <v>80.168000000000006</v>
      </c>
    </row>
    <row r="46" spans="1:12" x14ac:dyDescent="0.25">
      <c r="A46" s="1">
        <v>41708</v>
      </c>
      <c r="B46">
        <v>14.2</v>
      </c>
      <c r="C46" s="1">
        <v>41708</v>
      </c>
      <c r="D46">
        <v>26.02</v>
      </c>
      <c r="E46" s="1">
        <v>41703</v>
      </c>
      <c r="F46">
        <v>60.808199999999999</v>
      </c>
      <c r="G46" s="1">
        <v>41708</v>
      </c>
      <c r="H46">
        <v>20.329999999999998</v>
      </c>
      <c r="I46" s="1">
        <v>41708</v>
      </c>
      <c r="J46">
        <v>15.83</v>
      </c>
      <c r="K46" s="1">
        <v>41703</v>
      </c>
      <c r="L46">
        <v>80.108999999999995</v>
      </c>
    </row>
    <row r="47" spans="1:12" x14ac:dyDescent="0.25">
      <c r="A47" s="1">
        <v>41709</v>
      </c>
      <c r="B47">
        <v>14.8</v>
      </c>
      <c r="C47" s="1">
        <v>41709</v>
      </c>
      <c r="D47">
        <v>26.11</v>
      </c>
      <c r="E47" s="1">
        <v>41704</v>
      </c>
      <c r="F47">
        <v>60.9756</v>
      </c>
      <c r="G47" s="1">
        <v>41709</v>
      </c>
      <c r="H47">
        <v>20.67</v>
      </c>
      <c r="I47" s="1">
        <v>41709</v>
      </c>
      <c r="J47">
        <v>16.14</v>
      </c>
      <c r="K47" s="1">
        <v>41704</v>
      </c>
      <c r="L47">
        <v>79.662999999999997</v>
      </c>
    </row>
    <row r="48" spans="1:12" x14ac:dyDescent="0.25">
      <c r="A48" s="1">
        <v>41710</v>
      </c>
      <c r="B48">
        <v>14.47</v>
      </c>
      <c r="C48" s="1">
        <v>41710</v>
      </c>
      <c r="D48">
        <v>25.45</v>
      </c>
      <c r="E48" s="1">
        <v>41705</v>
      </c>
      <c r="F48">
        <v>58.157299999999999</v>
      </c>
      <c r="G48" s="1">
        <v>41710</v>
      </c>
      <c r="H48">
        <v>20.9</v>
      </c>
      <c r="I48" s="1">
        <v>41710</v>
      </c>
      <c r="J48">
        <v>16.670000000000002</v>
      </c>
      <c r="K48" s="1">
        <v>41705</v>
      </c>
      <c r="L48">
        <v>79.718999999999994</v>
      </c>
    </row>
    <row r="49" spans="1:12" x14ac:dyDescent="0.25">
      <c r="A49" s="1">
        <v>41711</v>
      </c>
      <c r="B49">
        <v>16.22</v>
      </c>
      <c r="C49" s="1">
        <v>41711</v>
      </c>
      <c r="D49">
        <v>27.29</v>
      </c>
      <c r="E49" s="1">
        <v>41708</v>
      </c>
      <c r="F49">
        <v>55.678800000000003</v>
      </c>
      <c r="G49" s="1">
        <v>41711</v>
      </c>
      <c r="H49">
        <v>20.83</v>
      </c>
      <c r="I49" s="1">
        <v>41711</v>
      </c>
      <c r="J49">
        <v>17.3</v>
      </c>
      <c r="K49" s="1">
        <v>41708</v>
      </c>
      <c r="L49">
        <v>79.768000000000001</v>
      </c>
    </row>
    <row r="50" spans="1:12" x14ac:dyDescent="0.25">
      <c r="A50" s="1">
        <v>41712</v>
      </c>
      <c r="B50">
        <v>17.82</v>
      </c>
      <c r="C50" s="1">
        <v>41712</v>
      </c>
      <c r="D50">
        <v>28.06</v>
      </c>
      <c r="E50" s="1">
        <v>41709</v>
      </c>
      <c r="F50">
        <v>55.513599999999997</v>
      </c>
      <c r="G50" s="1">
        <v>41712</v>
      </c>
      <c r="H50">
        <v>21.7</v>
      </c>
      <c r="I50" s="1">
        <v>41712</v>
      </c>
      <c r="J50">
        <v>18.32</v>
      </c>
      <c r="K50" s="1">
        <v>41709</v>
      </c>
      <c r="L50">
        <v>79.736000000000004</v>
      </c>
    </row>
    <row r="51" spans="1:12" x14ac:dyDescent="0.25">
      <c r="A51" s="1">
        <v>41715</v>
      </c>
      <c r="B51">
        <v>15.64</v>
      </c>
      <c r="C51" s="1">
        <v>41715</v>
      </c>
      <c r="D51">
        <v>26.5</v>
      </c>
      <c r="E51" s="1">
        <v>41710</v>
      </c>
      <c r="F51">
        <v>55.074399999999997</v>
      </c>
      <c r="G51" s="1">
        <v>41715</v>
      </c>
      <c r="H51">
        <v>20.34</v>
      </c>
      <c r="I51" s="1">
        <v>41715</v>
      </c>
      <c r="J51">
        <v>17.87</v>
      </c>
      <c r="K51" s="1">
        <v>41710</v>
      </c>
      <c r="L51">
        <v>79.608000000000004</v>
      </c>
    </row>
    <row r="52" spans="1:12" x14ac:dyDescent="0.25">
      <c r="A52" s="1">
        <v>41716</v>
      </c>
      <c r="B52">
        <v>14.52</v>
      </c>
      <c r="C52" s="1">
        <v>41716</v>
      </c>
      <c r="D52">
        <v>24.37</v>
      </c>
      <c r="E52" s="1">
        <v>41711</v>
      </c>
      <c r="F52">
        <v>57.480200000000004</v>
      </c>
      <c r="G52" s="1">
        <v>41716</v>
      </c>
      <c r="H52">
        <v>20.25</v>
      </c>
      <c r="I52" s="1">
        <v>41716</v>
      </c>
      <c r="J52">
        <v>17.37</v>
      </c>
      <c r="K52" s="1">
        <v>41711</v>
      </c>
      <c r="L52">
        <v>79.62</v>
      </c>
    </row>
    <row r="53" spans="1:12" x14ac:dyDescent="0.25">
      <c r="A53" s="1">
        <v>41717</v>
      </c>
      <c r="B53">
        <v>15.12</v>
      </c>
      <c r="C53" s="1">
        <v>41717</v>
      </c>
      <c r="D53">
        <v>25.03</v>
      </c>
      <c r="E53" s="1">
        <v>41712</v>
      </c>
      <c r="F53">
        <v>62.835900000000002</v>
      </c>
      <c r="G53" s="1">
        <v>41717</v>
      </c>
      <c r="H53">
        <v>19.88</v>
      </c>
      <c r="I53" s="1">
        <v>41717</v>
      </c>
      <c r="J53">
        <v>17.59</v>
      </c>
      <c r="K53" s="1">
        <v>41712</v>
      </c>
      <c r="L53">
        <v>79.445999999999998</v>
      </c>
    </row>
    <row r="54" spans="1:12" x14ac:dyDescent="0.25">
      <c r="A54" s="1">
        <v>41718</v>
      </c>
      <c r="B54">
        <v>14.52</v>
      </c>
      <c r="C54" s="1">
        <v>41718</v>
      </c>
      <c r="D54">
        <v>23.53</v>
      </c>
      <c r="E54" s="1">
        <v>41715</v>
      </c>
      <c r="F54">
        <v>61.834800000000001</v>
      </c>
      <c r="G54" s="1">
        <v>41718</v>
      </c>
      <c r="H54">
        <v>19.690000000000001</v>
      </c>
      <c r="I54" s="1">
        <v>41718</v>
      </c>
      <c r="J54">
        <v>16.91</v>
      </c>
      <c r="K54" s="1">
        <v>41715</v>
      </c>
      <c r="L54">
        <v>79.385000000000005</v>
      </c>
    </row>
    <row r="55" spans="1:12" x14ac:dyDescent="0.25">
      <c r="A55" s="1">
        <v>41719</v>
      </c>
      <c r="B55">
        <v>15</v>
      </c>
      <c r="C55" s="1">
        <v>41719</v>
      </c>
      <c r="D55">
        <v>24.51</v>
      </c>
      <c r="E55" s="1">
        <v>41716</v>
      </c>
      <c r="F55">
        <v>59.207599999999999</v>
      </c>
      <c r="G55" s="1">
        <v>41719</v>
      </c>
      <c r="H55">
        <v>19.46</v>
      </c>
      <c r="I55" s="1">
        <v>41719</v>
      </c>
      <c r="J55">
        <v>16.43</v>
      </c>
      <c r="K55" s="1">
        <v>41716</v>
      </c>
      <c r="L55">
        <v>79.414000000000001</v>
      </c>
    </row>
    <row r="56" spans="1:12" x14ac:dyDescent="0.25">
      <c r="A56" s="1">
        <v>41722</v>
      </c>
      <c r="B56">
        <v>15.09</v>
      </c>
      <c r="C56" s="1">
        <v>41722</v>
      </c>
      <c r="D56">
        <v>24.5</v>
      </c>
      <c r="E56" s="1">
        <v>41717</v>
      </c>
      <c r="F56">
        <v>65.616100000000003</v>
      </c>
      <c r="G56" s="1">
        <v>41722</v>
      </c>
      <c r="H56">
        <v>19.52</v>
      </c>
      <c r="I56" s="1">
        <v>41722</v>
      </c>
      <c r="J56">
        <v>17.53</v>
      </c>
      <c r="K56" s="1">
        <v>41717</v>
      </c>
      <c r="L56">
        <v>79.995000000000005</v>
      </c>
    </row>
    <row r="57" spans="1:12" x14ac:dyDescent="0.25">
      <c r="A57" s="1">
        <v>41723</v>
      </c>
      <c r="B57">
        <v>14.02</v>
      </c>
      <c r="C57" s="1">
        <v>41723</v>
      </c>
      <c r="D57">
        <v>23.07</v>
      </c>
      <c r="E57" s="1">
        <v>41718</v>
      </c>
      <c r="F57">
        <v>60.819099999999999</v>
      </c>
      <c r="G57" s="1">
        <v>41723</v>
      </c>
      <c r="H57">
        <v>19.190000000000001</v>
      </c>
      <c r="I57" s="1">
        <v>41723</v>
      </c>
      <c r="J57">
        <v>17.16</v>
      </c>
      <c r="K57" s="1">
        <v>41718</v>
      </c>
      <c r="L57">
        <v>80.191999999999993</v>
      </c>
    </row>
    <row r="58" spans="1:12" x14ac:dyDescent="0.25">
      <c r="A58" s="1">
        <v>41724</v>
      </c>
      <c r="B58">
        <v>14.93</v>
      </c>
      <c r="C58" s="1">
        <v>41724</v>
      </c>
      <c r="D58">
        <v>23.58</v>
      </c>
      <c r="E58" s="1">
        <v>41719</v>
      </c>
      <c r="F58">
        <v>60.819099999999999</v>
      </c>
      <c r="G58" s="1">
        <v>41724</v>
      </c>
      <c r="H58">
        <v>19.170000000000002</v>
      </c>
      <c r="I58" s="1">
        <v>41724</v>
      </c>
      <c r="J58">
        <v>17.32</v>
      </c>
      <c r="K58" s="1">
        <v>41719</v>
      </c>
      <c r="L58">
        <v>80.105000000000004</v>
      </c>
    </row>
    <row r="59" spans="1:12" x14ac:dyDescent="0.25">
      <c r="A59" s="1">
        <v>41725</v>
      </c>
      <c r="B59">
        <v>14.62</v>
      </c>
      <c r="C59" s="1">
        <v>41725</v>
      </c>
      <c r="D59">
        <v>23.45</v>
      </c>
      <c r="E59" s="1">
        <v>41722</v>
      </c>
      <c r="F59">
        <v>58.712699999999998</v>
      </c>
      <c r="G59" s="1">
        <v>41725</v>
      </c>
      <c r="H59">
        <v>19.28</v>
      </c>
      <c r="I59" s="1">
        <v>41725</v>
      </c>
      <c r="J59">
        <v>17.600000000000001</v>
      </c>
      <c r="K59" s="1">
        <v>41722</v>
      </c>
      <c r="L59">
        <v>79.933999999999997</v>
      </c>
    </row>
    <row r="60" spans="1:12" x14ac:dyDescent="0.25">
      <c r="A60" s="1">
        <v>41726</v>
      </c>
      <c r="B60">
        <v>14.41</v>
      </c>
      <c r="C60" s="1">
        <v>41726</v>
      </c>
      <c r="D60">
        <v>23.38</v>
      </c>
      <c r="E60" s="1">
        <v>41723</v>
      </c>
      <c r="F60">
        <v>58.3352</v>
      </c>
      <c r="G60" s="1">
        <v>41726</v>
      </c>
      <c r="H60">
        <v>19.149999999999999</v>
      </c>
      <c r="I60" s="1">
        <v>41726</v>
      </c>
      <c r="J60">
        <v>17.48</v>
      </c>
      <c r="K60" s="1">
        <v>41723</v>
      </c>
      <c r="L60">
        <v>79.944000000000003</v>
      </c>
    </row>
    <row r="61" spans="1:12" x14ac:dyDescent="0.25">
      <c r="A61" s="1">
        <v>41729</v>
      </c>
      <c r="B61">
        <v>13.88</v>
      </c>
      <c r="C61" s="1">
        <v>41729</v>
      </c>
      <c r="D61">
        <v>22.56</v>
      </c>
      <c r="E61" s="1">
        <v>41724</v>
      </c>
      <c r="F61">
        <v>57.775300000000001</v>
      </c>
      <c r="G61" s="1">
        <v>41729</v>
      </c>
      <c r="H61">
        <v>19.260000000000002</v>
      </c>
      <c r="I61" s="1">
        <v>41729</v>
      </c>
      <c r="J61">
        <v>17.37</v>
      </c>
      <c r="K61" s="1">
        <v>41724</v>
      </c>
      <c r="L61">
        <v>80.031999999999996</v>
      </c>
    </row>
    <row r="62" spans="1:12" x14ac:dyDescent="0.25">
      <c r="A62" s="1">
        <v>41730</v>
      </c>
      <c r="B62">
        <v>13.1</v>
      </c>
      <c r="C62" s="1">
        <v>41730</v>
      </c>
      <c r="D62">
        <v>21.09</v>
      </c>
      <c r="E62" s="1">
        <v>41725</v>
      </c>
      <c r="F62">
        <v>59.423099999999998</v>
      </c>
      <c r="G62" s="1">
        <v>41730</v>
      </c>
      <c r="H62">
        <v>19.61</v>
      </c>
      <c r="I62" s="1">
        <v>41730</v>
      </c>
      <c r="J62">
        <v>16.649999999999999</v>
      </c>
      <c r="K62" s="1">
        <v>41725</v>
      </c>
      <c r="L62">
        <v>80.111000000000004</v>
      </c>
    </row>
    <row r="63" spans="1:12" x14ac:dyDescent="0.25">
      <c r="A63" s="1">
        <v>41731</v>
      </c>
      <c r="B63">
        <v>13.09</v>
      </c>
      <c r="C63" s="1">
        <v>41731</v>
      </c>
      <c r="D63">
        <v>20.63</v>
      </c>
      <c r="E63" s="1">
        <v>41726</v>
      </c>
      <c r="F63">
        <v>61.935899999999997</v>
      </c>
      <c r="G63" s="1">
        <v>41731</v>
      </c>
      <c r="H63">
        <v>19.79</v>
      </c>
      <c r="I63" s="1">
        <v>41731</v>
      </c>
      <c r="J63">
        <v>16.190000000000001</v>
      </c>
      <c r="K63" s="1">
        <v>41726</v>
      </c>
      <c r="L63">
        <v>80.176000000000002</v>
      </c>
    </row>
    <row r="64" spans="1:12" x14ac:dyDescent="0.25">
      <c r="A64" s="1">
        <v>41732</v>
      </c>
      <c r="B64">
        <v>13.37</v>
      </c>
      <c r="C64" s="1">
        <v>41732</v>
      </c>
      <c r="D64">
        <v>19.89</v>
      </c>
      <c r="E64" s="1">
        <v>41729</v>
      </c>
      <c r="F64">
        <v>61.814999999999998</v>
      </c>
      <c r="G64" s="1">
        <v>41732</v>
      </c>
      <c r="H64">
        <v>18.45</v>
      </c>
      <c r="I64" s="1">
        <v>41732</v>
      </c>
      <c r="J64">
        <v>16.010000000000002</v>
      </c>
      <c r="K64" s="1">
        <v>41729</v>
      </c>
      <c r="L64">
        <v>80.099999999999994</v>
      </c>
    </row>
    <row r="65" spans="1:12" x14ac:dyDescent="0.25">
      <c r="A65" s="1">
        <v>41733</v>
      </c>
      <c r="B65">
        <v>13.96</v>
      </c>
      <c r="C65" s="1">
        <v>41733</v>
      </c>
      <c r="D65">
        <v>21.29</v>
      </c>
      <c r="E65" s="1">
        <v>41730</v>
      </c>
      <c r="F65">
        <v>61.526000000000003</v>
      </c>
      <c r="G65" s="1">
        <v>41733</v>
      </c>
      <c r="H65">
        <v>18.28</v>
      </c>
      <c r="I65" s="1">
        <v>41733</v>
      </c>
      <c r="J65">
        <v>15.81</v>
      </c>
      <c r="K65" s="1">
        <v>41730</v>
      </c>
      <c r="L65">
        <v>80.093999999999994</v>
      </c>
    </row>
    <row r="66" spans="1:12" x14ac:dyDescent="0.25">
      <c r="A66" s="1">
        <v>41736</v>
      </c>
      <c r="B66">
        <v>15.57</v>
      </c>
      <c r="C66" s="1">
        <v>41736</v>
      </c>
      <c r="D66">
        <v>21.71</v>
      </c>
      <c r="E66" s="1">
        <v>41731</v>
      </c>
      <c r="F66">
        <v>66.275000000000006</v>
      </c>
      <c r="G66" s="1">
        <v>41736</v>
      </c>
      <c r="H66">
        <v>18.64</v>
      </c>
      <c r="I66" s="1">
        <v>41736</v>
      </c>
      <c r="J66">
        <v>15.95</v>
      </c>
      <c r="K66" s="1">
        <v>41731</v>
      </c>
      <c r="L66">
        <v>80.215000000000003</v>
      </c>
    </row>
    <row r="67" spans="1:12" x14ac:dyDescent="0.25">
      <c r="A67" s="1">
        <v>41737</v>
      </c>
      <c r="B67">
        <v>14.89</v>
      </c>
      <c r="C67" s="1">
        <v>41737</v>
      </c>
      <c r="D67">
        <v>21.94</v>
      </c>
      <c r="E67" s="1">
        <v>41732</v>
      </c>
      <c r="F67">
        <v>65.204800000000006</v>
      </c>
      <c r="G67" s="1">
        <v>41737</v>
      </c>
      <c r="H67">
        <v>18.89</v>
      </c>
      <c r="I67" s="1">
        <v>41737</v>
      </c>
      <c r="J67">
        <v>15.99</v>
      </c>
      <c r="K67" s="1">
        <v>41732</v>
      </c>
      <c r="L67">
        <v>80.474999999999994</v>
      </c>
    </row>
    <row r="68" spans="1:12" x14ac:dyDescent="0.25">
      <c r="A68" s="1">
        <v>41738</v>
      </c>
      <c r="B68">
        <v>13.82</v>
      </c>
      <c r="C68" s="1">
        <v>41738</v>
      </c>
      <c r="D68">
        <v>21.31</v>
      </c>
      <c r="E68" s="1">
        <v>41733</v>
      </c>
      <c r="F68">
        <v>58.774700000000003</v>
      </c>
      <c r="G68" s="1">
        <v>41738</v>
      </c>
      <c r="H68">
        <v>18.55</v>
      </c>
      <c r="I68" s="1">
        <v>41738</v>
      </c>
      <c r="J68">
        <v>14.83</v>
      </c>
      <c r="K68" s="1">
        <v>41733</v>
      </c>
      <c r="L68">
        <v>80.423000000000002</v>
      </c>
    </row>
    <row r="69" spans="1:12" x14ac:dyDescent="0.25">
      <c r="A69" s="1">
        <v>41739</v>
      </c>
      <c r="B69">
        <v>15.89</v>
      </c>
      <c r="C69" s="1">
        <v>41739</v>
      </c>
      <c r="D69">
        <v>22.93</v>
      </c>
      <c r="E69" s="1">
        <v>41736</v>
      </c>
      <c r="F69">
        <v>55.660600000000002</v>
      </c>
      <c r="G69" s="1">
        <v>41739</v>
      </c>
      <c r="H69">
        <v>18.72</v>
      </c>
      <c r="I69" s="1">
        <v>41739</v>
      </c>
      <c r="J69">
        <v>15.06</v>
      </c>
      <c r="K69" s="1">
        <v>41736</v>
      </c>
      <c r="L69">
        <v>80.231999999999999</v>
      </c>
    </row>
    <row r="70" spans="1:12" x14ac:dyDescent="0.25">
      <c r="A70" s="1">
        <v>41740</v>
      </c>
      <c r="B70">
        <v>17.03</v>
      </c>
      <c r="C70" s="1">
        <v>41740</v>
      </c>
      <c r="D70">
        <v>23.02</v>
      </c>
      <c r="E70" s="1">
        <v>41737</v>
      </c>
      <c r="F70">
        <v>55.928600000000003</v>
      </c>
      <c r="G70" s="1">
        <v>41740</v>
      </c>
      <c r="H70">
        <v>18.39</v>
      </c>
      <c r="I70" s="1">
        <v>41740</v>
      </c>
      <c r="J70">
        <v>15.19</v>
      </c>
      <c r="K70" s="1">
        <v>41737</v>
      </c>
      <c r="L70">
        <v>79.751999999999995</v>
      </c>
    </row>
    <row r="71" spans="1:12" x14ac:dyDescent="0.25">
      <c r="A71" s="1">
        <v>41743</v>
      </c>
      <c r="B71">
        <v>16.11</v>
      </c>
      <c r="C71" s="1">
        <v>41743</v>
      </c>
      <c r="D71">
        <v>22.61</v>
      </c>
      <c r="E71" s="1">
        <v>41738</v>
      </c>
      <c r="F71">
        <v>54.7194</v>
      </c>
      <c r="G71" s="1">
        <v>41743</v>
      </c>
      <c r="H71">
        <v>18.71</v>
      </c>
      <c r="I71" s="1">
        <v>41743</v>
      </c>
      <c r="J71">
        <v>15.34</v>
      </c>
      <c r="K71" s="1">
        <v>41738</v>
      </c>
      <c r="L71">
        <v>79.483999999999995</v>
      </c>
    </row>
    <row r="72" spans="1:12" x14ac:dyDescent="0.25">
      <c r="A72" s="1">
        <v>41744</v>
      </c>
      <c r="B72">
        <v>15.61</v>
      </c>
      <c r="C72" s="1">
        <v>41744</v>
      </c>
      <c r="D72">
        <v>24.01</v>
      </c>
      <c r="E72" s="1">
        <v>41739</v>
      </c>
      <c r="F72">
        <v>55.435099999999998</v>
      </c>
      <c r="G72" s="1">
        <v>41744</v>
      </c>
      <c r="H72">
        <v>18.71</v>
      </c>
      <c r="I72" s="1">
        <v>41744</v>
      </c>
      <c r="J72">
        <v>16.100000000000001</v>
      </c>
      <c r="K72" s="1">
        <v>41739</v>
      </c>
      <c r="L72">
        <v>79.382999999999996</v>
      </c>
    </row>
    <row r="73" spans="1:12" x14ac:dyDescent="0.25">
      <c r="A73" s="1">
        <v>41745</v>
      </c>
      <c r="B73">
        <v>14.18</v>
      </c>
      <c r="C73" s="1">
        <v>41745</v>
      </c>
      <c r="D73">
        <v>22.62</v>
      </c>
      <c r="E73" s="1">
        <v>41740</v>
      </c>
      <c r="F73">
        <v>58.640500000000003</v>
      </c>
      <c r="G73" s="1">
        <v>41745</v>
      </c>
      <c r="H73">
        <v>18.899999999999999</v>
      </c>
      <c r="I73" s="1">
        <v>41745</v>
      </c>
      <c r="J73">
        <v>15.44</v>
      </c>
      <c r="K73" s="1">
        <v>41740</v>
      </c>
      <c r="L73">
        <v>79.451999999999998</v>
      </c>
    </row>
    <row r="74" spans="1:12" x14ac:dyDescent="0.25">
      <c r="A74" s="1">
        <v>41746</v>
      </c>
      <c r="B74">
        <v>13.36</v>
      </c>
      <c r="C74" s="1">
        <v>41746</v>
      </c>
      <c r="D74">
        <v>21.92</v>
      </c>
      <c r="E74" s="1">
        <v>41743</v>
      </c>
      <c r="F74">
        <v>59.152200000000001</v>
      </c>
      <c r="G74" s="1">
        <v>41746</v>
      </c>
      <c r="H74">
        <v>18.93</v>
      </c>
      <c r="I74" s="1">
        <v>41746</v>
      </c>
      <c r="J74">
        <v>15.96</v>
      </c>
      <c r="K74" s="1">
        <v>41743</v>
      </c>
      <c r="L74">
        <v>79.728999999999999</v>
      </c>
    </row>
    <row r="75" spans="1:12" x14ac:dyDescent="0.25">
      <c r="A75" s="1">
        <v>41750</v>
      </c>
      <c r="B75">
        <v>13.25</v>
      </c>
      <c r="C75" s="1">
        <v>41750</v>
      </c>
      <c r="D75">
        <v>22.07</v>
      </c>
      <c r="E75" s="1">
        <v>41744</v>
      </c>
      <c r="F75">
        <v>59.186999999999998</v>
      </c>
      <c r="G75" s="1">
        <v>41750</v>
      </c>
      <c r="H75">
        <v>18.28</v>
      </c>
      <c r="I75" s="1">
        <v>41750</v>
      </c>
      <c r="J75">
        <v>16.22</v>
      </c>
      <c r="K75" s="1">
        <v>41744</v>
      </c>
      <c r="L75">
        <v>79.802999999999997</v>
      </c>
    </row>
    <row r="76" spans="1:12" x14ac:dyDescent="0.25">
      <c r="A76" s="1">
        <v>41751</v>
      </c>
      <c r="B76">
        <v>13.19</v>
      </c>
      <c r="C76" s="1">
        <v>41751</v>
      </c>
      <c r="D76">
        <v>21.39</v>
      </c>
      <c r="E76" s="1">
        <v>41745</v>
      </c>
      <c r="F76">
        <v>58.0214</v>
      </c>
      <c r="G76" s="1">
        <v>41751</v>
      </c>
      <c r="H76">
        <v>18.809999999999999</v>
      </c>
      <c r="I76" s="1">
        <v>41751</v>
      </c>
      <c r="J76">
        <v>16.190000000000001</v>
      </c>
      <c r="K76" s="1">
        <v>41745</v>
      </c>
      <c r="L76">
        <v>79.802999999999997</v>
      </c>
    </row>
    <row r="77" spans="1:12" x14ac:dyDescent="0.25">
      <c r="A77" s="1">
        <v>41752</v>
      </c>
      <c r="B77">
        <v>13.27</v>
      </c>
      <c r="C77" s="1">
        <v>41752</v>
      </c>
      <c r="D77">
        <v>21.3</v>
      </c>
      <c r="E77" s="1">
        <v>41746</v>
      </c>
      <c r="F77">
        <v>59.477699999999999</v>
      </c>
      <c r="G77" s="1">
        <v>41752</v>
      </c>
      <c r="H77">
        <v>18.46</v>
      </c>
      <c r="I77" s="1">
        <v>41752</v>
      </c>
      <c r="J77">
        <v>15.61</v>
      </c>
      <c r="K77" s="1">
        <v>41746</v>
      </c>
      <c r="L77">
        <v>79.828000000000003</v>
      </c>
    </row>
    <row r="78" spans="1:12" x14ac:dyDescent="0.25">
      <c r="A78" s="1">
        <v>41753</v>
      </c>
      <c r="B78">
        <v>13.32</v>
      </c>
      <c r="C78" s="1">
        <v>41753</v>
      </c>
      <c r="D78">
        <v>20.73</v>
      </c>
      <c r="E78" s="1">
        <v>41747</v>
      </c>
      <c r="F78">
        <v>59.477699999999999</v>
      </c>
      <c r="G78" s="1">
        <v>41753</v>
      </c>
      <c r="H78">
        <v>18.36</v>
      </c>
      <c r="I78" s="1">
        <v>41753</v>
      </c>
      <c r="J78">
        <v>15.86</v>
      </c>
      <c r="K78" s="1">
        <v>41747</v>
      </c>
      <c r="L78">
        <v>79.846999999999994</v>
      </c>
    </row>
    <row r="79" spans="1:12" x14ac:dyDescent="0.25">
      <c r="A79" s="1">
        <v>41754</v>
      </c>
      <c r="B79">
        <v>14.06</v>
      </c>
      <c r="C79" s="1">
        <v>41754</v>
      </c>
      <c r="D79">
        <v>21.6</v>
      </c>
      <c r="E79" s="1">
        <v>41750</v>
      </c>
      <c r="F79">
        <v>56.827300000000001</v>
      </c>
      <c r="G79" s="1">
        <v>41754</v>
      </c>
      <c r="H79">
        <v>18.88</v>
      </c>
      <c r="I79" s="1">
        <v>41754</v>
      </c>
      <c r="J79">
        <v>16.07</v>
      </c>
      <c r="K79" s="1">
        <v>41750</v>
      </c>
      <c r="L79">
        <v>79.944999999999993</v>
      </c>
    </row>
    <row r="80" spans="1:12" x14ac:dyDescent="0.25">
      <c r="A80" s="1">
        <v>41757</v>
      </c>
      <c r="B80">
        <v>13.97</v>
      </c>
      <c r="C80" s="1">
        <v>41757</v>
      </c>
      <c r="D80">
        <v>21.91</v>
      </c>
      <c r="E80" s="1">
        <v>41751</v>
      </c>
      <c r="F80">
        <v>57.094099999999997</v>
      </c>
      <c r="G80" s="1">
        <v>41757</v>
      </c>
      <c r="H80">
        <v>19.14</v>
      </c>
      <c r="I80" s="1">
        <v>41757</v>
      </c>
      <c r="J80">
        <v>15.56</v>
      </c>
      <c r="K80" s="1">
        <v>41751</v>
      </c>
      <c r="L80">
        <v>79.905000000000001</v>
      </c>
    </row>
    <row r="81" spans="1:12" x14ac:dyDescent="0.25">
      <c r="A81" s="1">
        <v>41758</v>
      </c>
      <c r="B81">
        <v>13.71</v>
      </c>
      <c r="C81" s="1">
        <v>41758</v>
      </c>
      <c r="D81">
        <v>20.66</v>
      </c>
      <c r="E81" s="1">
        <v>41752</v>
      </c>
      <c r="F81">
        <v>56.576799999999999</v>
      </c>
      <c r="G81" s="1">
        <v>41758</v>
      </c>
      <c r="H81">
        <v>19.190000000000001</v>
      </c>
      <c r="I81" s="1">
        <v>41758</v>
      </c>
      <c r="J81">
        <v>15.31</v>
      </c>
      <c r="K81" s="1">
        <v>41752</v>
      </c>
      <c r="L81">
        <v>79.855000000000004</v>
      </c>
    </row>
    <row r="82" spans="1:12" x14ac:dyDescent="0.25">
      <c r="A82" s="1">
        <v>41759</v>
      </c>
      <c r="B82">
        <v>13.41</v>
      </c>
      <c r="C82" s="1">
        <v>41759</v>
      </c>
      <c r="D82">
        <v>19.739999999999998</v>
      </c>
      <c r="E82" s="1">
        <v>41753</v>
      </c>
      <c r="F82">
        <v>57.849299999999999</v>
      </c>
      <c r="G82" s="1">
        <v>41759</v>
      </c>
      <c r="H82">
        <v>19.37</v>
      </c>
      <c r="I82" s="1">
        <v>41759</v>
      </c>
      <c r="J82">
        <v>15.52</v>
      </c>
      <c r="K82" s="1">
        <v>41753</v>
      </c>
      <c r="L82">
        <v>79.799000000000007</v>
      </c>
    </row>
    <row r="83" spans="1:12" x14ac:dyDescent="0.25">
      <c r="A83" s="1">
        <v>41760</v>
      </c>
      <c r="B83">
        <v>13.25</v>
      </c>
      <c r="C83" s="1">
        <v>41760</v>
      </c>
      <c r="D83">
        <v>19.350000000000001</v>
      </c>
      <c r="E83" s="1">
        <v>41754</v>
      </c>
      <c r="F83">
        <v>58.073</v>
      </c>
      <c r="G83" s="1">
        <v>41760</v>
      </c>
      <c r="H83">
        <v>18.440000000000001</v>
      </c>
      <c r="I83" s="1">
        <v>41760</v>
      </c>
      <c r="J83">
        <v>15.15</v>
      </c>
      <c r="K83" s="1">
        <v>41754</v>
      </c>
      <c r="L83">
        <v>79.748999999999995</v>
      </c>
    </row>
    <row r="84" spans="1:12" x14ac:dyDescent="0.25">
      <c r="A84" s="1">
        <v>41761</v>
      </c>
      <c r="B84">
        <v>12.91</v>
      </c>
      <c r="C84" s="1">
        <v>41761</v>
      </c>
      <c r="D84">
        <v>18.510000000000002</v>
      </c>
      <c r="E84" s="1">
        <v>41757</v>
      </c>
      <c r="F84">
        <v>59.102200000000003</v>
      </c>
      <c r="G84" s="1">
        <v>41761</v>
      </c>
      <c r="H84">
        <v>17.8</v>
      </c>
      <c r="I84" s="1">
        <v>41761</v>
      </c>
      <c r="J84">
        <v>14.85</v>
      </c>
      <c r="K84" s="1">
        <v>41757</v>
      </c>
      <c r="L84">
        <v>79.683000000000007</v>
      </c>
    </row>
    <row r="85" spans="1:12" x14ac:dyDescent="0.25">
      <c r="A85" s="1">
        <v>41764</v>
      </c>
      <c r="B85">
        <v>13.29</v>
      </c>
      <c r="C85" s="1">
        <v>41764</v>
      </c>
      <c r="D85">
        <v>19.48</v>
      </c>
      <c r="E85" s="1">
        <v>41758</v>
      </c>
      <c r="F85">
        <v>59.942799999999998</v>
      </c>
      <c r="G85" s="1">
        <v>41764</v>
      </c>
      <c r="H85">
        <v>18.55</v>
      </c>
      <c r="I85" s="1">
        <v>41764</v>
      </c>
      <c r="J85">
        <v>15.51</v>
      </c>
      <c r="K85" s="1">
        <v>41758</v>
      </c>
      <c r="L85">
        <v>79.808000000000007</v>
      </c>
    </row>
    <row r="86" spans="1:12" x14ac:dyDescent="0.25">
      <c r="A86" s="1">
        <v>41765</v>
      </c>
      <c r="B86">
        <v>13.8</v>
      </c>
      <c r="C86" s="1">
        <v>41765</v>
      </c>
      <c r="D86">
        <v>19.64</v>
      </c>
      <c r="E86" s="1">
        <v>41759</v>
      </c>
      <c r="F86">
        <v>58.884599999999999</v>
      </c>
      <c r="G86" s="1">
        <v>41765</v>
      </c>
      <c r="H86">
        <v>17.96</v>
      </c>
      <c r="I86" s="1">
        <v>41765</v>
      </c>
      <c r="J86">
        <v>15.02</v>
      </c>
      <c r="K86" s="1">
        <v>41759</v>
      </c>
      <c r="L86">
        <v>79.474000000000004</v>
      </c>
    </row>
    <row r="87" spans="1:12" x14ac:dyDescent="0.25">
      <c r="A87" s="1">
        <v>41766</v>
      </c>
      <c r="B87">
        <v>13.4</v>
      </c>
      <c r="C87" s="1">
        <v>41766</v>
      </c>
      <c r="D87">
        <v>19.22</v>
      </c>
      <c r="E87" s="1">
        <v>41760</v>
      </c>
      <c r="F87">
        <v>58.838500000000003</v>
      </c>
      <c r="G87" s="1">
        <v>41766</v>
      </c>
      <c r="H87">
        <v>17.71</v>
      </c>
      <c r="I87" s="1">
        <v>41766</v>
      </c>
      <c r="J87">
        <v>15.4</v>
      </c>
      <c r="K87" s="1">
        <v>41760</v>
      </c>
      <c r="L87">
        <v>79.527000000000001</v>
      </c>
    </row>
    <row r="88" spans="1:12" x14ac:dyDescent="0.25">
      <c r="A88" s="1">
        <v>41767</v>
      </c>
      <c r="B88">
        <v>13.43</v>
      </c>
      <c r="C88" s="1">
        <v>41767</v>
      </c>
      <c r="D88">
        <v>18.489999999999998</v>
      </c>
      <c r="E88" s="1">
        <v>41761</v>
      </c>
      <c r="F88">
        <v>55.343800000000002</v>
      </c>
      <c r="G88" s="1">
        <v>41767</v>
      </c>
      <c r="H88">
        <v>17.489999999999998</v>
      </c>
      <c r="I88" s="1">
        <v>41767</v>
      </c>
      <c r="J88">
        <v>14.87</v>
      </c>
      <c r="K88" s="1">
        <v>41761</v>
      </c>
      <c r="L88">
        <v>79.516000000000005</v>
      </c>
    </row>
    <row r="89" spans="1:12" x14ac:dyDescent="0.25">
      <c r="A89" s="1">
        <v>41768</v>
      </c>
      <c r="B89">
        <v>12.92</v>
      </c>
      <c r="C89" s="1">
        <v>41768</v>
      </c>
      <c r="D89">
        <v>18.600000000000001</v>
      </c>
      <c r="E89" s="1">
        <v>41764</v>
      </c>
      <c r="F89">
        <v>55.343800000000002</v>
      </c>
      <c r="G89" s="1">
        <v>41768</v>
      </c>
      <c r="H89">
        <v>17</v>
      </c>
      <c r="I89" s="1">
        <v>41768</v>
      </c>
      <c r="J89">
        <v>14.76</v>
      </c>
      <c r="K89" s="1">
        <v>41764</v>
      </c>
      <c r="L89">
        <v>79.486000000000004</v>
      </c>
    </row>
    <row r="90" spans="1:12" x14ac:dyDescent="0.25">
      <c r="A90" s="1">
        <v>41771</v>
      </c>
      <c r="B90">
        <v>12.23</v>
      </c>
      <c r="C90" s="1">
        <v>41771</v>
      </c>
      <c r="D90">
        <v>16.75</v>
      </c>
      <c r="E90" s="1">
        <v>41765</v>
      </c>
      <c r="F90">
        <v>58.665100000000002</v>
      </c>
      <c r="G90" s="1">
        <v>41771</v>
      </c>
      <c r="H90">
        <v>16.649999999999999</v>
      </c>
      <c r="I90" s="1">
        <v>41771</v>
      </c>
      <c r="J90">
        <v>14.04</v>
      </c>
      <c r="K90" s="1">
        <v>41765</v>
      </c>
      <c r="L90">
        <v>79.093000000000004</v>
      </c>
    </row>
    <row r="91" spans="1:12" x14ac:dyDescent="0.25">
      <c r="A91" s="1">
        <v>41772</v>
      </c>
      <c r="B91">
        <v>12.13</v>
      </c>
      <c r="C91" s="1">
        <v>41772</v>
      </c>
      <c r="D91">
        <v>15.74</v>
      </c>
      <c r="E91" s="1">
        <v>41766</v>
      </c>
      <c r="F91">
        <v>57.337800000000001</v>
      </c>
      <c r="G91" s="1">
        <v>41772</v>
      </c>
      <c r="H91">
        <v>16.86</v>
      </c>
      <c r="I91" s="1">
        <v>41772</v>
      </c>
      <c r="J91">
        <v>13.61</v>
      </c>
      <c r="K91" s="1">
        <v>41766</v>
      </c>
      <c r="L91">
        <v>79.201999999999998</v>
      </c>
    </row>
    <row r="92" spans="1:12" x14ac:dyDescent="0.25">
      <c r="A92" s="1">
        <v>41773</v>
      </c>
      <c r="B92">
        <v>12.17</v>
      </c>
      <c r="C92" s="1">
        <v>41773</v>
      </c>
      <c r="D92">
        <v>16.649999999999999</v>
      </c>
      <c r="E92" s="1">
        <v>41767</v>
      </c>
      <c r="F92">
        <v>57.337800000000001</v>
      </c>
      <c r="G92" s="1">
        <v>41773</v>
      </c>
      <c r="H92">
        <v>16.72</v>
      </c>
      <c r="I92" s="1">
        <v>41773</v>
      </c>
      <c r="J92">
        <v>13.76</v>
      </c>
      <c r="K92" s="1">
        <v>41767</v>
      </c>
      <c r="L92">
        <v>79.361000000000004</v>
      </c>
    </row>
    <row r="93" spans="1:12" x14ac:dyDescent="0.25">
      <c r="A93" s="1">
        <v>41774</v>
      </c>
      <c r="B93">
        <v>13.17</v>
      </c>
      <c r="C93" s="1">
        <v>41774</v>
      </c>
      <c r="D93">
        <v>17.34</v>
      </c>
      <c r="E93" s="1">
        <v>41768</v>
      </c>
      <c r="F93">
        <v>56.090600000000002</v>
      </c>
      <c r="G93" s="1">
        <v>41774</v>
      </c>
      <c r="H93">
        <v>15.94</v>
      </c>
      <c r="I93" s="1">
        <v>41774</v>
      </c>
      <c r="J93">
        <v>14.57</v>
      </c>
      <c r="K93" s="1">
        <v>41768</v>
      </c>
      <c r="L93">
        <v>79.903000000000006</v>
      </c>
    </row>
    <row r="94" spans="1:12" x14ac:dyDescent="0.25">
      <c r="A94" s="1">
        <v>41775</v>
      </c>
      <c r="B94">
        <v>12.44</v>
      </c>
      <c r="C94" s="1">
        <v>41775</v>
      </c>
      <c r="D94">
        <v>16.93</v>
      </c>
      <c r="E94" s="1">
        <v>41771</v>
      </c>
      <c r="F94">
        <v>56.171100000000003</v>
      </c>
      <c r="G94" s="1">
        <v>41775</v>
      </c>
      <c r="H94">
        <v>15.42</v>
      </c>
      <c r="I94" s="1">
        <v>41775</v>
      </c>
      <c r="J94">
        <v>14.04</v>
      </c>
      <c r="K94" s="1">
        <v>41771</v>
      </c>
      <c r="L94">
        <v>79.900999999999996</v>
      </c>
    </row>
    <row r="95" spans="1:12" x14ac:dyDescent="0.25">
      <c r="A95" s="1">
        <v>41778</v>
      </c>
      <c r="B95">
        <v>12.42</v>
      </c>
      <c r="C95" s="1">
        <v>41778</v>
      </c>
      <c r="D95">
        <v>16.309999999999999</v>
      </c>
      <c r="E95" s="1">
        <v>41772</v>
      </c>
      <c r="F95">
        <v>56.090600000000002</v>
      </c>
      <c r="G95" s="1">
        <v>41778</v>
      </c>
      <c r="H95">
        <v>15.9</v>
      </c>
      <c r="I95" s="1">
        <v>41778</v>
      </c>
      <c r="J95">
        <v>14.23</v>
      </c>
      <c r="K95" s="1">
        <v>41772</v>
      </c>
      <c r="L95">
        <v>80.143000000000001</v>
      </c>
    </row>
    <row r="96" spans="1:12" x14ac:dyDescent="0.25">
      <c r="A96" s="1">
        <v>41779</v>
      </c>
      <c r="B96">
        <v>12.96</v>
      </c>
      <c r="C96" s="1">
        <v>41779</v>
      </c>
      <c r="D96">
        <v>17.739999999999998</v>
      </c>
      <c r="E96" s="1">
        <v>41773</v>
      </c>
      <c r="F96">
        <v>55.271900000000002</v>
      </c>
      <c r="G96" s="1">
        <v>41779</v>
      </c>
      <c r="H96">
        <v>16.2</v>
      </c>
      <c r="I96" s="1">
        <v>41779</v>
      </c>
      <c r="J96">
        <v>14.07</v>
      </c>
      <c r="K96" s="1">
        <v>41773</v>
      </c>
      <c r="L96">
        <v>80.072999999999993</v>
      </c>
    </row>
    <row r="97" spans="1:12" x14ac:dyDescent="0.25">
      <c r="A97" s="1">
        <v>41780</v>
      </c>
      <c r="B97">
        <v>11.91</v>
      </c>
      <c r="C97" s="1">
        <v>41780</v>
      </c>
      <c r="D97">
        <v>17.22</v>
      </c>
      <c r="E97" s="1">
        <v>41774</v>
      </c>
      <c r="F97">
        <v>55.720700000000001</v>
      </c>
      <c r="G97" s="1">
        <v>41780</v>
      </c>
      <c r="H97">
        <v>16.38</v>
      </c>
      <c r="I97" s="1">
        <v>41780</v>
      </c>
      <c r="J97">
        <v>14.36</v>
      </c>
      <c r="K97" s="1">
        <v>41774</v>
      </c>
      <c r="L97">
        <v>80.003</v>
      </c>
    </row>
    <row r="98" spans="1:12" x14ac:dyDescent="0.25">
      <c r="A98" s="1">
        <v>41781</v>
      </c>
      <c r="B98">
        <v>12.03</v>
      </c>
      <c r="C98" s="1">
        <v>41781</v>
      </c>
      <c r="D98">
        <v>16.07</v>
      </c>
      <c r="E98" s="1">
        <v>41775</v>
      </c>
      <c r="F98">
        <v>58.695399999999999</v>
      </c>
      <c r="G98" s="1">
        <v>41781</v>
      </c>
      <c r="H98">
        <v>16.05</v>
      </c>
      <c r="I98" s="1">
        <v>41781</v>
      </c>
      <c r="J98">
        <v>13.98</v>
      </c>
      <c r="K98" s="1">
        <v>41775</v>
      </c>
      <c r="L98">
        <v>80.043000000000006</v>
      </c>
    </row>
    <row r="99" spans="1:12" x14ac:dyDescent="0.25">
      <c r="A99" s="1">
        <v>41782</v>
      </c>
      <c r="B99">
        <v>11.36</v>
      </c>
      <c r="C99" s="1">
        <v>41782</v>
      </c>
      <c r="D99">
        <v>15.58</v>
      </c>
      <c r="E99" s="1">
        <v>41778</v>
      </c>
      <c r="F99">
        <v>58.171700000000001</v>
      </c>
      <c r="G99" s="1">
        <v>41782</v>
      </c>
      <c r="H99">
        <v>15.89</v>
      </c>
      <c r="I99" s="1">
        <v>41782</v>
      </c>
      <c r="J99">
        <v>14.52</v>
      </c>
      <c r="K99" s="1">
        <v>41778</v>
      </c>
      <c r="L99">
        <v>79.992999999999995</v>
      </c>
    </row>
    <row r="100" spans="1:12" x14ac:dyDescent="0.25">
      <c r="A100" s="1">
        <v>41786</v>
      </c>
      <c r="B100">
        <v>11.51</v>
      </c>
      <c r="C100" s="1">
        <v>41786</v>
      </c>
      <c r="D100">
        <v>16.87</v>
      </c>
      <c r="E100" s="1">
        <v>41779</v>
      </c>
      <c r="F100">
        <v>60.008200000000002</v>
      </c>
      <c r="G100" s="1">
        <v>41786</v>
      </c>
      <c r="H100">
        <v>16.100000000000001</v>
      </c>
      <c r="I100" s="1">
        <v>41786</v>
      </c>
      <c r="J100">
        <v>16.21</v>
      </c>
      <c r="K100" s="1">
        <v>41779</v>
      </c>
      <c r="L100">
        <v>80.040999999999997</v>
      </c>
    </row>
    <row r="101" spans="1:12" x14ac:dyDescent="0.25">
      <c r="A101" s="1">
        <v>41787</v>
      </c>
      <c r="B101">
        <v>11.68</v>
      </c>
      <c r="C101" s="1">
        <v>41787</v>
      </c>
      <c r="D101">
        <v>17.07</v>
      </c>
      <c r="E101" s="1">
        <v>41780</v>
      </c>
      <c r="F101">
        <v>59.120800000000003</v>
      </c>
      <c r="G101" s="1">
        <v>41787</v>
      </c>
      <c r="H101">
        <v>16.02</v>
      </c>
      <c r="I101" s="1">
        <v>41787</v>
      </c>
      <c r="J101">
        <v>15.8</v>
      </c>
      <c r="K101" s="1">
        <v>41780</v>
      </c>
      <c r="L101">
        <v>80.094999999999999</v>
      </c>
    </row>
    <row r="102" spans="1:12" x14ac:dyDescent="0.25">
      <c r="A102" s="1">
        <v>41788</v>
      </c>
      <c r="B102">
        <v>11.57</v>
      </c>
      <c r="C102" s="1">
        <v>41788</v>
      </c>
      <c r="D102">
        <v>16.71</v>
      </c>
      <c r="E102" s="1">
        <v>41781</v>
      </c>
      <c r="F102">
        <v>58.228000000000002</v>
      </c>
      <c r="G102" s="1">
        <v>41788</v>
      </c>
      <c r="H102">
        <v>15.55</v>
      </c>
      <c r="I102" s="1">
        <v>41788</v>
      </c>
      <c r="J102">
        <v>15.01</v>
      </c>
      <c r="K102" s="1">
        <v>41781</v>
      </c>
      <c r="L102">
        <v>80.254000000000005</v>
      </c>
    </row>
    <row r="103" spans="1:12" x14ac:dyDescent="0.25">
      <c r="A103" s="1">
        <v>41789</v>
      </c>
      <c r="B103">
        <v>11.4</v>
      </c>
      <c r="C103" s="1">
        <v>41789</v>
      </c>
      <c r="D103">
        <v>17.600000000000001</v>
      </c>
      <c r="E103" s="1">
        <v>41782</v>
      </c>
      <c r="F103">
        <v>58.228000000000002</v>
      </c>
      <c r="G103" s="1">
        <v>41789</v>
      </c>
      <c r="H103">
        <v>15.61</v>
      </c>
      <c r="I103" s="1">
        <v>41789</v>
      </c>
      <c r="J103">
        <v>15.34</v>
      </c>
      <c r="K103" s="1">
        <v>41782</v>
      </c>
      <c r="L103">
        <v>80.393000000000001</v>
      </c>
    </row>
    <row r="104" spans="1:12" x14ac:dyDescent="0.25">
      <c r="A104" s="1">
        <v>41792</v>
      </c>
      <c r="B104">
        <v>11.58</v>
      </c>
      <c r="C104" s="1">
        <v>41792</v>
      </c>
      <c r="D104">
        <v>18.010000000000002</v>
      </c>
      <c r="E104" s="1">
        <v>41785</v>
      </c>
      <c r="F104">
        <v>58.228000000000002</v>
      </c>
      <c r="G104" s="1">
        <v>41792</v>
      </c>
      <c r="H104">
        <v>15.52</v>
      </c>
      <c r="I104" s="1">
        <v>41792</v>
      </c>
      <c r="J104">
        <v>15.55</v>
      </c>
      <c r="K104" s="1">
        <v>41785</v>
      </c>
      <c r="L104">
        <v>80.393000000000001</v>
      </c>
    </row>
    <row r="105" spans="1:12" x14ac:dyDescent="0.25">
      <c r="A105" s="1">
        <v>41793</v>
      </c>
      <c r="B105">
        <v>11.87</v>
      </c>
      <c r="C105" s="1">
        <v>41793</v>
      </c>
      <c r="D105">
        <v>18.27</v>
      </c>
      <c r="E105" s="1">
        <v>41786</v>
      </c>
      <c r="F105">
        <v>56.7714</v>
      </c>
      <c r="G105" s="1">
        <v>41793</v>
      </c>
      <c r="H105">
        <v>15.53</v>
      </c>
      <c r="I105" s="1">
        <v>41793</v>
      </c>
      <c r="J105">
        <v>15.05</v>
      </c>
      <c r="K105" s="1">
        <v>41786</v>
      </c>
      <c r="L105">
        <v>80.352000000000004</v>
      </c>
    </row>
    <row r="106" spans="1:12" x14ac:dyDescent="0.25">
      <c r="A106" s="1">
        <v>41794</v>
      </c>
      <c r="B106">
        <v>12.08</v>
      </c>
      <c r="C106" s="1">
        <v>41794</v>
      </c>
      <c r="D106">
        <v>18.260000000000002</v>
      </c>
      <c r="E106" s="1">
        <v>41787</v>
      </c>
      <c r="F106">
        <v>55.164200000000001</v>
      </c>
      <c r="G106" s="1">
        <v>41794</v>
      </c>
      <c r="H106">
        <v>15.41</v>
      </c>
      <c r="I106" s="1">
        <v>41794</v>
      </c>
      <c r="J106">
        <v>14.79</v>
      </c>
      <c r="K106" s="1">
        <v>41787</v>
      </c>
      <c r="L106">
        <v>80.570999999999998</v>
      </c>
    </row>
    <row r="107" spans="1:12" x14ac:dyDescent="0.25">
      <c r="A107" s="1">
        <v>41795</v>
      </c>
      <c r="B107">
        <v>11.68</v>
      </c>
      <c r="C107" s="1">
        <v>41795</v>
      </c>
      <c r="D107">
        <v>17.940000000000001</v>
      </c>
      <c r="E107" s="1">
        <v>41788</v>
      </c>
      <c r="F107">
        <v>56.380099999999999</v>
      </c>
      <c r="G107" s="1">
        <v>41795</v>
      </c>
      <c r="H107">
        <v>15.14</v>
      </c>
      <c r="I107" s="1">
        <v>41795</v>
      </c>
      <c r="J107">
        <v>14.15</v>
      </c>
      <c r="K107" s="1">
        <v>41788</v>
      </c>
      <c r="L107">
        <v>80.494</v>
      </c>
    </row>
    <row r="108" spans="1:12" x14ac:dyDescent="0.25">
      <c r="A108" s="1">
        <v>41796</v>
      </c>
      <c r="B108">
        <v>10.73</v>
      </c>
      <c r="C108" s="1">
        <v>41796</v>
      </c>
      <c r="D108">
        <v>16.329999999999998</v>
      </c>
      <c r="E108" s="1">
        <v>41789</v>
      </c>
      <c r="F108">
        <v>58.295000000000002</v>
      </c>
      <c r="G108" s="1">
        <v>41796</v>
      </c>
      <c r="H108">
        <v>14.5</v>
      </c>
      <c r="I108" s="1">
        <v>41796</v>
      </c>
      <c r="J108">
        <v>13.22</v>
      </c>
      <c r="K108" s="1">
        <v>41789</v>
      </c>
      <c r="L108">
        <v>80.369</v>
      </c>
    </row>
    <row r="109" spans="1:12" x14ac:dyDescent="0.25">
      <c r="A109" s="1">
        <v>41799</v>
      </c>
      <c r="B109">
        <v>11.15</v>
      </c>
      <c r="C109" s="1">
        <v>41799</v>
      </c>
      <c r="D109">
        <v>16.829999999999998</v>
      </c>
      <c r="E109" s="1">
        <v>41792</v>
      </c>
      <c r="F109">
        <v>59.727499999999999</v>
      </c>
      <c r="G109" s="1">
        <v>41799</v>
      </c>
      <c r="H109">
        <v>14.67</v>
      </c>
      <c r="I109" s="1">
        <v>41799</v>
      </c>
      <c r="J109">
        <v>12.77</v>
      </c>
      <c r="K109" s="1">
        <v>41792</v>
      </c>
      <c r="L109">
        <v>80.644000000000005</v>
      </c>
    </row>
    <row r="110" spans="1:12" x14ac:dyDescent="0.25">
      <c r="A110" s="1">
        <v>41800</v>
      </c>
      <c r="B110">
        <v>10.99</v>
      </c>
      <c r="C110" s="1">
        <v>41800</v>
      </c>
      <c r="D110">
        <v>16.510000000000002</v>
      </c>
      <c r="E110" s="1">
        <v>41793</v>
      </c>
      <c r="F110">
        <v>60.940300000000001</v>
      </c>
      <c r="G110" s="1">
        <v>41800</v>
      </c>
      <c r="H110">
        <v>14.74</v>
      </c>
      <c r="I110" s="1">
        <v>41800</v>
      </c>
      <c r="J110">
        <v>12.37</v>
      </c>
      <c r="K110" s="1">
        <v>41793</v>
      </c>
      <c r="L110">
        <v>80.554000000000002</v>
      </c>
    </row>
    <row r="111" spans="1:12" x14ac:dyDescent="0.25">
      <c r="A111" s="1">
        <v>41801</v>
      </c>
      <c r="B111">
        <v>11.6</v>
      </c>
      <c r="C111" s="1">
        <v>41801</v>
      </c>
      <c r="D111">
        <v>16.829999999999998</v>
      </c>
      <c r="E111" s="1">
        <v>41794</v>
      </c>
      <c r="F111">
        <v>64.909800000000004</v>
      </c>
      <c r="G111" s="1">
        <v>41801</v>
      </c>
      <c r="H111">
        <v>14.67</v>
      </c>
      <c r="I111" s="1">
        <v>41801</v>
      </c>
      <c r="J111">
        <v>12.36</v>
      </c>
      <c r="K111" s="1">
        <v>41794</v>
      </c>
      <c r="L111">
        <v>80.662999999999997</v>
      </c>
    </row>
    <row r="112" spans="1:12" x14ac:dyDescent="0.25">
      <c r="A112" s="1">
        <v>41802</v>
      </c>
      <c r="B112">
        <v>12.56</v>
      </c>
      <c r="C112" s="1">
        <v>41802</v>
      </c>
      <c r="D112">
        <v>17.329999999999998</v>
      </c>
      <c r="E112" s="1">
        <v>41795</v>
      </c>
      <c r="F112">
        <v>65.121899999999997</v>
      </c>
      <c r="G112" s="1">
        <v>41802</v>
      </c>
      <c r="H112">
        <v>19.170000000000002</v>
      </c>
      <c r="I112" s="1">
        <v>41802</v>
      </c>
      <c r="J112">
        <v>12.91</v>
      </c>
      <c r="K112" s="1">
        <v>41795</v>
      </c>
      <c r="L112">
        <v>80.370999999999995</v>
      </c>
    </row>
    <row r="113" spans="1:12" x14ac:dyDescent="0.25">
      <c r="A113" s="1">
        <v>41803</v>
      </c>
      <c r="B113">
        <v>12.18</v>
      </c>
      <c r="C113" s="1">
        <v>41803</v>
      </c>
      <c r="D113">
        <v>16.809999999999999</v>
      </c>
      <c r="E113" s="1">
        <v>41796</v>
      </c>
      <c r="F113">
        <v>59.272599999999997</v>
      </c>
      <c r="G113" s="1">
        <v>41803</v>
      </c>
      <c r="H113">
        <v>19.47</v>
      </c>
      <c r="I113" s="1">
        <v>41803</v>
      </c>
      <c r="J113">
        <v>12.52</v>
      </c>
      <c r="K113" s="1">
        <v>41796</v>
      </c>
      <c r="L113">
        <v>80.409000000000006</v>
      </c>
    </row>
    <row r="114" spans="1:12" x14ac:dyDescent="0.25">
      <c r="A114" s="1">
        <v>41806</v>
      </c>
      <c r="B114">
        <v>12.65</v>
      </c>
      <c r="C114" s="1">
        <v>41806</v>
      </c>
      <c r="D114">
        <v>17.760000000000002</v>
      </c>
      <c r="E114" s="1">
        <v>41799</v>
      </c>
      <c r="F114">
        <v>57.329099999999997</v>
      </c>
      <c r="G114" s="1">
        <v>41806</v>
      </c>
      <c r="H114">
        <v>19.52</v>
      </c>
      <c r="I114" s="1">
        <v>41806</v>
      </c>
      <c r="J114">
        <v>12.41</v>
      </c>
      <c r="K114" s="1">
        <v>41799</v>
      </c>
      <c r="L114">
        <v>80.653000000000006</v>
      </c>
    </row>
    <row r="115" spans="1:12" x14ac:dyDescent="0.25">
      <c r="A115" s="1">
        <v>41807</v>
      </c>
      <c r="B115">
        <v>12.06</v>
      </c>
      <c r="C115" s="1">
        <v>41807</v>
      </c>
      <c r="D115">
        <v>17.66</v>
      </c>
      <c r="E115" s="1">
        <v>41800</v>
      </c>
      <c r="F115">
        <v>56.895499999999998</v>
      </c>
      <c r="G115" s="1">
        <v>41807</v>
      </c>
      <c r="H115">
        <v>17.399999999999999</v>
      </c>
      <c r="I115" s="1">
        <v>41807</v>
      </c>
      <c r="J115">
        <v>12.53</v>
      </c>
      <c r="K115" s="1">
        <v>41800</v>
      </c>
      <c r="L115">
        <v>80.819999999999993</v>
      </c>
    </row>
    <row r="116" spans="1:12" x14ac:dyDescent="0.25">
      <c r="A116" s="1">
        <v>41808</v>
      </c>
      <c r="B116">
        <v>10.61</v>
      </c>
      <c r="C116" s="1">
        <v>41808</v>
      </c>
      <c r="D116">
        <v>16.52</v>
      </c>
      <c r="E116" s="1">
        <v>41801</v>
      </c>
      <c r="F116">
        <v>55.3718</v>
      </c>
      <c r="G116" s="1">
        <v>41808</v>
      </c>
      <c r="H116">
        <v>17.28</v>
      </c>
      <c r="I116" s="1">
        <v>41808</v>
      </c>
      <c r="J116">
        <v>12.11</v>
      </c>
      <c r="K116" s="1">
        <v>41801</v>
      </c>
      <c r="L116">
        <v>80.787999999999997</v>
      </c>
    </row>
    <row r="117" spans="1:12" x14ac:dyDescent="0.25">
      <c r="A117" s="1">
        <v>41809</v>
      </c>
      <c r="B117">
        <v>10.62</v>
      </c>
      <c r="C117" s="1">
        <v>41809</v>
      </c>
      <c r="D117">
        <v>15.95</v>
      </c>
      <c r="E117" s="1">
        <v>41802</v>
      </c>
      <c r="F117">
        <v>56.090699999999998</v>
      </c>
      <c r="G117" s="1">
        <v>41809</v>
      </c>
      <c r="H117">
        <v>18.05</v>
      </c>
      <c r="I117" s="1">
        <v>41809</v>
      </c>
      <c r="J117">
        <v>14.48</v>
      </c>
      <c r="K117" s="1">
        <v>41802</v>
      </c>
      <c r="L117">
        <v>80.575999999999993</v>
      </c>
    </row>
    <row r="118" spans="1:12" x14ac:dyDescent="0.25">
      <c r="A118" s="1">
        <v>41810</v>
      </c>
      <c r="B118">
        <v>10.85</v>
      </c>
      <c r="C118" s="1">
        <v>41810</v>
      </c>
      <c r="D118">
        <v>15.08</v>
      </c>
      <c r="E118" s="1">
        <v>41803</v>
      </c>
      <c r="F118">
        <v>58.392400000000002</v>
      </c>
      <c r="G118" s="1">
        <v>41810</v>
      </c>
      <c r="H118">
        <v>18.84</v>
      </c>
      <c r="I118" s="1">
        <v>41810</v>
      </c>
      <c r="J118">
        <v>12.79</v>
      </c>
      <c r="K118" s="1">
        <v>41803</v>
      </c>
      <c r="L118">
        <v>80.575999999999993</v>
      </c>
    </row>
    <row r="119" spans="1:12" x14ac:dyDescent="0.25">
      <c r="A119" s="1">
        <v>41813</v>
      </c>
      <c r="B119">
        <v>10.98</v>
      </c>
      <c r="C119" s="1">
        <v>41813</v>
      </c>
      <c r="D119">
        <v>15.69</v>
      </c>
      <c r="E119" s="1">
        <v>41806</v>
      </c>
      <c r="F119">
        <v>58.073399999999999</v>
      </c>
      <c r="G119" s="1">
        <v>41813</v>
      </c>
      <c r="H119">
        <v>18.05</v>
      </c>
      <c r="I119" s="1">
        <v>41813</v>
      </c>
      <c r="J119">
        <v>12.93</v>
      </c>
      <c r="K119" s="1">
        <v>41806</v>
      </c>
      <c r="L119">
        <v>80.471000000000004</v>
      </c>
    </row>
    <row r="120" spans="1:12" x14ac:dyDescent="0.25">
      <c r="A120" s="1">
        <v>41814</v>
      </c>
      <c r="B120">
        <v>12.13</v>
      </c>
      <c r="C120" s="1">
        <v>41814</v>
      </c>
      <c r="D120">
        <v>15.76</v>
      </c>
      <c r="E120" s="1">
        <v>41807</v>
      </c>
      <c r="F120">
        <v>58.392400000000002</v>
      </c>
      <c r="G120" s="1">
        <v>41814</v>
      </c>
      <c r="H120">
        <v>17.93</v>
      </c>
      <c r="I120" s="1">
        <v>41814</v>
      </c>
      <c r="J120">
        <v>12.96</v>
      </c>
      <c r="K120" s="1">
        <v>41807</v>
      </c>
      <c r="L120">
        <v>80.629000000000005</v>
      </c>
    </row>
    <row r="121" spans="1:12" x14ac:dyDescent="0.25">
      <c r="A121" s="1">
        <v>41815</v>
      </c>
      <c r="B121">
        <v>11.59</v>
      </c>
      <c r="C121" s="1">
        <v>41815</v>
      </c>
      <c r="D121">
        <v>15.06</v>
      </c>
      <c r="E121" s="1">
        <v>41808</v>
      </c>
      <c r="F121">
        <v>59.446599999999997</v>
      </c>
      <c r="G121" s="1">
        <v>41815</v>
      </c>
      <c r="H121">
        <v>17.7</v>
      </c>
      <c r="I121" s="1">
        <v>41815</v>
      </c>
      <c r="J121">
        <v>12.92</v>
      </c>
      <c r="K121" s="1">
        <v>41808</v>
      </c>
      <c r="L121">
        <v>80.584000000000003</v>
      </c>
    </row>
    <row r="122" spans="1:12" x14ac:dyDescent="0.25">
      <c r="A122" s="1">
        <v>41816</v>
      </c>
      <c r="B122">
        <v>11.63</v>
      </c>
      <c r="C122" s="1">
        <v>41816</v>
      </c>
      <c r="D122">
        <v>15.18</v>
      </c>
      <c r="E122" s="1">
        <v>41809</v>
      </c>
      <c r="F122">
        <v>55.5349</v>
      </c>
      <c r="G122" s="1">
        <v>41816</v>
      </c>
      <c r="H122">
        <v>16.97</v>
      </c>
      <c r="I122" s="1">
        <v>41816</v>
      </c>
      <c r="J122">
        <v>12.76</v>
      </c>
      <c r="K122" s="1">
        <v>41809</v>
      </c>
      <c r="L122">
        <v>80.316999999999993</v>
      </c>
    </row>
    <row r="123" spans="1:12" x14ac:dyDescent="0.25">
      <c r="A123" s="1">
        <v>41817</v>
      </c>
      <c r="B123">
        <v>11.26</v>
      </c>
      <c r="C123" s="1">
        <v>41817</v>
      </c>
      <c r="D123">
        <v>14.91</v>
      </c>
      <c r="E123" s="1">
        <v>41810</v>
      </c>
      <c r="F123">
        <v>54.88</v>
      </c>
      <c r="G123" s="1">
        <v>41817</v>
      </c>
      <c r="H123">
        <v>16.440000000000001</v>
      </c>
      <c r="I123" s="1">
        <v>41817</v>
      </c>
      <c r="J123">
        <v>12.64</v>
      </c>
      <c r="K123" s="1">
        <v>41810</v>
      </c>
      <c r="L123">
        <v>80.372</v>
      </c>
    </row>
    <row r="124" spans="1:12" x14ac:dyDescent="0.25">
      <c r="A124" s="1">
        <v>41820</v>
      </c>
      <c r="B124">
        <v>11.57</v>
      </c>
      <c r="C124" s="1">
        <v>41820</v>
      </c>
      <c r="D124">
        <v>15.11</v>
      </c>
      <c r="E124" s="1">
        <v>41813</v>
      </c>
      <c r="F124">
        <v>54.590899999999998</v>
      </c>
      <c r="G124" s="1">
        <v>41820</v>
      </c>
      <c r="H124">
        <v>16.52</v>
      </c>
      <c r="I124" s="1">
        <v>41820</v>
      </c>
      <c r="J124">
        <v>14.01</v>
      </c>
      <c r="K124" s="1">
        <v>41813</v>
      </c>
      <c r="L124">
        <v>80.272000000000006</v>
      </c>
    </row>
    <row r="125" spans="1:12" x14ac:dyDescent="0.25">
      <c r="A125" s="1">
        <v>41821</v>
      </c>
      <c r="B125">
        <v>11.15</v>
      </c>
      <c r="C125" s="1">
        <v>41821</v>
      </c>
      <c r="D125">
        <v>14.23</v>
      </c>
      <c r="E125" s="1">
        <v>41814</v>
      </c>
      <c r="F125">
        <v>53.857599999999998</v>
      </c>
      <c r="G125" s="1">
        <v>41821</v>
      </c>
      <c r="H125">
        <v>16.239999999999998</v>
      </c>
      <c r="I125" s="1">
        <v>41821</v>
      </c>
      <c r="J125">
        <v>13.74</v>
      </c>
      <c r="K125" s="1">
        <v>41814</v>
      </c>
      <c r="L125">
        <v>80.326999999999998</v>
      </c>
    </row>
    <row r="126" spans="1:12" x14ac:dyDescent="0.25">
      <c r="A126" s="1">
        <v>41822</v>
      </c>
      <c r="B126">
        <v>10.82</v>
      </c>
      <c r="C126" s="1">
        <v>41822</v>
      </c>
      <c r="D126">
        <v>14.21</v>
      </c>
      <c r="E126" s="1">
        <v>41815</v>
      </c>
      <c r="F126">
        <v>54.055500000000002</v>
      </c>
      <c r="G126" s="1">
        <v>41822</v>
      </c>
      <c r="H126">
        <v>15.87</v>
      </c>
      <c r="I126" s="1">
        <v>41822</v>
      </c>
      <c r="J126">
        <v>13.89</v>
      </c>
      <c r="K126" s="1">
        <v>41815</v>
      </c>
      <c r="L126">
        <v>80.224999999999994</v>
      </c>
    </row>
    <row r="127" spans="1:12" x14ac:dyDescent="0.25">
      <c r="A127" s="1">
        <v>41823</v>
      </c>
      <c r="B127">
        <v>10.32</v>
      </c>
      <c r="C127" s="1">
        <v>41823</v>
      </c>
      <c r="D127">
        <v>13.71</v>
      </c>
      <c r="E127" s="1">
        <v>41816</v>
      </c>
      <c r="F127">
        <v>53.253300000000003</v>
      </c>
      <c r="G127" s="1">
        <v>41823</v>
      </c>
      <c r="H127">
        <v>15.59</v>
      </c>
      <c r="I127" s="1">
        <v>41823</v>
      </c>
      <c r="J127">
        <v>12.99</v>
      </c>
      <c r="K127" s="1">
        <v>41816</v>
      </c>
      <c r="L127">
        <v>80.22</v>
      </c>
    </row>
    <row r="128" spans="1:12" x14ac:dyDescent="0.25">
      <c r="A128" s="1">
        <v>41827</v>
      </c>
      <c r="B128">
        <v>11.33</v>
      </c>
      <c r="C128" s="1">
        <v>41827</v>
      </c>
      <c r="D128">
        <v>13.92</v>
      </c>
      <c r="E128" s="1">
        <v>41817</v>
      </c>
      <c r="F128">
        <v>53.278300000000002</v>
      </c>
      <c r="G128" s="1">
        <v>41827</v>
      </c>
      <c r="H128">
        <v>16.36</v>
      </c>
      <c r="I128" s="1">
        <v>41827</v>
      </c>
      <c r="J128">
        <v>12.99</v>
      </c>
      <c r="K128" s="1">
        <v>41817</v>
      </c>
      <c r="L128">
        <v>80.039000000000001</v>
      </c>
    </row>
    <row r="129" spans="1:12" x14ac:dyDescent="0.25">
      <c r="A129" s="1">
        <v>41828</v>
      </c>
      <c r="B129">
        <v>11.98</v>
      </c>
      <c r="C129" s="1">
        <v>41828</v>
      </c>
      <c r="D129">
        <v>15.05</v>
      </c>
      <c r="E129" s="1">
        <v>41820</v>
      </c>
      <c r="F129">
        <v>52.736600000000003</v>
      </c>
      <c r="G129" s="1">
        <v>41828</v>
      </c>
      <c r="H129">
        <v>16.309999999999999</v>
      </c>
      <c r="I129" s="1">
        <v>41828</v>
      </c>
      <c r="J129">
        <v>12.83</v>
      </c>
      <c r="K129" s="1">
        <v>41820</v>
      </c>
      <c r="L129">
        <v>79.775000000000006</v>
      </c>
    </row>
    <row r="130" spans="1:12" x14ac:dyDescent="0.25">
      <c r="A130" s="1">
        <v>41829</v>
      </c>
      <c r="B130">
        <v>11.65</v>
      </c>
      <c r="C130" s="1">
        <v>41829</v>
      </c>
      <c r="D130">
        <v>14.62</v>
      </c>
      <c r="E130" s="1">
        <v>41821</v>
      </c>
      <c r="F130">
        <v>58.254100000000001</v>
      </c>
      <c r="G130" s="1">
        <v>41829</v>
      </c>
      <c r="H130">
        <v>16.36</v>
      </c>
      <c r="I130" s="1">
        <v>41829</v>
      </c>
      <c r="J130">
        <v>13.05</v>
      </c>
      <c r="K130" s="1">
        <v>41821</v>
      </c>
      <c r="L130">
        <v>79.814999999999998</v>
      </c>
    </row>
    <row r="131" spans="1:12" x14ac:dyDescent="0.25">
      <c r="A131" s="1">
        <v>41830</v>
      </c>
      <c r="B131">
        <v>12.59</v>
      </c>
      <c r="C131" s="1">
        <v>41830</v>
      </c>
      <c r="D131">
        <v>15</v>
      </c>
      <c r="E131" s="1">
        <v>41822</v>
      </c>
      <c r="F131">
        <v>59.575800000000001</v>
      </c>
      <c r="G131" s="1">
        <v>41830</v>
      </c>
      <c r="H131">
        <v>16.46</v>
      </c>
      <c r="I131" s="1">
        <v>41830</v>
      </c>
      <c r="J131">
        <v>12.91</v>
      </c>
      <c r="K131" s="1">
        <v>41822</v>
      </c>
      <c r="L131">
        <v>79.956000000000003</v>
      </c>
    </row>
    <row r="132" spans="1:12" x14ac:dyDescent="0.25">
      <c r="A132" s="1">
        <v>41831</v>
      </c>
      <c r="B132">
        <v>12.08</v>
      </c>
      <c r="C132" s="1">
        <v>41831</v>
      </c>
      <c r="D132">
        <v>14.37</v>
      </c>
      <c r="E132" s="1">
        <v>41823</v>
      </c>
      <c r="F132">
        <v>56.891399999999997</v>
      </c>
      <c r="G132" s="1">
        <v>41831</v>
      </c>
      <c r="H132">
        <v>17.260000000000002</v>
      </c>
      <c r="I132" s="1">
        <v>41831</v>
      </c>
      <c r="J132">
        <v>13.27</v>
      </c>
      <c r="K132" s="1">
        <v>41823</v>
      </c>
      <c r="L132">
        <v>80.212000000000003</v>
      </c>
    </row>
    <row r="133" spans="1:12" x14ac:dyDescent="0.25">
      <c r="A133" s="1">
        <v>41834</v>
      </c>
      <c r="B133">
        <v>11.82</v>
      </c>
      <c r="C133" s="1">
        <v>41834</v>
      </c>
      <c r="D133">
        <v>13.74</v>
      </c>
      <c r="E133" s="1">
        <v>41824</v>
      </c>
      <c r="F133">
        <v>56.891399999999997</v>
      </c>
      <c r="G133" s="1">
        <v>41834</v>
      </c>
      <c r="H133">
        <v>18.100000000000001</v>
      </c>
      <c r="I133" s="1">
        <v>41834</v>
      </c>
      <c r="J133">
        <v>14.23</v>
      </c>
      <c r="K133" s="1">
        <v>41824</v>
      </c>
      <c r="L133">
        <v>80.269000000000005</v>
      </c>
    </row>
    <row r="134" spans="1:12" x14ac:dyDescent="0.25">
      <c r="A134" s="1">
        <v>41835</v>
      </c>
      <c r="B134">
        <v>11.96</v>
      </c>
      <c r="C134" s="1">
        <v>41835</v>
      </c>
      <c r="D134">
        <v>14.8</v>
      </c>
      <c r="E134" s="1">
        <v>41827</v>
      </c>
      <c r="F134">
        <v>55.0533</v>
      </c>
      <c r="G134" s="1">
        <v>41835</v>
      </c>
      <c r="H134">
        <v>17.96</v>
      </c>
      <c r="I134" s="1">
        <v>41835</v>
      </c>
      <c r="J134">
        <v>14.73</v>
      </c>
      <c r="K134" s="1">
        <v>41827</v>
      </c>
      <c r="L134">
        <v>80.218000000000004</v>
      </c>
    </row>
    <row r="135" spans="1:12" x14ac:dyDescent="0.25">
      <c r="A135" s="1">
        <v>41836</v>
      </c>
      <c r="B135">
        <v>11</v>
      </c>
      <c r="C135" s="1">
        <v>41836</v>
      </c>
      <c r="D135">
        <v>14.17</v>
      </c>
      <c r="E135" s="1">
        <v>41828</v>
      </c>
      <c r="F135">
        <v>54.9666</v>
      </c>
      <c r="G135" s="1">
        <v>41836</v>
      </c>
      <c r="H135">
        <v>16.88</v>
      </c>
      <c r="I135" s="1">
        <v>41836</v>
      </c>
      <c r="J135">
        <v>14.67</v>
      </c>
      <c r="K135" s="1">
        <v>41828</v>
      </c>
      <c r="L135">
        <v>80.179000000000002</v>
      </c>
    </row>
    <row r="136" spans="1:12" x14ac:dyDescent="0.25">
      <c r="A136" s="1">
        <v>41837</v>
      </c>
      <c r="B136">
        <v>14.54</v>
      </c>
      <c r="C136" s="1">
        <v>41837</v>
      </c>
      <c r="D136">
        <v>17.329999999999998</v>
      </c>
      <c r="E136" s="1">
        <v>41829</v>
      </c>
      <c r="F136">
        <v>55.165300000000002</v>
      </c>
      <c r="G136" s="1">
        <v>41837</v>
      </c>
      <c r="H136">
        <v>17.87</v>
      </c>
      <c r="I136" s="1">
        <v>41837</v>
      </c>
      <c r="J136">
        <v>15.52</v>
      </c>
      <c r="K136" s="1">
        <v>41829</v>
      </c>
      <c r="L136">
        <v>79.992999999999995</v>
      </c>
    </row>
    <row r="137" spans="1:12" x14ac:dyDescent="0.25">
      <c r="A137" s="1">
        <v>41838</v>
      </c>
      <c r="B137">
        <v>12.06</v>
      </c>
      <c r="C137" s="1">
        <v>41838</v>
      </c>
      <c r="D137">
        <v>15.7</v>
      </c>
      <c r="E137" s="1">
        <v>41830</v>
      </c>
      <c r="F137">
        <v>55.613399999999999</v>
      </c>
      <c r="G137" s="1">
        <v>41838</v>
      </c>
      <c r="H137">
        <v>17.39</v>
      </c>
      <c r="I137" s="1">
        <v>41838</v>
      </c>
      <c r="J137">
        <v>14.35</v>
      </c>
      <c r="K137" s="1">
        <v>41830</v>
      </c>
      <c r="L137">
        <v>80.126999999999995</v>
      </c>
    </row>
    <row r="138" spans="1:12" x14ac:dyDescent="0.25">
      <c r="A138" s="1">
        <v>41841</v>
      </c>
      <c r="B138">
        <v>12.81</v>
      </c>
      <c r="C138" s="1">
        <v>41841</v>
      </c>
      <c r="D138">
        <v>16.010000000000002</v>
      </c>
      <c r="E138" s="1">
        <v>41831</v>
      </c>
      <c r="F138">
        <v>54.768500000000003</v>
      </c>
      <c r="G138" s="1">
        <v>41841</v>
      </c>
      <c r="H138">
        <v>16.97</v>
      </c>
      <c r="I138" s="1">
        <v>41841</v>
      </c>
      <c r="J138">
        <v>14.69</v>
      </c>
      <c r="K138" s="1">
        <v>41831</v>
      </c>
      <c r="L138">
        <v>80.186999999999998</v>
      </c>
    </row>
    <row r="139" spans="1:12" x14ac:dyDescent="0.25">
      <c r="A139" s="1">
        <v>41842</v>
      </c>
      <c r="B139">
        <v>12.24</v>
      </c>
      <c r="C139" s="1">
        <v>41842</v>
      </c>
      <c r="D139">
        <v>15.42</v>
      </c>
      <c r="E139" s="1">
        <v>41834</v>
      </c>
      <c r="F139">
        <v>54.420400000000001</v>
      </c>
      <c r="G139" s="1">
        <v>41842</v>
      </c>
      <c r="H139">
        <v>17.100000000000001</v>
      </c>
      <c r="I139" s="1">
        <v>41842</v>
      </c>
      <c r="J139">
        <v>14.62</v>
      </c>
      <c r="K139" s="1">
        <v>41834</v>
      </c>
      <c r="L139">
        <v>80.188000000000002</v>
      </c>
    </row>
    <row r="140" spans="1:12" x14ac:dyDescent="0.25">
      <c r="A140" s="1">
        <v>41843</v>
      </c>
      <c r="B140">
        <v>11.52</v>
      </c>
      <c r="C140" s="1">
        <v>41843</v>
      </c>
      <c r="D140">
        <v>15.6</v>
      </c>
      <c r="E140" s="1">
        <v>41835</v>
      </c>
      <c r="F140">
        <v>54.0261</v>
      </c>
      <c r="G140" s="1">
        <v>41843</v>
      </c>
      <c r="H140">
        <v>16.73</v>
      </c>
      <c r="I140" s="1">
        <v>41843</v>
      </c>
      <c r="J140">
        <v>14.07</v>
      </c>
      <c r="K140" s="1">
        <v>41835</v>
      </c>
      <c r="L140">
        <v>80.39</v>
      </c>
    </row>
    <row r="141" spans="1:12" x14ac:dyDescent="0.25">
      <c r="A141" s="1">
        <v>41844</v>
      </c>
      <c r="B141">
        <v>11.84</v>
      </c>
      <c r="C141" s="1">
        <v>41844</v>
      </c>
      <c r="D141">
        <v>15.94</v>
      </c>
      <c r="E141" s="1">
        <v>41836</v>
      </c>
      <c r="F141">
        <v>52.880200000000002</v>
      </c>
      <c r="G141" s="1">
        <v>41844</v>
      </c>
      <c r="H141">
        <v>15.95</v>
      </c>
      <c r="I141" s="1">
        <v>41844</v>
      </c>
      <c r="J141">
        <v>14.33</v>
      </c>
      <c r="K141" s="1">
        <v>41836</v>
      </c>
      <c r="L141">
        <v>80.558999999999997</v>
      </c>
    </row>
    <row r="142" spans="1:12" x14ac:dyDescent="0.25">
      <c r="A142" s="1">
        <v>41845</v>
      </c>
      <c r="B142">
        <v>12.69</v>
      </c>
      <c r="C142" s="1">
        <v>41845</v>
      </c>
      <c r="D142">
        <v>16.57</v>
      </c>
      <c r="E142" s="1">
        <v>41837</v>
      </c>
      <c r="F142">
        <v>54.4908</v>
      </c>
      <c r="G142" s="1">
        <v>41845</v>
      </c>
      <c r="H142">
        <v>16.670000000000002</v>
      </c>
      <c r="I142" s="1">
        <v>41845</v>
      </c>
      <c r="J142">
        <v>14.68</v>
      </c>
      <c r="K142" s="1">
        <v>41837</v>
      </c>
      <c r="L142">
        <v>80.504999999999995</v>
      </c>
    </row>
    <row r="143" spans="1:12" x14ac:dyDescent="0.25">
      <c r="A143" s="1">
        <v>41848</v>
      </c>
      <c r="B143">
        <v>12.56</v>
      </c>
      <c r="C143" s="1">
        <v>41848</v>
      </c>
      <c r="D143">
        <v>16.75</v>
      </c>
      <c r="E143" s="1">
        <v>41838</v>
      </c>
      <c r="F143">
        <v>54.410499999999999</v>
      </c>
      <c r="G143" s="1">
        <v>41848</v>
      </c>
      <c r="H143">
        <v>16.37</v>
      </c>
      <c r="I143" s="1">
        <v>41848</v>
      </c>
      <c r="J143">
        <v>14.55</v>
      </c>
      <c r="K143" s="1">
        <v>41838</v>
      </c>
      <c r="L143">
        <v>80.524000000000001</v>
      </c>
    </row>
    <row r="144" spans="1:12" x14ac:dyDescent="0.25">
      <c r="A144" s="1">
        <v>41849</v>
      </c>
      <c r="B144">
        <v>13.28</v>
      </c>
      <c r="C144" s="1">
        <v>41849</v>
      </c>
      <c r="D144">
        <v>17.38</v>
      </c>
      <c r="E144" s="1">
        <v>41841</v>
      </c>
      <c r="F144">
        <v>53.851100000000002</v>
      </c>
      <c r="G144" s="1">
        <v>41849</v>
      </c>
      <c r="H144">
        <v>16.79</v>
      </c>
      <c r="I144" s="1">
        <v>41849</v>
      </c>
      <c r="J144">
        <v>15.05</v>
      </c>
      <c r="K144" s="1">
        <v>41841</v>
      </c>
      <c r="L144">
        <v>80.56</v>
      </c>
    </row>
    <row r="145" spans="1:12" x14ac:dyDescent="0.25">
      <c r="A145" s="1">
        <v>41850</v>
      </c>
      <c r="B145">
        <v>13.33</v>
      </c>
      <c r="C145" s="1">
        <v>41850</v>
      </c>
      <c r="D145">
        <v>17.96</v>
      </c>
      <c r="E145" s="1">
        <v>41842</v>
      </c>
      <c r="F145">
        <v>53.801299999999998</v>
      </c>
      <c r="G145" s="1">
        <v>41850</v>
      </c>
      <c r="H145">
        <v>17.11</v>
      </c>
      <c r="I145" s="1">
        <v>41850</v>
      </c>
      <c r="J145">
        <v>14.85</v>
      </c>
      <c r="K145" s="1">
        <v>41842</v>
      </c>
      <c r="L145">
        <v>80.781000000000006</v>
      </c>
    </row>
    <row r="146" spans="1:12" x14ac:dyDescent="0.25">
      <c r="A146" s="1">
        <v>41851</v>
      </c>
      <c r="B146">
        <v>16.95</v>
      </c>
      <c r="C146" s="1">
        <v>41851</v>
      </c>
      <c r="D146">
        <v>20.56</v>
      </c>
      <c r="E146" s="1">
        <v>41843</v>
      </c>
      <c r="F146">
        <v>53.3872</v>
      </c>
      <c r="G146" s="1">
        <v>41851</v>
      </c>
      <c r="H146">
        <v>18.78</v>
      </c>
      <c r="I146" s="1">
        <v>41851</v>
      </c>
      <c r="J146">
        <v>15.46</v>
      </c>
      <c r="K146" s="1">
        <v>41843</v>
      </c>
      <c r="L146">
        <v>80.822999999999993</v>
      </c>
    </row>
    <row r="147" spans="1:12" x14ac:dyDescent="0.25">
      <c r="A147" s="1">
        <v>41852</v>
      </c>
      <c r="B147">
        <v>17.03</v>
      </c>
      <c r="C147" s="1">
        <v>41852</v>
      </c>
      <c r="D147">
        <v>20.76</v>
      </c>
      <c r="E147" s="1">
        <v>41844</v>
      </c>
      <c r="F147">
        <v>54.257599999999996</v>
      </c>
      <c r="G147" s="1">
        <v>41852</v>
      </c>
      <c r="H147">
        <v>19.39</v>
      </c>
      <c r="I147" s="1">
        <v>41852</v>
      </c>
      <c r="J147">
        <v>14.37</v>
      </c>
      <c r="K147" s="1">
        <v>41844</v>
      </c>
      <c r="L147">
        <v>80.872</v>
      </c>
    </row>
    <row r="148" spans="1:12" x14ac:dyDescent="0.25">
      <c r="A148" s="1">
        <v>41855</v>
      </c>
      <c r="B148">
        <v>15.12</v>
      </c>
      <c r="C148" s="1">
        <v>41855</v>
      </c>
      <c r="D148">
        <v>19.63</v>
      </c>
      <c r="E148" s="1">
        <v>41845</v>
      </c>
      <c r="F148">
        <v>54.427199999999999</v>
      </c>
      <c r="G148" s="1">
        <v>41855</v>
      </c>
      <c r="H148">
        <v>18.920000000000002</v>
      </c>
      <c r="I148" s="1">
        <v>41855</v>
      </c>
      <c r="J148">
        <v>14.17</v>
      </c>
      <c r="K148" s="1">
        <v>41845</v>
      </c>
      <c r="L148">
        <v>81.028999999999996</v>
      </c>
    </row>
    <row r="149" spans="1:12" x14ac:dyDescent="0.25">
      <c r="A149" s="1">
        <v>41856</v>
      </c>
      <c r="B149">
        <v>16.87</v>
      </c>
      <c r="C149" s="1">
        <v>41856</v>
      </c>
      <c r="D149">
        <v>21.03</v>
      </c>
      <c r="E149" s="1">
        <v>41848</v>
      </c>
      <c r="F149">
        <v>54.081499999999998</v>
      </c>
      <c r="G149" s="1">
        <v>41856</v>
      </c>
      <c r="H149">
        <v>19.100000000000001</v>
      </c>
      <c r="I149" s="1">
        <v>41856</v>
      </c>
      <c r="J149">
        <v>14.76</v>
      </c>
      <c r="K149" s="1">
        <v>41848</v>
      </c>
      <c r="L149">
        <v>81.025000000000006</v>
      </c>
    </row>
    <row r="150" spans="1:12" x14ac:dyDescent="0.25">
      <c r="A150" s="1">
        <v>41857</v>
      </c>
      <c r="B150">
        <v>16.37</v>
      </c>
      <c r="C150" s="1">
        <v>41857</v>
      </c>
      <c r="D150">
        <v>21.7</v>
      </c>
      <c r="E150" s="1">
        <v>41849</v>
      </c>
      <c r="F150">
        <v>53.804900000000004</v>
      </c>
      <c r="G150" s="1">
        <v>41857</v>
      </c>
      <c r="H150">
        <v>18.809999999999999</v>
      </c>
      <c r="I150" s="1">
        <v>41857</v>
      </c>
      <c r="J150">
        <v>14.51</v>
      </c>
      <c r="K150" s="1">
        <v>41849</v>
      </c>
      <c r="L150">
        <v>81.213999999999999</v>
      </c>
    </row>
    <row r="151" spans="1:12" x14ac:dyDescent="0.25">
      <c r="A151" s="1">
        <v>41858</v>
      </c>
      <c r="B151">
        <v>16.66</v>
      </c>
      <c r="C151" s="1">
        <v>41858</v>
      </c>
      <c r="D151">
        <v>22.37</v>
      </c>
      <c r="E151" s="1">
        <v>41850</v>
      </c>
      <c r="F151">
        <v>55.891599999999997</v>
      </c>
      <c r="G151" s="1">
        <v>41858</v>
      </c>
      <c r="H151">
        <v>18.850000000000001</v>
      </c>
      <c r="I151" s="1">
        <v>41858</v>
      </c>
      <c r="J151">
        <v>14.82</v>
      </c>
      <c r="K151" s="1">
        <v>41850</v>
      </c>
      <c r="L151">
        <v>81.432000000000002</v>
      </c>
    </row>
    <row r="152" spans="1:12" x14ac:dyDescent="0.25">
      <c r="A152" s="1">
        <v>41859</v>
      </c>
      <c r="B152">
        <v>15.77</v>
      </c>
      <c r="C152" s="1">
        <v>41859</v>
      </c>
      <c r="D152">
        <v>20.47</v>
      </c>
      <c r="E152" s="1">
        <v>41851</v>
      </c>
      <c r="F152">
        <v>56.457799999999999</v>
      </c>
      <c r="G152" s="1">
        <v>41859</v>
      </c>
      <c r="H152">
        <v>18.88</v>
      </c>
      <c r="I152" s="1">
        <v>41859</v>
      </c>
      <c r="J152">
        <v>14.85</v>
      </c>
      <c r="K152" s="1">
        <v>41851</v>
      </c>
      <c r="L152">
        <v>81.456000000000003</v>
      </c>
    </row>
    <row r="153" spans="1:12" x14ac:dyDescent="0.25">
      <c r="A153" s="1">
        <v>41862</v>
      </c>
      <c r="B153">
        <v>14.23</v>
      </c>
      <c r="C153" s="1">
        <v>41862</v>
      </c>
      <c r="D153">
        <v>19</v>
      </c>
      <c r="E153" s="1">
        <v>41852</v>
      </c>
      <c r="F153">
        <v>52.260300000000001</v>
      </c>
      <c r="G153" s="1">
        <v>41862</v>
      </c>
      <c r="H153">
        <v>17.54</v>
      </c>
      <c r="I153" s="1">
        <v>41862</v>
      </c>
      <c r="J153">
        <v>14.49</v>
      </c>
      <c r="K153" s="1">
        <v>41852</v>
      </c>
      <c r="L153">
        <v>81.302000000000007</v>
      </c>
    </row>
    <row r="154" spans="1:12" x14ac:dyDescent="0.25">
      <c r="A154" s="1">
        <v>41863</v>
      </c>
      <c r="B154">
        <v>14.13</v>
      </c>
      <c r="C154" s="1">
        <v>41863</v>
      </c>
      <c r="D154">
        <v>18.89</v>
      </c>
      <c r="E154" s="1">
        <v>41855</v>
      </c>
      <c r="F154">
        <v>52.297699999999999</v>
      </c>
      <c r="G154" s="1">
        <v>41863</v>
      </c>
      <c r="H154">
        <v>17.55</v>
      </c>
      <c r="I154" s="1">
        <v>41863</v>
      </c>
      <c r="J154">
        <v>14.35</v>
      </c>
      <c r="K154" s="1">
        <v>41855</v>
      </c>
      <c r="L154">
        <v>81.328000000000003</v>
      </c>
    </row>
    <row r="155" spans="1:12" x14ac:dyDescent="0.25">
      <c r="A155" s="1">
        <v>41864</v>
      </c>
      <c r="B155">
        <v>12.9</v>
      </c>
      <c r="C155" s="1">
        <v>41864</v>
      </c>
      <c r="D155">
        <v>17.940000000000001</v>
      </c>
      <c r="E155" s="1">
        <v>41856</v>
      </c>
      <c r="F155">
        <v>56.677900000000001</v>
      </c>
      <c r="G155" s="1">
        <v>41864</v>
      </c>
      <c r="H155">
        <v>17.190000000000001</v>
      </c>
      <c r="I155" s="1">
        <v>41864</v>
      </c>
      <c r="J155">
        <v>13.53</v>
      </c>
      <c r="K155" s="1">
        <v>41856</v>
      </c>
      <c r="L155">
        <v>81.328000000000003</v>
      </c>
    </row>
    <row r="156" spans="1:12" x14ac:dyDescent="0.25">
      <c r="A156" s="1">
        <v>41865</v>
      </c>
      <c r="B156">
        <v>12.42</v>
      </c>
      <c r="C156" s="1">
        <v>41865</v>
      </c>
      <c r="D156">
        <v>17.149999999999999</v>
      </c>
      <c r="E156" s="1">
        <v>41857</v>
      </c>
      <c r="F156">
        <v>56.923099999999998</v>
      </c>
      <c r="G156" s="1">
        <v>41865</v>
      </c>
      <c r="H156">
        <v>17.86</v>
      </c>
      <c r="I156" s="1">
        <v>41865</v>
      </c>
      <c r="J156">
        <v>12.55</v>
      </c>
      <c r="K156" s="1">
        <v>41857</v>
      </c>
      <c r="L156">
        <v>81.444000000000003</v>
      </c>
    </row>
    <row r="157" spans="1:12" x14ac:dyDescent="0.25">
      <c r="A157" s="1">
        <v>41866</v>
      </c>
      <c r="B157">
        <v>13.15</v>
      </c>
      <c r="C157" s="1">
        <v>41866</v>
      </c>
      <c r="D157">
        <v>17.5</v>
      </c>
      <c r="E157" s="1">
        <v>41858</v>
      </c>
      <c r="F157">
        <v>59.4998</v>
      </c>
      <c r="G157" s="1">
        <v>41866</v>
      </c>
      <c r="H157">
        <v>18.59</v>
      </c>
      <c r="I157" s="1">
        <v>41866</v>
      </c>
      <c r="J157">
        <v>13.33</v>
      </c>
      <c r="K157" s="1">
        <v>41858</v>
      </c>
      <c r="L157">
        <v>81.524000000000001</v>
      </c>
    </row>
    <row r="158" spans="1:12" x14ac:dyDescent="0.25">
      <c r="A158" s="1">
        <v>41869</v>
      </c>
      <c r="B158">
        <v>12.32</v>
      </c>
      <c r="C158" s="1">
        <v>41869</v>
      </c>
      <c r="D158">
        <v>15.86</v>
      </c>
      <c r="E158" s="1">
        <v>41859</v>
      </c>
      <c r="F158">
        <v>62.473599999999998</v>
      </c>
      <c r="G158" s="1">
        <v>41869</v>
      </c>
      <c r="H158">
        <v>19.52</v>
      </c>
      <c r="I158" s="1">
        <v>41869</v>
      </c>
      <c r="J158">
        <v>13.46</v>
      </c>
      <c r="K158" s="1">
        <v>41859</v>
      </c>
      <c r="L158">
        <v>81.388999999999996</v>
      </c>
    </row>
    <row r="159" spans="1:12" x14ac:dyDescent="0.25">
      <c r="A159" s="1">
        <v>41870</v>
      </c>
      <c r="B159">
        <v>12.21</v>
      </c>
      <c r="C159" s="1">
        <v>41870</v>
      </c>
      <c r="D159">
        <v>15.19</v>
      </c>
      <c r="E159" s="1">
        <v>41862</v>
      </c>
      <c r="F159">
        <v>60.273299999999999</v>
      </c>
      <c r="G159" s="1">
        <v>41870</v>
      </c>
      <c r="H159">
        <v>19.38</v>
      </c>
      <c r="I159" s="1">
        <v>41870</v>
      </c>
      <c r="J159">
        <v>13.43</v>
      </c>
      <c r="K159" s="1">
        <v>41862</v>
      </c>
      <c r="L159">
        <v>81.465999999999994</v>
      </c>
    </row>
    <row r="160" spans="1:12" x14ac:dyDescent="0.25">
      <c r="A160" s="1">
        <v>41871</v>
      </c>
      <c r="B160">
        <v>11.78</v>
      </c>
      <c r="C160" s="1">
        <v>41871</v>
      </c>
      <c r="D160">
        <v>15.33</v>
      </c>
      <c r="E160" s="1">
        <v>41863</v>
      </c>
      <c r="F160">
        <v>59.366</v>
      </c>
      <c r="G160" s="1">
        <v>41871</v>
      </c>
      <c r="H160">
        <v>17.96</v>
      </c>
      <c r="I160" s="1">
        <v>41871</v>
      </c>
      <c r="J160">
        <v>13.51</v>
      </c>
      <c r="K160" s="1">
        <v>41863</v>
      </c>
      <c r="L160">
        <v>81.5</v>
      </c>
    </row>
    <row r="161" spans="1:12" x14ac:dyDescent="0.25">
      <c r="A161" s="1">
        <v>41872</v>
      </c>
      <c r="B161">
        <v>11.76</v>
      </c>
      <c r="C161" s="1">
        <v>41872</v>
      </c>
      <c r="D161">
        <v>15.28</v>
      </c>
      <c r="E161" s="1">
        <v>41864</v>
      </c>
      <c r="F161">
        <v>58.8215</v>
      </c>
      <c r="G161" s="1">
        <v>41872</v>
      </c>
      <c r="H161">
        <v>17.25</v>
      </c>
      <c r="I161" s="1">
        <v>41872</v>
      </c>
      <c r="J161">
        <v>13.84</v>
      </c>
      <c r="K161" s="1">
        <v>41864</v>
      </c>
      <c r="L161">
        <v>81.596000000000004</v>
      </c>
    </row>
    <row r="162" spans="1:12" x14ac:dyDescent="0.25">
      <c r="A162" s="1">
        <v>41873</v>
      </c>
      <c r="B162">
        <v>11.47</v>
      </c>
      <c r="C162" s="1">
        <v>41873</v>
      </c>
      <c r="D162">
        <v>14.84</v>
      </c>
      <c r="E162" s="1">
        <v>41865</v>
      </c>
      <c r="F162">
        <v>58.528599999999997</v>
      </c>
      <c r="G162" s="1">
        <v>41873</v>
      </c>
      <c r="H162">
        <v>16.510000000000002</v>
      </c>
      <c r="I162" s="1">
        <v>41873</v>
      </c>
      <c r="J162">
        <v>13.46</v>
      </c>
      <c r="K162" s="1">
        <v>41865</v>
      </c>
      <c r="L162">
        <v>81.587999999999994</v>
      </c>
    </row>
    <row r="163" spans="1:12" x14ac:dyDescent="0.25">
      <c r="A163" s="1">
        <v>41876</v>
      </c>
      <c r="B163">
        <v>11.7</v>
      </c>
      <c r="C163" s="1">
        <v>41876</v>
      </c>
      <c r="D163">
        <v>14.51</v>
      </c>
      <c r="E163" s="1">
        <v>41866</v>
      </c>
      <c r="F163">
        <v>60.393300000000004</v>
      </c>
      <c r="G163" s="1">
        <v>41876</v>
      </c>
      <c r="H163">
        <v>16.920000000000002</v>
      </c>
      <c r="I163" s="1">
        <v>41876</v>
      </c>
      <c r="J163">
        <v>13.55</v>
      </c>
      <c r="K163" s="1">
        <v>41866</v>
      </c>
      <c r="L163">
        <v>81.424000000000007</v>
      </c>
    </row>
    <row r="164" spans="1:12" x14ac:dyDescent="0.25">
      <c r="A164" s="1">
        <v>41877</v>
      </c>
      <c r="B164">
        <v>11.63</v>
      </c>
      <c r="C164" s="1">
        <v>41877</v>
      </c>
      <c r="D164">
        <v>14.5</v>
      </c>
      <c r="E164" s="1">
        <v>41869</v>
      </c>
      <c r="F164">
        <v>61.690199999999997</v>
      </c>
      <c r="G164" s="1">
        <v>41877</v>
      </c>
      <c r="H164">
        <v>16.68</v>
      </c>
      <c r="I164" s="1">
        <v>41877</v>
      </c>
      <c r="J164">
        <v>13.24</v>
      </c>
      <c r="K164" s="1">
        <v>41869</v>
      </c>
      <c r="L164">
        <v>81.575999999999993</v>
      </c>
    </row>
    <row r="165" spans="1:12" x14ac:dyDescent="0.25">
      <c r="A165" s="1">
        <v>41878</v>
      </c>
      <c r="B165">
        <v>11.78</v>
      </c>
      <c r="C165" s="1">
        <v>41878</v>
      </c>
      <c r="D165">
        <v>14.42</v>
      </c>
      <c r="E165" s="1">
        <v>41870</v>
      </c>
      <c r="F165">
        <v>61.965499999999999</v>
      </c>
      <c r="G165" s="1">
        <v>41878</v>
      </c>
      <c r="H165">
        <v>16.47</v>
      </c>
      <c r="I165" s="1">
        <v>41878</v>
      </c>
      <c r="J165">
        <v>12.72</v>
      </c>
      <c r="K165" s="1">
        <v>41870</v>
      </c>
      <c r="L165">
        <v>81.882999999999996</v>
      </c>
    </row>
    <row r="166" spans="1:12" x14ac:dyDescent="0.25">
      <c r="A166" s="1">
        <v>41879</v>
      </c>
      <c r="B166">
        <v>12.05</v>
      </c>
      <c r="C166" s="1">
        <v>41879</v>
      </c>
      <c r="D166">
        <v>15.37</v>
      </c>
      <c r="E166" s="1">
        <v>41871</v>
      </c>
      <c r="F166">
        <v>62.78</v>
      </c>
      <c r="G166" s="1">
        <v>41879</v>
      </c>
      <c r="H166">
        <v>16.52</v>
      </c>
      <c r="I166" s="1">
        <v>41879</v>
      </c>
      <c r="J166">
        <v>12.9</v>
      </c>
      <c r="K166" s="1">
        <v>41871</v>
      </c>
      <c r="L166">
        <v>82.225999999999999</v>
      </c>
    </row>
    <row r="167" spans="1:12" x14ac:dyDescent="0.25">
      <c r="A167" s="1">
        <v>41880</v>
      </c>
      <c r="B167">
        <v>11.98</v>
      </c>
      <c r="C167" s="1">
        <v>41880</v>
      </c>
      <c r="D167">
        <v>15.4</v>
      </c>
      <c r="E167" s="1">
        <v>41872</v>
      </c>
      <c r="F167">
        <v>60.186599999999999</v>
      </c>
      <c r="G167" s="1">
        <v>41880</v>
      </c>
      <c r="H167">
        <v>16.68</v>
      </c>
      <c r="I167" s="1">
        <v>41880</v>
      </c>
      <c r="J167">
        <v>12.85</v>
      </c>
      <c r="K167" s="1">
        <v>41872</v>
      </c>
      <c r="L167">
        <v>82.153999999999996</v>
      </c>
    </row>
    <row r="168" spans="1:12" x14ac:dyDescent="0.25">
      <c r="A168" s="1">
        <v>41884</v>
      </c>
      <c r="B168">
        <v>12.25</v>
      </c>
      <c r="C168" s="1">
        <v>41884</v>
      </c>
      <c r="D168">
        <v>16.09</v>
      </c>
      <c r="E168" s="1">
        <v>41873</v>
      </c>
      <c r="F168">
        <v>59.842500000000001</v>
      </c>
      <c r="G168" s="1">
        <v>41884</v>
      </c>
      <c r="H168">
        <v>18.34</v>
      </c>
      <c r="I168" s="1">
        <v>41884</v>
      </c>
      <c r="J168">
        <v>14.05</v>
      </c>
      <c r="K168" s="1">
        <v>41873</v>
      </c>
      <c r="L168">
        <v>82.335999999999999</v>
      </c>
    </row>
    <row r="169" spans="1:12" x14ac:dyDescent="0.25">
      <c r="A169" s="1">
        <v>41885</v>
      </c>
      <c r="B169">
        <v>12.36</v>
      </c>
      <c r="C169" s="1">
        <v>41885</v>
      </c>
      <c r="D169">
        <v>16.489999999999998</v>
      </c>
      <c r="E169" s="1">
        <v>41876</v>
      </c>
      <c r="F169">
        <v>57.154600000000002</v>
      </c>
      <c r="G169" s="1">
        <v>41885</v>
      </c>
      <c r="H169">
        <v>18.489999999999998</v>
      </c>
      <c r="I169" s="1">
        <v>41885</v>
      </c>
      <c r="J169">
        <v>13.44</v>
      </c>
      <c r="K169" s="1">
        <v>41876</v>
      </c>
      <c r="L169">
        <v>82.549000000000007</v>
      </c>
    </row>
    <row r="170" spans="1:12" x14ac:dyDescent="0.25">
      <c r="A170" s="1">
        <v>41886</v>
      </c>
      <c r="B170">
        <v>12.64</v>
      </c>
      <c r="C170" s="1">
        <v>41886</v>
      </c>
      <c r="D170">
        <v>16.739999999999998</v>
      </c>
      <c r="E170" s="1">
        <v>41877</v>
      </c>
      <c r="F170">
        <v>56.454300000000003</v>
      </c>
      <c r="G170" s="1">
        <v>41886</v>
      </c>
      <c r="H170">
        <v>18.95</v>
      </c>
      <c r="I170" s="1">
        <v>41886</v>
      </c>
      <c r="J170">
        <v>14.01</v>
      </c>
      <c r="K170" s="1">
        <v>41877</v>
      </c>
      <c r="L170">
        <v>82.65</v>
      </c>
    </row>
    <row r="171" spans="1:12" x14ac:dyDescent="0.25">
      <c r="A171" s="1">
        <v>41887</v>
      </c>
      <c r="B171">
        <v>12.09</v>
      </c>
      <c r="C171" s="1">
        <v>41887</v>
      </c>
      <c r="D171">
        <v>16.05</v>
      </c>
      <c r="E171" s="1">
        <v>41878</v>
      </c>
      <c r="F171">
        <v>56.87</v>
      </c>
      <c r="G171" s="1">
        <v>41887</v>
      </c>
      <c r="H171">
        <v>18.52</v>
      </c>
      <c r="I171" s="1">
        <v>41887</v>
      </c>
      <c r="J171">
        <v>13.27</v>
      </c>
      <c r="K171" s="1">
        <v>41878</v>
      </c>
      <c r="L171">
        <v>82.427999999999997</v>
      </c>
    </row>
    <row r="172" spans="1:12" x14ac:dyDescent="0.25">
      <c r="A172" s="1">
        <v>41890</v>
      </c>
      <c r="B172">
        <v>12.66</v>
      </c>
      <c r="C172" s="1">
        <v>41890</v>
      </c>
      <c r="D172">
        <v>16.89</v>
      </c>
      <c r="E172" s="1">
        <v>41879</v>
      </c>
      <c r="F172">
        <v>59.776200000000003</v>
      </c>
      <c r="G172" s="1">
        <v>41890</v>
      </c>
      <c r="H172">
        <v>20.43</v>
      </c>
      <c r="I172" s="1">
        <v>41890</v>
      </c>
      <c r="J172">
        <v>14.47</v>
      </c>
      <c r="K172" s="1">
        <v>41879</v>
      </c>
      <c r="L172">
        <v>82.477000000000004</v>
      </c>
    </row>
    <row r="173" spans="1:12" x14ac:dyDescent="0.25">
      <c r="A173" s="1">
        <v>41891</v>
      </c>
      <c r="B173">
        <v>13.5</v>
      </c>
      <c r="C173" s="1">
        <v>41891</v>
      </c>
      <c r="D173">
        <v>18.440000000000001</v>
      </c>
      <c r="E173" s="1">
        <v>41880</v>
      </c>
      <c r="F173">
        <v>60.489400000000003</v>
      </c>
      <c r="G173" s="1">
        <v>41891</v>
      </c>
      <c r="H173">
        <v>19.68</v>
      </c>
      <c r="I173" s="1">
        <v>41891</v>
      </c>
      <c r="J173">
        <v>15.36</v>
      </c>
      <c r="K173" s="1">
        <v>41880</v>
      </c>
      <c r="L173">
        <v>82.748000000000005</v>
      </c>
    </row>
    <row r="174" spans="1:12" x14ac:dyDescent="0.25">
      <c r="A174" s="1">
        <v>41892</v>
      </c>
      <c r="B174">
        <v>12.88</v>
      </c>
      <c r="C174" s="1">
        <v>41892</v>
      </c>
      <c r="D174">
        <v>18.64</v>
      </c>
      <c r="E174" s="1">
        <v>41883</v>
      </c>
      <c r="F174">
        <v>60.489400000000003</v>
      </c>
      <c r="G174" s="1">
        <v>41892</v>
      </c>
      <c r="H174">
        <v>20.49</v>
      </c>
      <c r="I174" s="1">
        <v>41892</v>
      </c>
      <c r="J174">
        <v>15.89</v>
      </c>
      <c r="K174" s="1">
        <v>41883</v>
      </c>
      <c r="L174">
        <v>82.748000000000005</v>
      </c>
    </row>
    <row r="175" spans="1:12" x14ac:dyDescent="0.25">
      <c r="A175" s="1">
        <v>41893</v>
      </c>
      <c r="B175">
        <v>12.8</v>
      </c>
      <c r="C175" s="1">
        <v>41893</v>
      </c>
      <c r="D175">
        <v>19.23</v>
      </c>
      <c r="E175" s="1">
        <v>41884</v>
      </c>
      <c r="F175">
        <v>61.346400000000003</v>
      </c>
      <c r="G175" s="1">
        <v>41893</v>
      </c>
      <c r="H175">
        <v>20.63</v>
      </c>
      <c r="I175" s="1">
        <v>41893</v>
      </c>
      <c r="J175">
        <v>16.420000000000002</v>
      </c>
      <c r="K175" s="1">
        <v>41884</v>
      </c>
      <c r="L175">
        <v>82.992000000000004</v>
      </c>
    </row>
    <row r="176" spans="1:12" x14ac:dyDescent="0.25">
      <c r="A176" s="1">
        <v>41894</v>
      </c>
      <c r="B176">
        <v>13.31</v>
      </c>
      <c r="C176" s="1">
        <v>41894</v>
      </c>
      <c r="D176">
        <v>20.04</v>
      </c>
      <c r="E176" s="1">
        <v>41885</v>
      </c>
      <c r="F176">
        <v>64.895600000000002</v>
      </c>
      <c r="G176" s="1">
        <v>41894</v>
      </c>
      <c r="H176">
        <v>19.53</v>
      </c>
      <c r="I176" s="1">
        <v>41894</v>
      </c>
      <c r="J176">
        <v>17.86</v>
      </c>
      <c r="K176" s="1">
        <v>41885</v>
      </c>
      <c r="L176">
        <v>82.864999999999995</v>
      </c>
    </row>
    <row r="177" spans="1:12" x14ac:dyDescent="0.25">
      <c r="A177" s="1">
        <v>41897</v>
      </c>
      <c r="B177">
        <v>14.12</v>
      </c>
      <c r="C177" s="1">
        <v>41897</v>
      </c>
      <c r="D177">
        <v>20.9</v>
      </c>
      <c r="E177" s="1">
        <v>41886</v>
      </c>
      <c r="F177">
        <v>64.944500000000005</v>
      </c>
      <c r="G177" s="1">
        <v>41897</v>
      </c>
      <c r="H177">
        <v>20.170000000000002</v>
      </c>
      <c r="I177" s="1">
        <v>41897</v>
      </c>
      <c r="J177">
        <v>16.5</v>
      </c>
      <c r="K177" s="1">
        <v>41886</v>
      </c>
      <c r="L177">
        <v>83.82</v>
      </c>
    </row>
    <row r="178" spans="1:12" x14ac:dyDescent="0.25">
      <c r="A178" s="1">
        <v>41898</v>
      </c>
      <c r="B178">
        <v>12.73</v>
      </c>
      <c r="C178" s="1">
        <v>41898</v>
      </c>
      <c r="D178">
        <v>20.440000000000001</v>
      </c>
      <c r="E178" s="1">
        <v>41887</v>
      </c>
      <c r="F178">
        <v>60.2652</v>
      </c>
      <c r="G178" s="1">
        <v>41898</v>
      </c>
      <c r="H178">
        <v>18.93</v>
      </c>
      <c r="I178" s="1">
        <v>41898</v>
      </c>
      <c r="J178">
        <v>16.579999999999998</v>
      </c>
      <c r="K178" s="1">
        <v>41887</v>
      </c>
      <c r="L178">
        <v>83.739000000000004</v>
      </c>
    </row>
    <row r="179" spans="1:12" x14ac:dyDescent="0.25">
      <c r="A179" s="1">
        <v>41899</v>
      </c>
      <c r="B179">
        <v>12.65</v>
      </c>
      <c r="C179" s="1">
        <v>41899</v>
      </c>
      <c r="D179">
        <v>18.82</v>
      </c>
      <c r="E179" s="1">
        <v>41890</v>
      </c>
      <c r="F179">
        <v>60.029200000000003</v>
      </c>
      <c r="G179" s="1">
        <v>41899</v>
      </c>
      <c r="H179">
        <v>19.18</v>
      </c>
      <c r="I179" s="1">
        <v>41899</v>
      </c>
      <c r="J179">
        <v>17.14</v>
      </c>
      <c r="K179" s="1">
        <v>41890</v>
      </c>
      <c r="L179">
        <v>84.231999999999999</v>
      </c>
    </row>
    <row r="180" spans="1:12" x14ac:dyDescent="0.25">
      <c r="A180" s="1">
        <v>41900</v>
      </c>
      <c r="B180">
        <v>12.03</v>
      </c>
      <c r="C180" s="1">
        <v>41900</v>
      </c>
      <c r="D180">
        <v>18</v>
      </c>
      <c r="E180" s="1">
        <v>41891</v>
      </c>
      <c r="F180">
        <v>61.503599999999999</v>
      </c>
      <c r="G180" s="1">
        <v>41900</v>
      </c>
      <c r="H180">
        <v>18.98</v>
      </c>
      <c r="I180" s="1">
        <v>41900</v>
      </c>
      <c r="J180">
        <v>15.5</v>
      </c>
      <c r="K180" s="1">
        <v>41891</v>
      </c>
      <c r="L180">
        <v>84.278000000000006</v>
      </c>
    </row>
    <row r="181" spans="1:12" x14ac:dyDescent="0.25">
      <c r="A181" s="1">
        <v>41901</v>
      </c>
      <c r="B181">
        <v>12.11</v>
      </c>
      <c r="C181" s="1">
        <v>41901</v>
      </c>
      <c r="D181">
        <v>17.399999999999999</v>
      </c>
      <c r="E181" s="1">
        <v>41892</v>
      </c>
      <c r="F181">
        <v>63.207099999999997</v>
      </c>
      <c r="G181" s="1">
        <v>41901</v>
      </c>
      <c r="H181">
        <v>18.559999999999999</v>
      </c>
      <c r="I181" s="1">
        <v>41901</v>
      </c>
      <c r="J181">
        <v>16.899999999999999</v>
      </c>
      <c r="K181" s="1">
        <v>41892</v>
      </c>
      <c r="L181">
        <v>84.283000000000001</v>
      </c>
    </row>
    <row r="182" spans="1:12" x14ac:dyDescent="0.25">
      <c r="A182" s="1">
        <v>41904</v>
      </c>
      <c r="B182">
        <v>13.69</v>
      </c>
      <c r="C182" s="1">
        <v>41904</v>
      </c>
      <c r="D182">
        <v>19.13</v>
      </c>
      <c r="E182" s="1">
        <v>41893</v>
      </c>
      <c r="F182">
        <v>62.848500000000001</v>
      </c>
      <c r="G182" s="1">
        <v>41904</v>
      </c>
      <c r="H182">
        <v>19.98</v>
      </c>
      <c r="I182" s="1">
        <v>41904</v>
      </c>
      <c r="J182">
        <v>16.440000000000001</v>
      </c>
      <c r="K182" s="1">
        <v>41893</v>
      </c>
      <c r="L182">
        <v>84.298000000000002</v>
      </c>
    </row>
    <row r="183" spans="1:12" x14ac:dyDescent="0.25">
      <c r="A183" s="1">
        <v>41905</v>
      </c>
      <c r="B183">
        <v>14.93</v>
      </c>
      <c r="C183" s="1">
        <v>41905</v>
      </c>
      <c r="D183">
        <v>19.34</v>
      </c>
      <c r="E183" s="1">
        <v>41894</v>
      </c>
      <c r="F183">
        <v>65.596900000000005</v>
      </c>
      <c r="G183" s="1">
        <v>41905</v>
      </c>
      <c r="H183">
        <v>20.73</v>
      </c>
      <c r="I183" s="1">
        <v>41905</v>
      </c>
      <c r="J183">
        <v>16.649999999999999</v>
      </c>
      <c r="K183" s="1">
        <v>41894</v>
      </c>
      <c r="L183">
        <v>84.24</v>
      </c>
    </row>
    <row r="184" spans="1:12" x14ac:dyDescent="0.25">
      <c r="A184" s="1">
        <v>41906</v>
      </c>
      <c r="B184">
        <v>13.27</v>
      </c>
      <c r="C184" s="1">
        <v>41906</v>
      </c>
      <c r="D184">
        <v>18.600000000000001</v>
      </c>
      <c r="E184" s="1">
        <v>41897</v>
      </c>
      <c r="F184">
        <v>66.088399999999993</v>
      </c>
      <c r="G184" s="1">
        <v>41906</v>
      </c>
      <c r="H184">
        <v>19.8</v>
      </c>
      <c r="I184" s="1">
        <v>41906</v>
      </c>
      <c r="J184">
        <v>17.21</v>
      </c>
      <c r="K184" s="1">
        <v>41897</v>
      </c>
      <c r="L184">
        <v>84.263999999999996</v>
      </c>
    </row>
    <row r="185" spans="1:12" x14ac:dyDescent="0.25">
      <c r="A185" s="1">
        <v>41907</v>
      </c>
      <c r="B185">
        <v>15.64</v>
      </c>
      <c r="C185" s="1">
        <v>41907</v>
      </c>
      <c r="D185">
        <v>20.260000000000002</v>
      </c>
      <c r="E185" s="1">
        <v>41898</v>
      </c>
      <c r="F185">
        <v>67.085700000000003</v>
      </c>
      <c r="G185" s="1">
        <v>41907</v>
      </c>
      <c r="H185">
        <v>20.07</v>
      </c>
      <c r="I185" s="1">
        <v>41907</v>
      </c>
      <c r="J185">
        <v>17.989999999999998</v>
      </c>
      <c r="K185" s="1">
        <v>41898</v>
      </c>
      <c r="L185">
        <v>84.073999999999998</v>
      </c>
    </row>
    <row r="186" spans="1:12" x14ac:dyDescent="0.25">
      <c r="A186" s="1">
        <v>41908</v>
      </c>
      <c r="B186">
        <v>14.85</v>
      </c>
      <c r="C186" s="1">
        <v>41908</v>
      </c>
      <c r="D186">
        <v>20.29</v>
      </c>
      <c r="E186" s="1">
        <v>41899</v>
      </c>
      <c r="F186">
        <v>62.260100000000001</v>
      </c>
      <c r="G186" s="1">
        <v>41908</v>
      </c>
      <c r="H186">
        <v>19.420000000000002</v>
      </c>
      <c r="I186" s="1">
        <v>41908</v>
      </c>
      <c r="J186">
        <v>17.84</v>
      </c>
      <c r="K186" s="1">
        <v>41899</v>
      </c>
      <c r="L186">
        <v>84.344999999999999</v>
      </c>
    </row>
    <row r="187" spans="1:12" x14ac:dyDescent="0.25">
      <c r="A187" s="1">
        <v>41911</v>
      </c>
      <c r="B187">
        <v>15.98</v>
      </c>
      <c r="C187" s="1">
        <v>41911</v>
      </c>
      <c r="D187">
        <v>22.52</v>
      </c>
      <c r="E187" s="1">
        <v>41900</v>
      </c>
      <c r="F187">
        <v>62.030299999999997</v>
      </c>
      <c r="G187" s="1">
        <v>41911</v>
      </c>
      <c r="H187">
        <v>19.86</v>
      </c>
      <c r="I187" s="1">
        <v>41911</v>
      </c>
      <c r="J187">
        <v>17.170000000000002</v>
      </c>
      <c r="K187" s="1">
        <v>41900</v>
      </c>
      <c r="L187">
        <v>84.322999999999993</v>
      </c>
    </row>
    <row r="188" spans="1:12" x14ac:dyDescent="0.25">
      <c r="A188" s="1">
        <v>41912</v>
      </c>
      <c r="B188">
        <v>16.309999999999999</v>
      </c>
      <c r="C188" s="1">
        <v>41912</v>
      </c>
      <c r="D188">
        <v>21.95</v>
      </c>
      <c r="E188" s="1">
        <v>41901</v>
      </c>
      <c r="F188">
        <v>59.830300000000001</v>
      </c>
      <c r="G188" s="1">
        <v>41912</v>
      </c>
      <c r="H188">
        <v>21.52</v>
      </c>
      <c r="I188" s="1">
        <v>41912</v>
      </c>
      <c r="J188">
        <v>18.829999999999998</v>
      </c>
      <c r="K188" s="1">
        <v>41901</v>
      </c>
      <c r="L188">
        <v>84.734999999999999</v>
      </c>
    </row>
    <row r="189" spans="1:12" x14ac:dyDescent="0.25">
      <c r="A189" s="1">
        <v>41913</v>
      </c>
      <c r="B189">
        <v>16.71</v>
      </c>
      <c r="C189" s="1">
        <v>41913</v>
      </c>
      <c r="D189">
        <v>23.66</v>
      </c>
      <c r="E189" s="1">
        <v>41904</v>
      </c>
      <c r="F189">
        <v>58.0017</v>
      </c>
      <c r="G189" s="1">
        <v>41913</v>
      </c>
      <c r="H189">
        <v>22.38</v>
      </c>
      <c r="I189" s="1">
        <v>41913</v>
      </c>
      <c r="J189">
        <v>18.73</v>
      </c>
      <c r="K189" s="1">
        <v>41904</v>
      </c>
      <c r="L189">
        <v>84.751999999999995</v>
      </c>
    </row>
    <row r="190" spans="1:12" x14ac:dyDescent="0.25">
      <c r="A190" s="1">
        <v>41914</v>
      </c>
      <c r="B190">
        <v>16.16</v>
      </c>
      <c r="C190" s="1">
        <v>41914</v>
      </c>
      <c r="D190">
        <v>22.9</v>
      </c>
      <c r="E190" s="1">
        <v>41905</v>
      </c>
      <c r="F190">
        <v>57.432400000000001</v>
      </c>
      <c r="G190" s="1">
        <v>41914</v>
      </c>
      <c r="H190">
        <v>23.36</v>
      </c>
      <c r="I190" s="1">
        <v>41914</v>
      </c>
      <c r="J190">
        <v>18.2</v>
      </c>
      <c r="K190" s="1">
        <v>41905</v>
      </c>
      <c r="L190">
        <v>84.658000000000001</v>
      </c>
    </row>
    <row r="191" spans="1:12" x14ac:dyDescent="0.25">
      <c r="A191" s="1">
        <v>41915</v>
      </c>
      <c r="B191">
        <v>14.55</v>
      </c>
      <c r="C191" s="1">
        <v>41915</v>
      </c>
      <c r="D191">
        <v>21.13</v>
      </c>
      <c r="E191" s="1">
        <v>41906</v>
      </c>
      <c r="F191">
        <v>58.323999999999998</v>
      </c>
      <c r="G191" s="1">
        <v>41915</v>
      </c>
      <c r="H191">
        <v>24.22</v>
      </c>
      <c r="I191" s="1">
        <v>41915</v>
      </c>
      <c r="J191">
        <v>19.13</v>
      </c>
      <c r="K191" s="1">
        <v>41906</v>
      </c>
      <c r="L191">
        <v>85.037000000000006</v>
      </c>
    </row>
    <row r="192" spans="1:12" x14ac:dyDescent="0.25">
      <c r="A192" s="1">
        <v>41918</v>
      </c>
      <c r="B192">
        <v>15.46</v>
      </c>
      <c r="C192" s="1">
        <v>41918</v>
      </c>
      <c r="D192">
        <v>20.67</v>
      </c>
      <c r="E192" s="1">
        <v>41907</v>
      </c>
      <c r="F192">
        <v>59.147599999999997</v>
      </c>
      <c r="G192" s="1">
        <v>41918</v>
      </c>
      <c r="H192">
        <v>24.62</v>
      </c>
      <c r="I192" s="1">
        <v>41918</v>
      </c>
      <c r="J192">
        <v>17.600000000000001</v>
      </c>
      <c r="K192" s="1">
        <v>41907</v>
      </c>
      <c r="L192">
        <v>85.194999999999993</v>
      </c>
    </row>
    <row r="193" spans="1:12" x14ac:dyDescent="0.25">
      <c r="A193" s="1">
        <v>41919</v>
      </c>
      <c r="B193">
        <v>17.2</v>
      </c>
      <c r="C193" s="1">
        <v>41919</v>
      </c>
      <c r="D193">
        <v>22.1</v>
      </c>
      <c r="E193" s="1">
        <v>41908</v>
      </c>
      <c r="F193">
        <v>64.537899999999993</v>
      </c>
      <c r="G193" s="1">
        <v>41919</v>
      </c>
      <c r="H193">
        <v>25.09</v>
      </c>
      <c r="I193" s="1">
        <v>41919</v>
      </c>
      <c r="J193">
        <v>17.559999999999999</v>
      </c>
      <c r="K193" s="1">
        <v>41908</v>
      </c>
      <c r="L193">
        <v>85.64</v>
      </c>
    </row>
    <row r="194" spans="1:12" x14ac:dyDescent="0.25">
      <c r="A194" s="1">
        <v>41920</v>
      </c>
      <c r="B194">
        <v>15.11</v>
      </c>
      <c r="C194" s="1">
        <v>41920</v>
      </c>
      <c r="D194">
        <v>21.28</v>
      </c>
      <c r="E194" s="1">
        <v>41911</v>
      </c>
      <c r="F194">
        <v>62.302</v>
      </c>
      <c r="G194" s="1">
        <v>41920</v>
      </c>
      <c r="H194">
        <v>25.28</v>
      </c>
      <c r="I194" s="1">
        <v>41920</v>
      </c>
      <c r="J194">
        <v>17.5</v>
      </c>
      <c r="K194" s="1">
        <v>41911</v>
      </c>
      <c r="L194">
        <v>85.590999999999994</v>
      </c>
    </row>
    <row r="195" spans="1:12" x14ac:dyDescent="0.25">
      <c r="A195" s="1">
        <v>41921</v>
      </c>
      <c r="B195">
        <v>18.760000000000002</v>
      </c>
      <c r="C195" s="1">
        <v>41921</v>
      </c>
      <c r="D195">
        <v>23.08</v>
      </c>
      <c r="E195" s="1">
        <v>41912</v>
      </c>
      <c r="F195">
        <v>64.205500000000001</v>
      </c>
      <c r="G195" s="1">
        <v>41921</v>
      </c>
      <c r="H195">
        <v>27.72</v>
      </c>
      <c r="I195" s="1">
        <v>41921</v>
      </c>
      <c r="J195">
        <v>17.86</v>
      </c>
      <c r="K195" s="1">
        <v>41912</v>
      </c>
      <c r="L195">
        <v>85.936000000000007</v>
      </c>
    </row>
    <row r="196" spans="1:12" x14ac:dyDescent="0.25">
      <c r="A196" s="1">
        <v>41922</v>
      </c>
      <c r="B196">
        <v>21.24</v>
      </c>
      <c r="C196" s="1">
        <v>41922</v>
      </c>
      <c r="D196">
        <v>24.64</v>
      </c>
      <c r="E196" s="1">
        <v>41913</v>
      </c>
      <c r="F196">
        <v>64.287400000000005</v>
      </c>
      <c r="G196" s="1">
        <v>41922</v>
      </c>
      <c r="H196">
        <v>30.03</v>
      </c>
      <c r="I196" s="1">
        <v>41922</v>
      </c>
      <c r="J196">
        <v>18.11</v>
      </c>
      <c r="K196" s="1">
        <v>41913</v>
      </c>
      <c r="L196">
        <v>85.971999999999994</v>
      </c>
    </row>
    <row r="197" spans="1:12" x14ac:dyDescent="0.25">
      <c r="A197" s="1">
        <v>41925</v>
      </c>
      <c r="B197">
        <v>24.64</v>
      </c>
      <c r="C197" s="1">
        <v>41925</v>
      </c>
      <c r="D197">
        <v>26.37</v>
      </c>
      <c r="E197" s="1">
        <v>41914</v>
      </c>
      <c r="F197">
        <v>66.158500000000004</v>
      </c>
      <c r="G197" s="1">
        <v>41925</v>
      </c>
      <c r="H197">
        <v>31.32</v>
      </c>
      <c r="I197" s="1">
        <v>41925</v>
      </c>
      <c r="J197">
        <v>17.690000000000001</v>
      </c>
      <c r="K197" s="1">
        <v>41914</v>
      </c>
      <c r="L197">
        <v>85.600999999999999</v>
      </c>
    </row>
    <row r="198" spans="1:12" x14ac:dyDescent="0.25">
      <c r="A198" s="1">
        <v>41926</v>
      </c>
      <c r="B198">
        <v>22.79</v>
      </c>
      <c r="C198" s="1">
        <v>41926</v>
      </c>
      <c r="D198">
        <v>25.71</v>
      </c>
      <c r="E198" s="1">
        <v>41915</v>
      </c>
      <c r="F198">
        <v>62.501600000000003</v>
      </c>
      <c r="G198" s="1">
        <v>41926</v>
      </c>
      <c r="H198">
        <v>37.229999999999997</v>
      </c>
      <c r="I198" s="1">
        <v>41926</v>
      </c>
      <c r="J198">
        <v>17.98</v>
      </c>
      <c r="K198" s="1">
        <v>41915</v>
      </c>
      <c r="L198">
        <v>86.694000000000003</v>
      </c>
    </row>
    <row r="199" spans="1:12" x14ac:dyDescent="0.25">
      <c r="A199" s="1">
        <v>41927</v>
      </c>
      <c r="B199">
        <v>26.25</v>
      </c>
      <c r="C199" s="1">
        <v>41927</v>
      </c>
      <c r="D199">
        <v>31.9</v>
      </c>
      <c r="E199" s="1">
        <v>41918</v>
      </c>
      <c r="F199">
        <v>60.444400000000002</v>
      </c>
      <c r="G199" s="1">
        <v>41927</v>
      </c>
      <c r="H199">
        <v>36.36</v>
      </c>
      <c r="I199" s="1">
        <v>41927</v>
      </c>
      <c r="J199">
        <v>20.04</v>
      </c>
      <c r="K199" s="1">
        <v>41918</v>
      </c>
      <c r="L199">
        <v>85.927999999999997</v>
      </c>
    </row>
    <row r="200" spans="1:12" x14ac:dyDescent="0.25">
      <c r="A200" s="1">
        <v>41928</v>
      </c>
      <c r="B200">
        <v>25.2</v>
      </c>
      <c r="C200" s="1">
        <v>41928</v>
      </c>
      <c r="D200">
        <v>29.64</v>
      </c>
      <c r="E200" s="1">
        <v>41919</v>
      </c>
      <c r="F200">
        <v>65.265199999999993</v>
      </c>
      <c r="G200" s="1">
        <v>41928</v>
      </c>
      <c r="H200">
        <v>34.090000000000003</v>
      </c>
      <c r="I200" s="1">
        <v>41928</v>
      </c>
      <c r="J200">
        <v>19.68</v>
      </c>
      <c r="K200" s="1">
        <v>41919</v>
      </c>
      <c r="L200">
        <v>85.671999999999997</v>
      </c>
    </row>
    <row r="201" spans="1:12" x14ac:dyDescent="0.25">
      <c r="A201" s="1">
        <v>41929</v>
      </c>
      <c r="B201">
        <v>21.99</v>
      </c>
      <c r="C201" s="1">
        <v>41929</v>
      </c>
      <c r="D201">
        <v>27.34</v>
      </c>
      <c r="E201" s="1">
        <v>41920</v>
      </c>
      <c r="F201">
        <v>64.950100000000006</v>
      </c>
      <c r="G201" s="1">
        <v>41929</v>
      </c>
      <c r="H201">
        <v>31.16</v>
      </c>
      <c r="I201" s="1">
        <v>41929</v>
      </c>
      <c r="J201">
        <v>18.079999999999998</v>
      </c>
      <c r="K201" s="1">
        <v>41920</v>
      </c>
      <c r="L201">
        <v>85.296999999999997</v>
      </c>
    </row>
    <row r="202" spans="1:12" x14ac:dyDescent="0.25">
      <c r="A202" s="1">
        <v>41932</v>
      </c>
      <c r="B202">
        <v>18.57</v>
      </c>
      <c r="C202" s="1">
        <v>41932</v>
      </c>
      <c r="D202">
        <v>25.49</v>
      </c>
      <c r="E202" s="1">
        <v>41921</v>
      </c>
      <c r="F202">
        <v>66.467799999999997</v>
      </c>
      <c r="G202" s="1">
        <v>41932</v>
      </c>
      <c r="H202">
        <v>29.36</v>
      </c>
      <c r="I202" s="1">
        <v>41932</v>
      </c>
      <c r="J202">
        <v>17.27</v>
      </c>
      <c r="K202" s="1">
        <v>41921</v>
      </c>
      <c r="L202">
        <v>85.522000000000006</v>
      </c>
    </row>
    <row r="203" spans="1:12" x14ac:dyDescent="0.25">
      <c r="A203" s="1">
        <v>41933</v>
      </c>
      <c r="B203">
        <v>16.079999999999998</v>
      </c>
      <c r="C203" s="1">
        <v>41933</v>
      </c>
      <c r="D203">
        <v>23.18</v>
      </c>
      <c r="E203" s="1">
        <v>41922</v>
      </c>
      <c r="F203">
        <v>68.692700000000002</v>
      </c>
      <c r="G203" s="1">
        <v>41933</v>
      </c>
      <c r="H203">
        <v>27.14</v>
      </c>
      <c r="I203" s="1">
        <v>41933</v>
      </c>
      <c r="J203">
        <v>17.010000000000002</v>
      </c>
      <c r="K203" s="1">
        <v>41922</v>
      </c>
      <c r="L203">
        <v>85.912000000000006</v>
      </c>
    </row>
    <row r="204" spans="1:12" x14ac:dyDescent="0.25">
      <c r="A204" s="1">
        <v>41934</v>
      </c>
      <c r="B204">
        <v>17.87</v>
      </c>
      <c r="C204" s="1">
        <v>41934</v>
      </c>
      <c r="D204">
        <v>22.83</v>
      </c>
      <c r="E204" s="1">
        <v>41925</v>
      </c>
      <c r="F204">
        <v>68.692700000000002</v>
      </c>
      <c r="G204" s="1">
        <v>41934</v>
      </c>
      <c r="H204">
        <v>30.68</v>
      </c>
      <c r="I204" s="1">
        <v>41934</v>
      </c>
      <c r="J204">
        <v>16.579999999999998</v>
      </c>
      <c r="K204" s="1">
        <v>41925</v>
      </c>
      <c r="L204">
        <v>85.531999999999996</v>
      </c>
    </row>
    <row r="205" spans="1:12" x14ac:dyDescent="0.25">
      <c r="A205" s="1">
        <v>41935</v>
      </c>
      <c r="B205">
        <v>16.53</v>
      </c>
      <c r="C205" s="1">
        <v>41935</v>
      </c>
      <c r="D205">
        <v>22.12</v>
      </c>
      <c r="E205" s="1">
        <v>41926</v>
      </c>
      <c r="F205">
        <v>74.640600000000006</v>
      </c>
      <c r="G205" s="1">
        <v>41935</v>
      </c>
      <c r="H205">
        <v>31.78</v>
      </c>
      <c r="I205" s="1">
        <v>41935</v>
      </c>
      <c r="J205">
        <v>16.91</v>
      </c>
      <c r="K205" s="1">
        <v>41926</v>
      </c>
      <c r="L205">
        <v>85.822000000000003</v>
      </c>
    </row>
    <row r="206" spans="1:12" x14ac:dyDescent="0.25">
      <c r="A206" s="1">
        <v>41936</v>
      </c>
      <c r="B206">
        <v>16.11</v>
      </c>
      <c r="C206" s="1">
        <v>41936</v>
      </c>
      <c r="D206">
        <v>21.09</v>
      </c>
      <c r="E206" s="1">
        <v>41927</v>
      </c>
      <c r="F206">
        <v>101.2812</v>
      </c>
      <c r="G206" s="1">
        <v>41936</v>
      </c>
      <c r="H206">
        <v>31.27</v>
      </c>
      <c r="I206" s="1">
        <v>41936</v>
      </c>
      <c r="J206">
        <v>16.239999999999998</v>
      </c>
      <c r="K206" s="1">
        <v>41927</v>
      </c>
      <c r="L206">
        <v>85.147000000000006</v>
      </c>
    </row>
    <row r="207" spans="1:12" x14ac:dyDescent="0.25">
      <c r="A207" s="1">
        <v>41939</v>
      </c>
      <c r="B207">
        <v>16.04</v>
      </c>
      <c r="C207" s="1">
        <v>41939</v>
      </c>
      <c r="D207">
        <v>20.05</v>
      </c>
      <c r="E207" s="1">
        <v>41928</v>
      </c>
      <c r="F207">
        <v>90.114599999999996</v>
      </c>
      <c r="G207" s="1">
        <v>41939</v>
      </c>
      <c r="H207">
        <v>32.44</v>
      </c>
      <c r="I207" s="1">
        <v>41939</v>
      </c>
      <c r="J207">
        <v>16.489999999999998</v>
      </c>
      <c r="K207" s="1">
        <v>41928</v>
      </c>
      <c r="L207">
        <v>84.954999999999998</v>
      </c>
    </row>
    <row r="208" spans="1:12" x14ac:dyDescent="0.25">
      <c r="A208" s="1">
        <v>41940</v>
      </c>
      <c r="B208">
        <v>14.39</v>
      </c>
      <c r="C208" s="1">
        <v>41940</v>
      </c>
      <c r="D208">
        <v>20.309999999999999</v>
      </c>
      <c r="E208" s="1">
        <v>41929</v>
      </c>
      <c r="F208">
        <v>82.922200000000004</v>
      </c>
      <c r="G208" s="1">
        <v>41940</v>
      </c>
      <c r="H208">
        <v>30.11</v>
      </c>
      <c r="I208" s="1">
        <v>41940</v>
      </c>
      <c r="J208">
        <v>16.3</v>
      </c>
      <c r="K208" s="1">
        <v>41929</v>
      </c>
      <c r="L208">
        <v>85.11</v>
      </c>
    </row>
    <row r="209" spans="1:12" x14ac:dyDescent="0.25">
      <c r="A209" s="1">
        <v>41941</v>
      </c>
      <c r="B209">
        <v>15.15</v>
      </c>
      <c r="C209" s="1">
        <v>41941</v>
      </c>
      <c r="D209">
        <v>20.38</v>
      </c>
      <c r="E209" s="1">
        <v>41932</v>
      </c>
      <c r="F209">
        <v>79.241799999999998</v>
      </c>
      <c r="G209" s="1">
        <v>41941</v>
      </c>
      <c r="H209">
        <v>28.93</v>
      </c>
      <c r="I209" s="1">
        <v>41941</v>
      </c>
      <c r="J209">
        <v>16.75</v>
      </c>
      <c r="K209" s="1">
        <v>41932</v>
      </c>
      <c r="L209">
        <v>84.953000000000003</v>
      </c>
    </row>
    <row r="210" spans="1:12" x14ac:dyDescent="0.25">
      <c r="A210" s="1">
        <v>41942</v>
      </c>
      <c r="B210">
        <v>14.52</v>
      </c>
      <c r="C210" s="1">
        <v>41942</v>
      </c>
      <c r="D210">
        <v>19.93</v>
      </c>
      <c r="E210" s="1">
        <v>41933</v>
      </c>
      <c r="F210">
        <v>78.894199999999998</v>
      </c>
      <c r="G210" s="1">
        <v>41942</v>
      </c>
      <c r="H210">
        <v>30.45</v>
      </c>
      <c r="I210" s="1">
        <v>41942</v>
      </c>
      <c r="J210">
        <v>18.079999999999998</v>
      </c>
      <c r="K210" s="1">
        <v>41933</v>
      </c>
      <c r="L210">
        <v>85.302999999999997</v>
      </c>
    </row>
    <row r="211" spans="1:12" x14ac:dyDescent="0.25">
      <c r="A211" s="1">
        <v>41943</v>
      </c>
      <c r="B211">
        <v>14.03</v>
      </c>
      <c r="C211" s="1">
        <v>41943</v>
      </c>
      <c r="D211">
        <v>18.87</v>
      </c>
      <c r="E211" s="1">
        <v>41934</v>
      </c>
      <c r="F211">
        <v>77.248099999999994</v>
      </c>
      <c r="G211" s="1">
        <v>41943</v>
      </c>
      <c r="H211">
        <v>30.52</v>
      </c>
      <c r="I211" s="1">
        <v>41943</v>
      </c>
      <c r="J211">
        <v>21.54</v>
      </c>
      <c r="K211" s="1">
        <v>41934</v>
      </c>
      <c r="L211">
        <v>85.741</v>
      </c>
    </row>
    <row r="212" spans="1:12" x14ac:dyDescent="0.25">
      <c r="A212" s="1">
        <v>41946</v>
      </c>
      <c r="B212">
        <v>14.73</v>
      </c>
      <c r="C212" s="1">
        <v>41946</v>
      </c>
      <c r="D212">
        <v>20.48</v>
      </c>
      <c r="E212" s="1">
        <v>41935</v>
      </c>
      <c r="F212">
        <v>80.409000000000006</v>
      </c>
      <c r="G212" s="1">
        <v>41946</v>
      </c>
      <c r="H212">
        <v>31.84</v>
      </c>
      <c r="I212" s="1">
        <v>41946</v>
      </c>
      <c r="J212">
        <v>21.1</v>
      </c>
      <c r="K212" s="1">
        <v>41935</v>
      </c>
      <c r="L212">
        <v>85.843000000000004</v>
      </c>
    </row>
    <row r="213" spans="1:12" x14ac:dyDescent="0.25">
      <c r="A213" s="1">
        <v>41947</v>
      </c>
      <c r="B213">
        <v>14.89</v>
      </c>
      <c r="C213" s="1">
        <v>41947</v>
      </c>
      <c r="D213">
        <v>20.37</v>
      </c>
      <c r="E213" s="1">
        <v>41936</v>
      </c>
      <c r="F213">
        <v>81.608999999999995</v>
      </c>
      <c r="G213" s="1">
        <v>41947</v>
      </c>
      <c r="H213">
        <v>33.130000000000003</v>
      </c>
      <c r="I213" s="1">
        <v>41947</v>
      </c>
      <c r="J213">
        <v>20.100000000000001</v>
      </c>
      <c r="K213" s="1">
        <v>41936</v>
      </c>
      <c r="L213">
        <v>85.731999999999999</v>
      </c>
    </row>
    <row r="214" spans="1:12" x14ac:dyDescent="0.25">
      <c r="A214" s="1">
        <v>41948</v>
      </c>
      <c r="B214">
        <v>14.17</v>
      </c>
      <c r="C214" s="1">
        <v>41948</v>
      </c>
      <c r="D214">
        <v>20.52</v>
      </c>
      <c r="E214" s="1">
        <v>41939</v>
      </c>
      <c r="F214">
        <v>77.563800000000001</v>
      </c>
      <c r="G214" s="1">
        <v>41948</v>
      </c>
      <c r="H214">
        <v>31.39</v>
      </c>
      <c r="I214" s="1">
        <v>41948</v>
      </c>
      <c r="J214">
        <v>23.38</v>
      </c>
      <c r="K214" s="1">
        <v>41939</v>
      </c>
      <c r="L214">
        <v>85.495000000000005</v>
      </c>
    </row>
    <row r="215" spans="1:12" x14ac:dyDescent="0.25">
      <c r="A215" s="1">
        <v>41949</v>
      </c>
      <c r="B215">
        <v>13.67</v>
      </c>
      <c r="C215" s="1">
        <v>41949</v>
      </c>
      <c r="D215">
        <v>20.87</v>
      </c>
      <c r="E215" s="1">
        <v>41940</v>
      </c>
      <c r="F215">
        <v>74.700900000000004</v>
      </c>
      <c r="G215" s="1">
        <v>41949</v>
      </c>
      <c r="H215">
        <v>30.34</v>
      </c>
      <c r="I215" s="1">
        <v>41949</v>
      </c>
      <c r="J215">
        <v>23.18</v>
      </c>
      <c r="K215" s="1">
        <v>41940</v>
      </c>
      <c r="L215">
        <v>85.408000000000001</v>
      </c>
    </row>
    <row r="216" spans="1:12" x14ac:dyDescent="0.25">
      <c r="A216" s="1">
        <v>41950</v>
      </c>
      <c r="B216">
        <v>13.12</v>
      </c>
      <c r="C216" s="1">
        <v>41950</v>
      </c>
      <c r="D216">
        <v>18.75</v>
      </c>
      <c r="E216" s="1">
        <v>41941</v>
      </c>
      <c r="F216">
        <v>72.990700000000004</v>
      </c>
      <c r="G216" s="1">
        <v>41950</v>
      </c>
      <c r="H216">
        <v>29.47</v>
      </c>
      <c r="I216" s="1">
        <v>41950</v>
      </c>
      <c r="J216">
        <v>21.38</v>
      </c>
      <c r="K216" s="1">
        <v>41941</v>
      </c>
      <c r="L216">
        <v>85.951999999999998</v>
      </c>
    </row>
    <row r="217" spans="1:12" x14ac:dyDescent="0.25">
      <c r="A217" s="1">
        <v>41953</v>
      </c>
      <c r="B217">
        <v>12.67</v>
      </c>
      <c r="C217" s="1">
        <v>41953</v>
      </c>
      <c r="D217">
        <v>18.48</v>
      </c>
      <c r="E217" s="1">
        <v>41942</v>
      </c>
      <c r="F217">
        <v>69.557500000000005</v>
      </c>
      <c r="G217" s="1">
        <v>41953</v>
      </c>
      <c r="H217">
        <v>30.72</v>
      </c>
      <c r="I217" s="1">
        <v>41953</v>
      </c>
      <c r="J217">
        <v>22.23</v>
      </c>
      <c r="K217" s="1">
        <v>41942</v>
      </c>
      <c r="L217">
        <v>86.147000000000006</v>
      </c>
    </row>
    <row r="218" spans="1:12" x14ac:dyDescent="0.25">
      <c r="A218" s="1">
        <v>41954</v>
      </c>
      <c r="B218">
        <v>12.92</v>
      </c>
      <c r="C218" s="1">
        <v>41954</v>
      </c>
      <c r="D218">
        <v>18.579999999999998</v>
      </c>
      <c r="E218" s="1">
        <v>41943</v>
      </c>
      <c r="F218">
        <v>68.691000000000003</v>
      </c>
      <c r="G218" s="1">
        <v>41954</v>
      </c>
      <c r="H218">
        <v>30.79</v>
      </c>
      <c r="I218" s="1">
        <v>41954</v>
      </c>
      <c r="J218">
        <v>21.43</v>
      </c>
      <c r="K218" s="1">
        <v>41943</v>
      </c>
      <c r="L218">
        <v>86.917000000000002</v>
      </c>
    </row>
    <row r="219" spans="1:12" x14ac:dyDescent="0.25">
      <c r="A219" s="1">
        <v>41955</v>
      </c>
      <c r="B219">
        <v>13.02</v>
      </c>
      <c r="C219" s="1">
        <v>41955</v>
      </c>
      <c r="D219">
        <v>19.11</v>
      </c>
      <c r="E219" s="1">
        <v>41946</v>
      </c>
      <c r="F219">
        <v>67.4482</v>
      </c>
      <c r="G219" s="1">
        <v>41955</v>
      </c>
      <c r="H219">
        <v>30.71</v>
      </c>
      <c r="I219" s="1">
        <v>41955</v>
      </c>
      <c r="J219">
        <v>21.29</v>
      </c>
      <c r="K219" s="1">
        <v>41946</v>
      </c>
      <c r="L219">
        <v>87.308999999999997</v>
      </c>
    </row>
    <row r="220" spans="1:12" x14ac:dyDescent="0.25">
      <c r="A220" s="1">
        <v>41956</v>
      </c>
      <c r="B220">
        <v>13.79</v>
      </c>
      <c r="C220" s="1">
        <v>41956</v>
      </c>
      <c r="D220">
        <v>19.21</v>
      </c>
      <c r="E220" s="1">
        <v>41947</v>
      </c>
      <c r="F220">
        <v>68.551000000000002</v>
      </c>
      <c r="G220" s="1">
        <v>41956</v>
      </c>
      <c r="H220">
        <v>33.119999999999997</v>
      </c>
      <c r="I220" s="1">
        <v>41956</v>
      </c>
      <c r="J220">
        <v>20.98</v>
      </c>
      <c r="K220" s="1">
        <v>41947</v>
      </c>
      <c r="L220">
        <v>86.983999999999995</v>
      </c>
    </row>
    <row r="221" spans="1:12" x14ac:dyDescent="0.25">
      <c r="A221" s="1">
        <v>41957</v>
      </c>
      <c r="B221">
        <v>13.31</v>
      </c>
      <c r="C221" s="1">
        <v>41957</v>
      </c>
      <c r="D221">
        <v>18.55</v>
      </c>
      <c r="E221" s="1">
        <v>41948</v>
      </c>
      <c r="F221">
        <v>72.922600000000003</v>
      </c>
      <c r="G221" s="1">
        <v>41957</v>
      </c>
      <c r="H221">
        <v>32.99</v>
      </c>
      <c r="I221" s="1">
        <v>41957</v>
      </c>
      <c r="J221">
        <v>23.36</v>
      </c>
      <c r="K221" s="1">
        <v>41948</v>
      </c>
      <c r="L221">
        <v>87.444000000000003</v>
      </c>
    </row>
    <row r="222" spans="1:12" x14ac:dyDescent="0.25">
      <c r="A222" s="1">
        <v>41960</v>
      </c>
      <c r="B222">
        <v>13.99</v>
      </c>
      <c r="C222" s="1">
        <v>41960</v>
      </c>
      <c r="D222">
        <v>19.600000000000001</v>
      </c>
      <c r="E222" s="1">
        <v>41949</v>
      </c>
      <c r="F222">
        <v>69.145300000000006</v>
      </c>
      <c r="G222" s="1">
        <v>41960</v>
      </c>
      <c r="H222">
        <v>34.39</v>
      </c>
      <c r="I222" s="1">
        <v>41960</v>
      </c>
      <c r="J222">
        <v>23.37</v>
      </c>
      <c r="K222" s="1">
        <v>41949</v>
      </c>
      <c r="L222">
        <v>88.012</v>
      </c>
    </row>
    <row r="223" spans="1:12" x14ac:dyDescent="0.25">
      <c r="A223" s="1">
        <v>41961</v>
      </c>
      <c r="B223">
        <v>13.86</v>
      </c>
      <c r="C223" s="1">
        <v>41961</v>
      </c>
      <c r="D223">
        <v>19.25</v>
      </c>
      <c r="E223" s="1">
        <v>41950</v>
      </c>
      <c r="F223">
        <v>66.628299999999996</v>
      </c>
      <c r="G223" s="1">
        <v>41961</v>
      </c>
      <c r="H223">
        <v>33.17</v>
      </c>
      <c r="I223" s="1">
        <v>41961</v>
      </c>
      <c r="J223">
        <v>23.97</v>
      </c>
      <c r="K223" s="1">
        <v>41950</v>
      </c>
      <c r="L223">
        <v>87.641999999999996</v>
      </c>
    </row>
    <row r="224" spans="1:12" x14ac:dyDescent="0.25">
      <c r="A224" s="1">
        <v>41962</v>
      </c>
      <c r="B224">
        <v>13.96</v>
      </c>
      <c r="C224" s="1">
        <v>41962</v>
      </c>
      <c r="D224">
        <v>18.95</v>
      </c>
      <c r="E224" s="1">
        <v>41953</v>
      </c>
      <c r="F224">
        <v>66.546099999999996</v>
      </c>
      <c r="G224" s="1">
        <v>41962</v>
      </c>
      <c r="H224">
        <v>33.14</v>
      </c>
      <c r="I224" s="1">
        <v>41962</v>
      </c>
      <c r="J224">
        <v>24.26</v>
      </c>
      <c r="K224" s="1">
        <v>41953</v>
      </c>
      <c r="L224">
        <v>87.81</v>
      </c>
    </row>
    <row r="225" spans="1:12" x14ac:dyDescent="0.25">
      <c r="A225" s="1">
        <v>41963</v>
      </c>
      <c r="B225">
        <v>13.58</v>
      </c>
      <c r="C225" s="1">
        <v>41963</v>
      </c>
      <c r="D225">
        <v>19.2</v>
      </c>
      <c r="E225" s="1">
        <v>41954</v>
      </c>
      <c r="F225">
        <v>66.546099999999996</v>
      </c>
      <c r="G225" s="1">
        <v>41963</v>
      </c>
      <c r="H225">
        <v>33.64</v>
      </c>
      <c r="I225" s="1">
        <v>41963</v>
      </c>
      <c r="J225">
        <v>21.5</v>
      </c>
      <c r="K225" s="1">
        <v>41954</v>
      </c>
      <c r="L225">
        <v>87.531000000000006</v>
      </c>
    </row>
    <row r="226" spans="1:12" x14ac:dyDescent="0.25">
      <c r="A226" s="1">
        <v>41964</v>
      </c>
      <c r="B226">
        <v>12.9</v>
      </c>
      <c r="C226" s="1">
        <v>41964</v>
      </c>
      <c r="D226">
        <v>17.52</v>
      </c>
      <c r="E226" s="1">
        <v>41955</v>
      </c>
      <c r="F226">
        <v>66.772999999999996</v>
      </c>
      <c r="G226" s="1">
        <v>41964</v>
      </c>
      <c r="H226">
        <v>34.92</v>
      </c>
      <c r="I226" s="1">
        <v>41964</v>
      </c>
      <c r="J226">
        <v>21.23</v>
      </c>
      <c r="K226" s="1">
        <v>41955</v>
      </c>
      <c r="L226">
        <v>87.822000000000003</v>
      </c>
    </row>
    <row r="227" spans="1:12" x14ac:dyDescent="0.25">
      <c r="A227" s="1">
        <v>41967</v>
      </c>
      <c r="B227">
        <v>12.62</v>
      </c>
      <c r="C227" s="1">
        <v>41967</v>
      </c>
      <c r="D227">
        <v>18.420000000000002</v>
      </c>
      <c r="E227" s="1">
        <v>41956</v>
      </c>
      <c r="F227">
        <v>67.000900000000001</v>
      </c>
      <c r="G227" s="1">
        <v>41967</v>
      </c>
      <c r="H227">
        <v>36.28</v>
      </c>
      <c r="I227" s="1">
        <v>41967</v>
      </c>
      <c r="J227">
        <v>20.64</v>
      </c>
      <c r="K227" s="1">
        <v>41956</v>
      </c>
      <c r="L227">
        <v>87.674000000000007</v>
      </c>
    </row>
    <row r="228" spans="1:12" x14ac:dyDescent="0.25">
      <c r="A228" s="1">
        <v>41968</v>
      </c>
      <c r="B228">
        <v>12.25</v>
      </c>
      <c r="C228" s="1">
        <v>41968</v>
      </c>
      <c r="D228">
        <v>17.23</v>
      </c>
      <c r="E228" s="1">
        <v>41957</v>
      </c>
      <c r="F228">
        <v>66.953199999999995</v>
      </c>
      <c r="G228" s="1">
        <v>41968</v>
      </c>
      <c r="H228">
        <v>37.49</v>
      </c>
      <c r="I228" s="1">
        <v>41968</v>
      </c>
      <c r="J228">
        <v>20.67</v>
      </c>
      <c r="K228" s="1">
        <v>41957</v>
      </c>
      <c r="L228">
        <v>87.525000000000006</v>
      </c>
    </row>
    <row r="229" spans="1:12" x14ac:dyDescent="0.25">
      <c r="A229" s="1">
        <v>41969</v>
      </c>
      <c r="B229">
        <v>12.07</v>
      </c>
      <c r="C229" s="1">
        <v>41969</v>
      </c>
      <c r="D229">
        <v>17.88</v>
      </c>
      <c r="E229" s="1">
        <v>41960</v>
      </c>
      <c r="F229">
        <v>66.885999999999996</v>
      </c>
      <c r="G229" s="1">
        <v>41969</v>
      </c>
      <c r="H229">
        <v>36.020000000000003</v>
      </c>
      <c r="I229" s="1">
        <v>41969</v>
      </c>
      <c r="J229">
        <v>21.24</v>
      </c>
      <c r="K229" s="1">
        <v>41960</v>
      </c>
      <c r="L229">
        <v>87.926000000000002</v>
      </c>
    </row>
    <row r="230" spans="1:12" x14ac:dyDescent="0.25">
      <c r="A230" s="1">
        <v>41971</v>
      </c>
      <c r="B230">
        <v>13.33</v>
      </c>
      <c r="C230" s="1">
        <v>41971</v>
      </c>
      <c r="D230">
        <v>19.3</v>
      </c>
      <c r="E230" s="1">
        <v>41961</v>
      </c>
      <c r="F230">
        <v>69.230699999999999</v>
      </c>
      <c r="G230" s="1">
        <v>41971</v>
      </c>
      <c r="H230">
        <v>36.44</v>
      </c>
      <c r="I230" s="1">
        <v>41971</v>
      </c>
      <c r="J230">
        <v>25.17</v>
      </c>
      <c r="K230" s="1">
        <v>41961</v>
      </c>
      <c r="L230">
        <v>87.575000000000003</v>
      </c>
    </row>
    <row r="231" spans="1:12" x14ac:dyDescent="0.25">
      <c r="A231" s="1">
        <v>41974</v>
      </c>
      <c r="B231">
        <v>14.29</v>
      </c>
      <c r="C231" s="1">
        <v>41974</v>
      </c>
      <c r="D231">
        <v>20.49</v>
      </c>
      <c r="E231" s="1">
        <v>41962</v>
      </c>
      <c r="F231">
        <v>70.0154</v>
      </c>
      <c r="G231" s="1">
        <v>41974</v>
      </c>
      <c r="H231">
        <v>37.49</v>
      </c>
      <c r="I231" s="1">
        <v>41974</v>
      </c>
      <c r="J231">
        <v>22.33</v>
      </c>
      <c r="K231" s="1">
        <v>41962</v>
      </c>
      <c r="L231">
        <v>87.647000000000006</v>
      </c>
    </row>
    <row r="232" spans="1:12" x14ac:dyDescent="0.25">
      <c r="A232" s="1">
        <v>41975</v>
      </c>
      <c r="B232">
        <v>12.85</v>
      </c>
      <c r="C232" s="1">
        <v>41975</v>
      </c>
      <c r="D232">
        <v>20.2</v>
      </c>
      <c r="E232" s="1">
        <v>41963</v>
      </c>
      <c r="F232">
        <v>69.161900000000003</v>
      </c>
      <c r="G232" s="1">
        <v>41975</v>
      </c>
      <c r="H232">
        <v>38.57</v>
      </c>
      <c r="I232" s="1">
        <v>41975</v>
      </c>
      <c r="J232">
        <v>21.29</v>
      </c>
      <c r="K232" s="1">
        <v>41963</v>
      </c>
      <c r="L232">
        <v>87.590999999999994</v>
      </c>
    </row>
    <row r="233" spans="1:12" x14ac:dyDescent="0.25">
      <c r="A233" s="1">
        <v>41976</v>
      </c>
      <c r="B233">
        <v>12.47</v>
      </c>
      <c r="C233" s="1">
        <v>41976</v>
      </c>
      <c r="D233">
        <v>19.84</v>
      </c>
      <c r="E233" s="1">
        <v>41964</v>
      </c>
      <c r="F233">
        <v>66.9589</v>
      </c>
      <c r="G233" s="1">
        <v>41976</v>
      </c>
      <c r="H233">
        <v>36.159999999999997</v>
      </c>
      <c r="I233" s="1">
        <v>41976</v>
      </c>
      <c r="J233">
        <v>20.62</v>
      </c>
      <c r="K233" s="1">
        <v>41964</v>
      </c>
      <c r="L233">
        <v>88.31</v>
      </c>
    </row>
    <row r="234" spans="1:12" x14ac:dyDescent="0.25">
      <c r="A234" s="1">
        <v>41977</v>
      </c>
      <c r="B234">
        <v>12.38</v>
      </c>
      <c r="C234" s="1">
        <v>41977</v>
      </c>
      <c r="D234">
        <v>19.68</v>
      </c>
      <c r="E234" s="1">
        <v>41967</v>
      </c>
      <c r="F234">
        <v>64.3887</v>
      </c>
      <c r="G234" s="1">
        <v>41977</v>
      </c>
      <c r="H234">
        <v>35.39</v>
      </c>
      <c r="I234" s="1">
        <v>41977</v>
      </c>
      <c r="J234">
        <v>20.29</v>
      </c>
      <c r="K234" s="1">
        <v>41967</v>
      </c>
      <c r="L234">
        <v>88.150999999999996</v>
      </c>
    </row>
    <row r="235" spans="1:12" x14ac:dyDescent="0.25">
      <c r="A235" s="1">
        <v>41978</v>
      </c>
      <c r="B235">
        <v>11.82</v>
      </c>
      <c r="C235" s="1">
        <v>41978</v>
      </c>
      <c r="D235">
        <v>18.21</v>
      </c>
      <c r="E235" s="1">
        <v>41968</v>
      </c>
      <c r="F235">
        <v>64.647400000000005</v>
      </c>
      <c r="G235" s="1">
        <v>41978</v>
      </c>
      <c r="H235">
        <v>34.200000000000003</v>
      </c>
      <c r="I235" s="1">
        <v>41978</v>
      </c>
      <c r="J235">
        <v>20.02</v>
      </c>
      <c r="K235" s="1">
        <v>41968</v>
      </c>
      <c r="L235">
        <v>87.92</v>
      </c>
    </row>
    <row r="236" spans="1:12" x14ac:dyDescent="0.25">
      <c r="A236" s="1">
        <v>41981</v>
      </c>
      <c r="B236">
        <v>14.21</v>
      </c>
      <c r="C236" s="1">
        <v>41981</v>
      </c>
      <c r="D236">
        <v>19.68</v>
      </c>
      <c r="E236" s="1">
        <v>41969</v>
      </c>
      <c r="F236">
        <v>64.657700000000006</v>
      </c>
      <c r="G236" s="1">
        <v>41981</v>
      </c>
      <c r="H236">
        <v>39.68</v>
      </c>
      <c r="I236" s="1">
        <v>41981</v>
      </c>
      <c r="J236">
        <v>19.62</v>
      </c>
      <c r="K236" s="1">
        <v>41969</v>
      </c>
      <c r="L236">
        <v>87.606999999999999</v>
      </c>
    </row>
    <row r="237" spans="1:12" x14ac:dyDescent="0.25">
      <c r="A237" s="1">
        <v>41982</v>
      </c>
      <c r="B237">
        <v>14.89</v>
      </c>
      <c r="C237" s="1">
        <v>41982</v>
      </c>
      <c r="D237">
        <v>21.38</v>
      </c>
      <c r="E237" s="1">
        <v>41970</v>
      </c>
      <c r="F237">
        <v>64.657700000000006</v>
      </c>
      <c r="G237" s="1">
        <v>41982</v>
      </c>
      <c r="H237">
        <v>37.56</v>
      </c>
      <c r="I237" s="1">
        <v>41982</v>
      </c>
      <c r="J237">
        <v>20.04</v>
      </c>
      <c r="K237" s="1">
        <v>41970</v>
      </c>
      <c r="L237">
        <v>87.606999999999999</v>
      </c>
    </row>
    <row r="238" spans="1:12" x14ac:dyDescent="0.25">
      <c r="A238" s="1">
        <v>41983</v>
      </c>
      <c r="B238">
        <v>18.53</v>
      </c>
      <c r="C238" s="1">
        <v>41983</v>
      </c>
      <c r="D238">
        <v>22.93</v>
      </c>
      <c r="E238" s="1">
        <v>41971</v>
      </c>
      <c r="F238">
        <v>66.573300000000003</v>
      </c>
      <c r="G238" s="1">
        <v>41983</v>
      </c>
      <c r="H238">
        <v>42.21</v>
      </c>
      <c r="I238" s="1">
        <v>41983</v>
      </c>
      <c r="J238">
        <v>19.27</v>
      </c>
      <c r="K238" s="1">
        <v>41971</v>
      </c>
      <c r="L238">
        <v>88.355999999999995</v>
      </c>
    </row>
    <row r="239" spans="1:12" x14ac:dyDescent="0.25">
      <c r="A239" s="1">
        <v>41984</v>
      </c>
      <c r="B239">
        <v>20.079999999999998</v>
      </c>
      <c r="C239" s="1">
        <v>41984</v>
      </c>
      <c r="D239">
        <v>23.65</v>
      </c>
      <c r="E239" s="1">
        <v>41974</v>
      </c>
      <c r="F239">
        <v>67.282499999999999</v>
      </c>
      <c r="G239" s="1">
        <v>41984</v>
      </c>
      <c r="H239">
        <v>44.95</v>
      </c>
      <c r="I239" s="1">
        <v>41984</v>
      </c>
      <c r="J239">
        <v>19.11</v>
      </c>
      <c r="K239" s="1">
        <v>41974</v>
      </c>
      <c r="L239">
        <v>87.945999999999998</v>
      </c>
    </row>
    <row r="240" spans="1:12" x14ac:dyDescent="0.25">
      <c r="A240" s="1">
        <v>41985</v>
      </c>
      <c r="B240">
        <v>21.08</v>
      </c>
      <c r="C240" s="1">
        <v>41985</v>
      </c>
      <c r="D240">
        <v>24.24</v>
      </c>
      <c r="E240" s="1">
        <v>41975</v>
      </c>
      <c r="F240">
        <v>67.880600000000001</v>
      </c>
      <c r="G240" s="1">
        <v>41985</v>
      </c>
      <c r="H240">
        <v>49.77</v>
      </c>
      <c r="I240" s="1">
        <v>41985</v>
      </c>
      <c r="J240">
        <v>19.66</v>
      </c>
      <c r="K240" s="1">
        <v>41975</v>
      </c>
      <c r="L240">
        <v>88.647000000000006</v>
      </c>
    </row>
    <row r="241" spans="1:12" x14ac:dyDescent="0.25">
      <c r="A241" s="1">
        <v>41988</v>
      </c>
      <c r="B241">
        <v>20.420000000000002</v>
      </c>
      <c r="C241" s="1">
        <v>41988</v>
      </c>
      <c r="D241">
        <v>25.68</v>
      </c>
      <c r="E241" s="1">
        <v>41976</v>
      </c>
      <c r="F241">
        <v>65.761600000000001</v>
      </c>
      <c r="G241" s="1">
        <v>41988</v>
      </c>
      <c r="H241">
        <v>57.55</v>
      </c>
      <c r="I241" s="1">
        <v>41988</v>
      </c>
      <c r="J241">
        <v>20.95</v>
      </c>
      <c r="K241" s="1">
        <v>41976</v>
      </c>
      <c r="L241">
        <v>88.956000000000003</v>
      </c>
    </row>
    <row r="242" spans="1:12" x14ac:dyDescent="0.25">
      <c r="A242" s="1">
        <v>41989</v>
      </c>
      <c r="B242">
        <v>23.57</v>
      </c>
      <c r="C242" s="1">
        <v>41989</v>
      </c>
      <c r="D242">
        <v>26.63</v>
      </c>
      <c r="E242" s="1">
        <v>41977</v>
      </c>
      <c r="F242">
        <v>64.618099999999998</v>
      </c>
      <c r="G242" s="1">
        <v>41989</v>
      </c>
      <c r="H242">
        <v>55.77</v>
      </c>
      <c r="I242" s="1">
        <v>41989</v>
      </c>
      <c r="J242">
        <v>22.08</v>
      </c>
      <c r="K242" s="1">
        <v>41977</v>
      </c>
      <c r="L242">
        <v>88.703999999999994</v>
      </c>
    </row>
    <row r="243" spans="1:12" x14ac:dyDescent="0.25">
      <c r="A243" s="1">
        <v>41990</v>
      </c>
      <c r="B243">
        <v>19.440000000000001</v>
      </c>
      <c r="C243" s="1">
        <v>41990</v>
      </c>
      <c r="D243">
        <v>25.63</v>
      </c>
      <c r="E243" s="1">
        <v>41978</v>
      </c>
      <c r="F243">
        <v>64.822199999999995</v>
      </c>
      <c r="G243" s="1">
        <v>41990</v>
      </c>
      <c r="H243">
        <v>56.75</v>
      </c>
      <c r="I243" s="1">
        <v>41990</v>
      </c>
      <c r="J243">
        <v>20.9</v>
      </c>
      <c r="K243" s="1">
        <v>41978</v>
      </c>
      <c r="L243">
        <v>89.334000000000003</v>
      </c>
    </row>
    <row r="244" spans="1:12" x14ac:dyDescent="0.25">
      <c r="A244" s="1">
        <v>41991</v>
      </c>
      <c r="B244">
        <v>16.809999999999999</v>
      </c>
      <c r="C244" s="1">
        <v>41991</v>
      </c>
      <c r="D244">
        <v>22.5</v>
      </c>
      <c r="E244" s="1">
        <v>41981</v>
      </c>
      <c r="F244">
        <v>62.783799999999999</v>
      </c>
      <c r="G244" s="1">
        <v>41991</v>
      </c>
      <c r="H244">
        <v>57.45</v>
      </c>
      <c r="I244" s="1">
        <v>41991</v>
      </c>
      <c r="J244">
        <v>19.28</v>
      </c>
      <c r="K244" s="1">
        <v>41981</v>
      </c>
      <c r="L244">
        <v>89.040999999999997</v>
      </c>
    </row>
    <row r="245" spans="1:12" x14ac:dyDescent="0.25">
      <c r="A245" s="1">
        <v>41992</v>
      </c>
      <c r="B245">
        <v>16.489999999999998</v>
      </c>
      <c r="C245" s="1">
        <v>41992</v>
      </c>
      <c r="D245">
        <v>20.61</v>
      </c>
      <c r="E245" s="1">
        <v>41982</v>
      </c>
      <c r="F245">
        <v>66.573599999999999</v>
      </c>
      <c r="G245" s="1">
        <v>41992</v>
      </c>
      <c r="H245">
        <v>54.84</v>
      </c>
      <c r="I245" s="1">
        <v>41992</v>
      </c>
      <c r="J245">
        <v>18.68</v>
      </c>
      <c r="K245" s="1">
        <v>41982</v>
      </c>
      <c r="L245">
        <v>88.69</v>
      </c>
    </row>
    <row r="246" spans="1:12" x14ac:dyDescent="0.25">
      <c r="A246" s="1">
        <v>41995</v>
      </c>
      <c r="B246">
        <v>15.25</v>
      </c>
      <c r="C246" s="1">
        <v>41995</v>
      </c>
      <c r="D246">
        <v>20.23</v>
      </c>
      <c r="E246" s="1">
        <v>41983</v>
      </c>
      <c r="F246">
        <v>68.194500000000005</v>
      </c>
      <c r="G246" s="1">
        <v>41995</v>
      </c>
      <c r="H246">
        <v>54.82</v>
      </c>
      <c r="I246" s="1">
        <v>41995</v>
      </c>
      <c r="J246">
        <v>20.260000000000002</v>
      </c>
      <c r="K246" s="1">
        <v>41983</v>
      </c>
      <c r="L246">
        <v>88.271000000000001</v>
      </c>
    </row>
    <row r="247" spans="1:12" x14ac:dyDescent="0.25">
      <c r="A247" s="1">
        <v>41996</v>
      </c>
      <c r="B247">
        <v>14.8</v>
      </c>
      <c r="C247" s="1">
        <v>41996</v>
      </c>
      <c r="D247">
        <v>19.59</v>
      </c>
      <c r="E247" s="1">
        <v>41984</v>
      </c>
      <c r="F247">
        <v>79.043700000000001</v>
      </c>
      <c r="G247" s="1">
        <v>41996</v>
      </c>
      <c r="H247">
        <v>53.97</v>
      </c>
      <c r="I247" s="1">
        <v>41996</v>
      </c>
      <c r="J247">
        <v>19.760000000000002</v>
      </c>
      <c r="K247" s="1">
        <v>41984</v>
      </c>
      <c r="L247">
        <v>88.662999999999997</v>
      </c>
    </row>
    <row r="248" spans="1:12" x14ac:dyDescent="0.25">
      <c r="A248" s="1">
        <v>41997</v>
      </c>
      <c r="B248">
        <v>14.37</v>
      </c>
      <c r="C248" s="1">
        <v>41997</v>
      </c>
      <c r="D248">
        <v>19.47</v>
      </c>
      <c r="E248" s="1">
        <v>41985</v>
      </c>
      <c r="F248">
        <v>55.418100000000003</v>
      </c>
      <c r="G248" s="1">
        <v>41997</v>
      </c>
      <c r="H248">
        <v>54.88</v>
      </c>
      <c r="I248" s="1">
        <v>41997</v>
      </c>
      <c r="J248">
        <v>19.37</v>
      </c>
      <c r="K248" s="1">
        <v>41985</v>
      </c>
      <c r="L248">
        <v>88.363</v>
      </c>
    </row>
    <row r="249" spans="1:12" x14ac:dyDescent="0.25">
      <c r="A249" s="1">
        <v>41999</v>
      </c>
      <c r="B249">
        <v>14.5</v>
      </c>
      <c r="C249" s="1">
        <v>41999</v>
      </c>
      <c r="D249">
        <v>18.8</v>
      </c>
      <c r="E249" s="1">
        <v>41988</v>
      </c>
      <c r="F249">
        <v>77.642099999999999</v>
      </c>
      <c r="G249" s="1">
        <v>41999</v>
      </c>
      <c r="H249">
        <v>54.68</v>
      </c>
      <c r="I249" s="1">
        <v>41999</v>
      </c>
      <c r="J249">
        <v>18.920000000000002</v>
      </c>
      <c r="K249" s="1">
        <v>41988</v>
      </c>
      <c r="L249">
        <v>88.46</v>
      </c>
    </row>
    <row r="250" spans="1:12" x14ac:dyDescent="0.25">
      <c r="A250" s="1">
        <v>42002</v>
      </c>
      <c r="B250">
        <v>15.06</v>
      </c>
      <c r="C250" s="1">
        <v>42002</v>
      </c>
      <c r="D250">
        <v>20.49</v>
      </c>
      <c r="E250" s="1">
        <v>41989</v>
      </c>
      <c r="F250">
        <v>80.718199999999996</v>
      </c>
      <c r="G250" s="1">
        <v>42002</v>
      </c>
      <c r="H250">
        <v>53.63</v>
      </c>
      <c r="I250" s="1">
        <v>42002</v>
      </c>
      <c r="J250">
        <v>20.149999999999999</v>
      </c>
      <c r="K250" s="1">
        <v>41989</v>
      </c>
      <c r="L250">
        <v>88.125</v>
      </c>
    </row>
    <row r="251" spans="1:12" x14ac:dyDescent="0.25">
      <c r="A251" s="1">
        <v>42003</v>
      </c>
      <c r="B251">
        <v>15.92</v>
      </c>
      <c r="C251" s="1">
        <v>42003</v>
      </c>
      <c r="D251">
        <v>20.86</v>
      </c>
      <c r="E251" s="1">
        <v>41990</v>
      </c>
      <c r="F251">
        <v>72.420900000000003</v>
      </c>
      <c r="G251" s="1">
        <v>42003</v>
      </c>
      <c r="H251">
        <v>51.17</v>
      </c>
      <c r="I251" s="1">
        <v>42003</v>
      </c>
      <c r="J251">
        <v>19.48</v>
      </c>
      <c r="K251" s="1">
        <v>41990</v>
      </c>
      <c r="L251">
        <v>89.132999999999996</v>
      </c>
    </row>
    <row r="252" spans="1:12" x14ac:dyDescent="0.25">
      <c r="A252" s="1">
        <v>42004</v>
      </c>
      <c r="B252">
        <v>19.2</v>
      </c>
      <c r="C252" s="1">
        <v>42004</v>
      </c>
      <c r="D252">
        <v>22.26</v>
      </c>
      <c r="E252" s="1">
        <v>41991</v>
      </c>
      <c r="F252">
        <v>71.170299999999997</v>
      </c>
      <c r="G252" s="1">
        <v>42004</v>
      </c>
      <c r="H252">
        <v>50.24</v>
      </c>
      <c r="I252" s="1">
        <v>42004</v>
      </c>
      <c r="J252">
        <v>20.079999999999998</v>
      </c>
      <c r="K252" s="1">
        <v>41991</v>
      </c>
      <c r="L252">
        <v>89.234999999999999</v>
      </c>
    </row>
    <row r="253" spans="1:12" x14ac:dyDescent="0.25">
      <c r="A253" s="1">
        <v>42006</v>
      </c>
      <c r="B253">
        <v>17.79</v>
      </c>
      <c r="C253" s="1">
        <v>42006</v>
      </c>
      <c r="D253">
        <v>21.65</v>
      </c>
      <c r="E253" s="1">
        <v>41992</v>
      </c>
      <c r="F253">
        <v>70.704599999999999</v>
      </c>
      <c r="G253" s="1">
        <v>42006</v>
      </c>
      <c r="H253">
        <v>54.25</v>
      </c>
      <c r="I253" s="1">
        <v>42006</v>
      </c>
      <c r="J253">
        <v>20.23</v>
      </c>
      <c r="K253" s="1">
        <v>41992</v>
      </c>
      <c r="L253">
        <v>89.597999999999999</v>
      </c>
    </row>
    <row r="254" spans="1:12" x14ac:dyDescent="0.25">
      <c r="A254" s="1">
        <v>42009</v>
      </c>
      <c r="B254">
        <v>19.920000000000002</v>
      </c>
      <c r="C254" s="1">
        <v>42009</v>
      </c>
      <c r="D254">
        <v>24.23</v>
      </c>
      <c r="E254" s="1">
        <v>41995</v>
      </c>
      <c r="F254">
        <v>70.077600000000004</v>
      </c>
      <c r="G254" s="1">
        <v>42009</v>
      </c>
      <c r="H254">
        <v>57.67</v>
      </c>
      <c r="I254" s="1">
        <v>42009</v>
      </c>
      <c r="J254">
        <v>21.26</v>
      </c>
      <c r="K254" s="1">
        <v>41995</v>
      </c>
      <c r="L254">
        <v>89.77</v>
      </c>
    </row>
    <row r="255" spans="1:12" x14ac:dyDescent="0.25">
      <c r="A255" s="1">
        <v>42010</v>
      </c>
      <c r="B255">
        <v>21.12</v>
      </c>
      <c r="C255" s="1">
        <v>42010</v>
      </c>
      <c r="D255">
        <v>24.74</v>
      </c>
      <c r="E255" s="1">
        <v>41996</v>
      </c>
      <c r="F255">
        <v>68.762</v>
      </c>
      <c r="G255" s="1">
        <v>42010</v>
      </c>
      <c r="H255">
        <v>56.45</v>
      </c>
      <c r="I255" s="1">
        <v>42010</v>
      </c>
      <c r="J255">
        <v>20.78</v>
      </c>
      <c r="K255" s="1">
        <v>41996</v>
      </c>
      <c r="L255">
        <v>90.063999999999993</v>
      </c>
    </row>
    <row r="256" spans="1:12" x14ac:dyDescent="0.25">
      <c r="A256" s="1">
        <v>42011</v>
      </c>
      <c r="B256">
        <v>19.309999999999999</v>
      </c>
      <c r="C256" s="1">
        <v>42011</v>
      </c>
      <c r="D256">
        <v>23.51</v>
      </c>
      <c r="E256" s="1">
        <v>41997</v>
      </c>
      <c r="F256">
        <v>68.863500000000002</v>
      </c>
      <c r="G256" s="1">
        <v>42011</v>
      </c>
      <c r="H256">
        <v>53.25</v>
      </c>
      <c r="I256" s="1">
        <v>42011</v>
      </c>
      <c r="J256">
        <v>20.350000000000001</v>
      </c>
      <c r="K256" s="1">
        <v>41997</v>
      </c>
      <c r="L256">
        <v>89.966999999999999</v>
      </c>
    </row>
    <row r="257" spans="1:12" x14ac:dyDescent="0.25">
      <c r="A257" s="1">
        <v>42012</v>
      </c>
      <c r="B257">
        <v>17.010000000000002</v>
      </c>
      <c r="C257" s="1">
        <v>42012</v>
      </c>
      <c r="D257">
        <v>22.28</v>
      </c>
      <c r="E257" s="1">
        <v>41998</v>
      </c>
      <c r="F257">
        <v>68.863500000000002</v>
      </c>
      <c r="G257" s="1">
        <v>42012</v>
      </c>
      <c r="H257">
        <v>50.96</v>
      </c>
      <c r="I257" s="1">
        <v>42012</v>
      </c>
      <c r="J257">
        <v>19.2</v>
      </c>
      <c r="K257" s="1">
        <v>41998</v>
      </c>
      <c r="L257">
        <v>89.834999999999994</v>
      </c>
    </row>
    <row r="258" spans="1:12" x14ac:dyDescent="0.25">
      <c r="A258" s="1">
        <v>42013</v>
      </c>
      <c r="B258">
        <v>17.55</v>
      </c>
      <c r="C258" s="1">
        <v>42013</v>
      </c>
      <c r="D258">
        <v>21.14</v>
      </c>
      <c r="E258" s="1">
        <v>41999</v>
      </c>
      <c r="F258">
        <v>55.418100000000003</v>
      </c>
      <c r="G258" s="1">
        <v>42013</v>
      </c>
      <c r="H258">
        <v>50.07</v>
      </c>
      <c r="I258" s="1">
        <v>42013</v>
      </c>
      <c r="J258">
        <v>18.440000000000001</v>
      </c>
      <c r="K258" s="1">
        <v>41999</v>
      </c>
      <c r="L258">
        <v>90.03</v>
      </c>
    </row>
    <row r="259" spans="1:12" x14ac:dyDescent="0.25">
      <c r="A259" s="1">
        <v>42016</v>
      </c>
      <c r="B259">
        <v>19.600000000000001</v>
      </c>
      <c r="C259" s="1">
        <v>42016</v>
      </c>
      <c r="D259">
        <v>22.34</v>
      </c>
      <c r="E259" s="1">
        <v>42002</v>
      </c>
      <c r="F259">
        <v>69.165899999999993</v>
      </c>
      <c r="G259" s="1">
        <v>42016</v>
      </c>
      <c r="H259">
        <v>53.13</v>
      </c>
      <c r="I259" s="1">
        <v>42016</v>
      </c>
      <c r="J259">
        <v>17.649999999999999</v>
      </c>
      <c r="K259" s="1">
        <v>42002</v>
      </c>
      <c r="L259">
        <v>90.19</v>
      </c>
    </row>
    <row r="260" spans="1:12" x14ac:dyDescent="0.25">
      <c r="A260" s="1">
        <v>42017</v>
      </c>
      <c r="B260">
        <v>20.56</v>
      </c>
      <c r="C260" s="1">
        <v>42017</v>
      </c>
      <c r="D260">
        <v>21.74</v>
      </c>
      <c r="E260" s="1">
        <v>42003</v>
      </c>
      <c r="F260">
        <v>68.997900000000001</v>
      </c>
      <c r="G260" s="1">
        <v>42017</v>
      </c>
      <c r="H260">
        <v>53.78</v>
      </c>
      <c r="I260" s="1">
        <v>42017</v>
      </c>
      <c r="J260">
        <v>17.63</v>
      </c>
      <c r="K260" s="1">
        <v>42003</v>
      </c>
      <c r="L260">
        <v>89.991</v>
      </c>
    </row>
    <row r="261" spans="1:12" x14ac:dyDescent="0.25">
      <c r="A261" s="1">
        <v>42018</v>
      </c>
      <c r="B261">
        <v>21.48</v>
      </c>
      <c r="C261" s="1">
        <v>42018</v>
      </c>
      <c r="D261">
        <v>23.96</v>
      </c>
      <c r="E261" s="1">
        <v>42004</v>
      </c>
      <c r="F261">
        <v>68.938500000000005</v>
      </c>
      <c r="G261" s="1">
        <v>42018</v>
      </c>
      <c r="H261">
        <v>53.17</v>
      </c>
      <c r="I261" s="1">
        <v>42018</v>
      </c>
      <c r="J261">
        <v>18.52</v>
      </c>
      <c r="K261" s="1">
        <v>42004</v>
      </c>
      <c r="L261">
        <v>90.269000000000005</v>
      </c>
    </row>
    <row r="262" spans="1:12" x14ac:dyDescent="0.25">
      <c r="A262" s="1">
        <v>42019</v>
      </c>
      <c r="B262">
        <v>22.39</v>
      </c>
      <c r="C262" s="1">
        <v>42019</v>
      </c>
      <c r="D262">
        <v>24.07</v>
      </c>
      <c r="E262" s="1">
        <v>42005</v>
      </c>
      <c r="F262">
        <v>68.938500000000005</v>
      </c>
      <c r="G262" s="1">
        <v>42019</v>
      </c>
      <c r="H262">
        <v>57.77</v>
      </c>
      <c r="I262" s="1">
        <v>42019</v>
      </c>
      <c r="J262">
        <v>21.83</v>
      </c>
      <c r="K262" s="1">
        <v>42005</v>
      </c>
      <c r="L262">
        <v>90.275999999999996</v>
      </c>
    </row>
    <row r="263" spans="1:12" x14ac:dyDescent="0.25">
      <c r="A263" s="1">
        <v>42020</v>
      </c>
      <c r="B263">
        <v>20.95</v>
      </c>
      <c r="C263" s="1">
        <v>42020</v>
      </c>
      <c r="D263">
        <v>21.37</v>
      </c>
      <c r="E263" s="1">
        <v>42006</v>
      </c>
      <c r="F263">
        <v>70.003600000000006</v>
      </c>
      <c r="G263" s="1">
        <v>42020</v>
      </c>
      <c r="H263">
        <v>56.44</v>
      </c>
      <c r="I263" s="1">
        <v>42020</v>
      </c>
      <c r="J263">
        <v>22.66</v>
      </c>
      <c r="K263" s="1">
        <v>42006</v>
      </c>
      <c r="L263">
        <v>91.08</v>
      </c>
    </row>
    <row r="264" spans="1:12" x14ac:dyDescent="0.25">
      <c r="A264" s="1">
        <v>42024</v>
      </c>
      <c r="B264">
        <v>19.89</v>
      </c>
      <c r="C264" s="1">
        <v>42024</v>
      </c>
      <c r="D264">
        <v>21.59</v>
      </c>
      <c r="E264" s="1">
        <v>42009</v>
      </c>
      <c r="F264">
        <v>71.539100000000005</v>
      </c>
      <c r="G264" s="1">
        <v>42024</v>
      </c>
      <c r="H264">
        <v>57.99</v>
      </c>
      <c r="I264" s="1">
        <v>42024</v>
      </c>
      <c r="J264">
        <v>23.43</v>
      </c>
      <c r="K264" s="1">
        <v>42009</v>
      </c>
      <c r="L264">
        <v>91.378</v>
      </c>
    </row>
    <row r="265" spans="1:12" x14ac:dyDescent="0.25">
      <c r="A265" s="1">
        <v>42025</v>
      </c>
      <c r="B265">
        <v>18.850000000000001</v>
      </c>
      <c r="C265" s="1">
        <v>42025</v>
      </c>
      <c r="D265">
        <v>20.54</v>
      </c>
      <c r="E265" s="1">
        <v>42010</v>
      </c>
      <c r="F265">
        <v>84.872100000000003</v>
      </c>
      <c r="G265" s="1">
        <v>42025</v>
      </c>
      <c r="H265">
        <v>55.09</v>
      </c>
      <c r="I265" s="1">
        <v>42025</v>
      </c>
      <c r="J265">
        <v>22.34</v>
      </c>
      <c r="K265" s="1">
        <v>42010</v>
      </c>
      <c r="L265">
        <v>91.498999999999995</v>
      </c>
    </row>
    <row r="266" spans="1:12" x14ac:dyDescent="0.25">
      <c r="A266" s="1">
        <v>42026</v>
      </c>
      <c r="B266">
        <v>16.399999999999999</v>
      </c>
      <c r="C266" s="1">
        <v>42026</v>
      </c>
      <c r="D266">
        <v>19.36</v>
      </c>
      <c r="E266" s="1">
        <v>42011</v>
      </c>
      <c r="F266">
        <v>85.195899999999995</v>
      </c>
      <c r="G266" s="1">
        <v>42026</v>
      </c>
      <c r="H266">
        <v>56.4</v>
      </c>
      <c r="I266" s="1">
        <v>42026</v>
      </c>
      <c r="J266">
        <v>21.25</v>
      </c>
      <c r="K266" s="1">
        <v>42011</v>
      </c>
      <c r="L266">
        <v>91.89</v>
      </c>
    </row>
    <row r="267" spans="1:12" x14ac:dyDescent="0.25">
      <c r="A267" s="1">
        <v>42027</v>
      </c>
      <c r="B267">
        <v>16.66</v>
      </c>
      <c r="C267" s="1">
        <v>42027</v>
      </c>
      <c r="D267">
        <v>18.13</v>
      </c>
      <c r="E267" s="1">
        <v>42012</v>
      </c>
      <c r="F267">
        <v>85.152600000000007</v>
      </c>
      <c r="G267" s="1">
        <v>42027</v>
      </c>
      <c r="H267">
        <v>57.62</v>
      </c>
      <c r="I267" s="1">
        <v>42027</v>
      </c>
      <c r="J267">
        <v>20.62</v>
      </c>
      <c r="K267" s="1">
        <v>42012</v>
      </c>
      <c r="L267">
        <v>92.367999999999995</v>
      </c>
    </row>
    <row r="268" spans="1:12" x14ac:dyDescent="0.25">
      <c r="A268" s="1">
        <v>42030</v>
      </c>
      <c r="B268">
        <v>15.52</v>
      </c>
      <c r="C268" s="1">
        <v>42030</v>
      </c>
      <c r="D268">
        <v>18.3</v>
      </c>
      <c r="E268" s="1">
        <v>42013</v>
      </c>
      <c r="F268">
        <v>80.617099999999994</v>
      </c>
      <c r="G268" s="1">
        <v>42030</v>
      </c>
      <c r="H268">
        <v>56.65</v>
      </c>
      <c r="I268" s="1">
        <v>42030</v>
      </c>
      <c r="J268">
        <v>20.04</v>
      </c>
      <c r="K268" s="1">
        <v>42013</v>
      </c>
      <c r="L268">
        <v>91.935000000000002</v>
      </c>
    </row>
    <row r="269" spans="1:12" x14ac:dyDescent="0.25">
      <c r="A269" s="1">
        <v>42031</v>
      </c>
      <c r="B269">
        <v>17.22</v>
      </c>
      <c r="C269" s="1">
        <v>42031</v>
      </c>
      <c r="D269">
        <v>19.04</v>
      </c>
      <c r="E269" s="1">
        <v>42016</v>
      </c>
      <c r="F269">
        <v>81.887299999999996</v>
      </c>
      <c r="G269" s="1">
        <v>42031</v>
      </c>
      <c r="H269">
        <v>54.23</v>
      </c>
      <c r="I269" s="1">
        <v>42031</v>
      </c>
      <c r="J269">
        <v>20.16</v>
      </c>
      <c r="K269" s="1">
        <v>42016</v>
      </c>
      <c r="L269">
        <v>91.983000000000004</v>
      </c>
    </row>
    <row r="270" spans="1:12" x14ac:dyDescent="0.25">
      <c r="A270" s="1">
        <v>42032</v>
      </c>
      <c r="B270">
        <v>20.440000000000001</v>
      </c>
      <c r="C270" s="1">
        <v>42032</v>
      </c>
      <c r="D270">
        <v>21.36</v>
      </c>
      <c r="E270" s="1">
        <v>42017</v>
      </c>
      <c r="F270">
        <v>82.997699999999995</v>
      </c>
      <c r="G270" s="1">
        <v>42032</v>
      </c>
      <c r="H270">
        <v>55.18</v>
      </c>
      <c r="I270" s="1">
        <v>42032</v>
      </c>
      <c r="J270">
        <v>19.309999999999999</v>
      </c>
      <c r="K270" s="1">
        <v>42017</v>
      </c>
      <c r="L270">
        <v>92.31</v>
      </c>
    </row>
    <row r="271" spans="1:12" x14ac:dyDescent="0.25">
      <c r="A271" s="1">
        <v>42033</v>
      </c>
      <c r="B271">
        <v>18.760000000000002</v>
      </c>
      <c r="C271" s="1">
        <v>42033</v>
      </c>
      <c r="D271">
        <v>21.75</v>
      </c>
      <c r="E271" s="1">
        <v>42018</v>
      </c>
      <c r="F271">
        <v>85.2821</v>
      </c>
      <c r="G271" s="1">
        <v>42033</v>
      </c>
      <c r="H271">
        <v>54.69</v>
      </c>
      <c r="I271" s="1">
        <v>42033</v>
      </c>
      <c r="J271">
        <v>20.25</v>
      </c>
      <c r="K271" s="1">
        <v>42018</v>
      </c>
      <c r="L271">
        <v>92.161000000000001</v>
      </c>
    </row>
    <row r="272" spans="1:12" x14ac:dyDescent="0.25">
      <c r="A272" s="1">
        <v>42034</v>
      </c>
      <c r="B272">
        <v>20.97</v>
      </c>
      <c r="C272" s="1">
        <v>42034</v>
      </c>
      <c r="D272">
        <v>24.34</v>
      </c>
      <c r="E272" s="1">
        <v>42019</v>
      </c>
      <c r="F272">
        <v>85.2821</v>
      </c>
      <c r="G272" s="1">
        <v>42034</v>
      </c>
      <c r="H272">
        <v>58.62</v>
      </c>
      <c r="I272" s="1">
        <v>42034</v>
      </c>
      <c r="J272">
        <v>19.649999999999999</v>
      </c>
      <c r="K272" s="1">
        <v>42019</v>
      </c>
      <c r="L272">
        <v>92.352000000000004</v>
      </c>
    </row>
    <row r="273" spans="1:12" x14ac:dyDescent="0.25">
      <c r="A273" s="1">
        <v>42037</v>
      </c>
      <c r="B273">
        <v>19.43</v>
      </c>
      <c r="C273" s="1">
        <v>42037</v>
      </c>
      <c r="D273">
        <v>24.33</v>
      </c>
      <c r="E273" s="1">
        <v>42020</v>
      </c>
      <c r="F273">
        <v>92.618799999999993</v>
      </c>
      <c r="G273" s="1">
        <v>42037</v>
      </c>
      <c r="H273">
        <v>57.84</v>
      </c>
      <c r="I273" s="1">
        <v>42037</v>
      </c>
      <c r="J273">
        <v>20.329999999999998</v>
      </c>
      <c r="K273" s="1">
        <v>42020</v>
      </c>
      <c r="L273">
        <v>92.52</v>
      </c>
    </row>
    <row r="274" spans="1:12" x14ac:dyDescent="0.25">
      <c r="A274" s="1">
        <v>42038</v>
      </c>
      <c r="B274">
        <v>17.329999999999998</v>
      </c>
      <c r="C274" s="1">
        <v>42038</v>
      </c>
      <c r="D274">
        <v>22.18</v>
      </c>
      <c r="E274" s="1">
        <v>42023</v>
      </c>
      <c r="F274">
        <v>92.618799999999993</v>
      </c>
      <c r="G274" s="1">
        <v>42038</v>
      </c>
      <c r="H274">
        <v>59.68</v>
      </c>
      <c r="I274" s="1">
        <v>42038</v>
      </c>
      <c r="J274">
        <v>20.3</v>
      </c>
      <c r="K274" s="1">
        <v>42023</v>
      </c>
      <c r="L274">
        <v>92.52</v>
      </c>
    </row>
    <row r="275" spans="1:12" x14ac:dyDescent="0.25">
      <c r="A275" s="1">
        <v>42039</v>
      </c>
      <c r="B275">
        <v>18.329999999999998</v>
      </c>
      <c r="C275" s="1">
        <v>42039</v>
      </c>
      <c r="D275">
        <v>22.42</v>
      </c>
      <c r="E275" s="1">
        <v>42024</v>
      </c>
      <c r="F275">
        <v>90.551100000000005</v>
      </c>
      <c r="G275" s="1">
        <v>42039</v>
      </c>
      <c r="H275">
        <v>62.73</v>
      </c>
      <c r="I275" s="1">
        <v>42039</v>
      </c>
      <c r="J275">
        <v>20.36</v>
      </c>
      <c r="K275" s="1">
        <v>42024</v>
      </c>
      <c r="L275">
        <v>93.046000000000006</v>
      </c>
    </row>
    <row r="276" spans="1:12" x14ac:dyDescent="0.25">
      <c r="A276" s="1">
        <v>42040</v>
      </c>
      <c r="B276">
        <v>16.850000000000001</v>
      </c>
      <c r="C276" s="1">
        <v>42040</v>
      </c>
      <c r="D276">
        <v>21.83</v>
      </c>
      <c r="E276" s="1">
        <v>42025</v>
      </c>
      <c r="F276">
        <v>88.252499999999998</v>
      </c>
      <c r="G276" s="1">
        <v>42040</v>
      </c>
      <c r="H276">
        <v>63.14</v>
      </c>
      <c r="I276" s="1">
        <v>42040</v>
      </c>
      <c r="J276">
        <v>20.059999999999999</v>
      </c>
      <c r="K276" s="1">
        <v>42025</v>
      </c>
      <c r="L276">
        <v>92.903999999999996</v>
      </c>
    </row>
    <row r="277" spans="1:12" x14ac:dyDescent="0.25">
      <c r="A277" s="1">
        <v>42041</v>
      </c>
      <c r="B277">
        <v>17.29</v>
      </c>
      <c r="C277" s="1">
        <v>42041</v>
      </c>
      <c r="D277">
        <v>21.69</v>
      </c>
      <c r="E277" s="1">
        <v>42026</v>
      </c>
      <c r="F277">
        <v>85.15</v>
      </c>
      <c r="G277" s="1">
        <v>42041</v>
      </c>
      <c r="H277">
        <v>60.83</v>
      </c>
      <c r="I277" s="1">
        <v>42041</v>
      </c>
      <c r="J277">
        <v>20.59</v>
      </c>
      <c r="K277" s="1">
        <v>42026</v>
      </c>
      <c r="L277">
        <v>94.076999999999998</v>
      </c>
    </row>
    <row r="278" spans="1:12" x14ac:dyDescent="0.25">
      <c r="A278" s="1">
        <v>42044</v>
      </c>
      <c r="B278">
        <v>18.55</v>
      </c>
      <c r="C278" s="1">
        <v>42044</v>
      </c>
      <c r="D278">
        <v>22.72</v>
      </c>
      <c r="E278" s="1">
        <v>42027</v>
      </c>
      <c r="F278">
        <v>89.939099999999996</v>
      </c>
      <c r="G278" s="1">
        <v>42044</v>
      </c>
      <c r="H278">
        <v>56</v>
      </c>
      <c r="I278" s="1">
        <v>42044</v>
      </c>
      <c r="J278">
        <v>20.3</v>
      </c>
      <c r="K278" s="1">
        <v>42027</v>
      </c>
      <c r="L278">
        <v>94.762</v>
      </c>
    </row>
    <row r="279" spans="1:12" x14ac:dyDescent="0.25">
      <c r="A279" s="1">
        <v>42045</v>
      </c>
      <c r="B279">
        <v>17.23</v>
      </c>
      <c r="C279" s="1">
        <v>42045</v>
      </c>
      <c r="D279">
        <v>21.88</v>
      </c>
      <c r="E279" s="1">
        <v>42030</v>
      </c>
      <c r="F279">
        <v>85.326599999999999</v>
      </c>
      <c r="G279" s="1">
        <v>42045</v>
      </c>
      <c r="H279">
        <v>59.29</v>
      </c>
      <c r="I279" s="1">
        <v>42045</v>
      </c>
      <c r="J279">
        <v>19.71</v>
      </c>
      <c r="K279" s="1">
        <v>42030</v>
      </c>
      <c r="L279">
        <v>94.802000000000007</v>
      </c>
    </row>
    <row r="280" spans="1:12" x14ac:dyDescent="0.25">
      <c r="A280" s="1">
        <v>42046</v>
      </c>
      <c r="B280">
        <v>16.96</v>
      </c>
      <c r="C280" s="1">
        <v>42046</v>
      </c>
      <c r="D280">
        <v>22.16</v>
      </c>
      <c r="E280" s="1">
        <v>42031</v>
      </c>
      <c r="F280">
        <v>86.182500000000005</v>
      </c>
      <c r="G280" s="1">
        <v>42046</v>
      </c>
      <c r="H280">
        <v>60.23</v>
      </c>
      <c r="I280" s="1">
        <v>42046</v>
      </c>
      <c r="J280">
        <v>20.07</v>
      </c>
      <c r="K280" s="1">
        <v>42031</v>
      </c>
      <c r="L280">
        <v>94.022000000000006</v>
      </c>
    </row>
    <row r="281" spans="1:12" x14ac:dyDescent="0.25">
      <c r="A281" s="1">
        <v>42047</v>
      </c>
      <c r="B281">
        <v>15.34</v>
      </c>
      <c r="C281" s="1">
        <v>42047</v>
      </c>
      <c r="D281">
        <v>19.78</v>
      </c>
      <c r="E281" s="1">
        <v>42032</v>
      </c>
      <c r="F281">
        <v>86.376900000000006</v>
      </c>
      <c r="G281" s="1">
        <v>42047</v>
      </c>
      <c r="H281">
        <v>58.69</v>
      </c>
      <c r="I281" s="1">
        <v>42047</v>
      </c>
      <c r="J281">
        <v>19.309999999999999</v>
      </c>
      <c r="K281" s="1">
        <v>42032</v>
      </c>
      <c r="L281">
        <v>94.466999999999999</v>
      </c>
    </row>
    <row r="282" spans="1:12" x14ac:dyDescent="0.25">
      <c r="A282" s="1">
        <v>42048</v>
      </c>
      <c r="B282">
        <v>14.69</v>
      </c>
      <c r="C282" s="1">
        <v>42048</v>
      </c>
      <c r="D282">
        <v>18.82</v>
      </c>
      <c r="E282" s="1">
        <v>42033</v>
      </c>
      <c r="F282">
        <v>86.617500000000007</v>
      </c>
      <c r="G282" s="1">
        <v>42048</v>
      </c>
      <c r="H282">
        <v>55.53</v>
      </c>
      <c r="I282" s="1">
        <v>42048</v>
      </c>
      <c r="J282">
        <v>18.489999999999998</v>
      </c>
      <c r="K282" s="1">
        <v>42033</v>
      </c>
      <c r="L282">
        <v>94.781999999999996</v>
      </c>
    </row>
    <row r="283" spans="1:12" x14ac:dyDescent="0.25">
      <c r="A283" s="1">
        <v>42052</v>
      </c>
      <c r="B283">
        <v>15.8</v>
      </c>
      <c r="C283" s="1">
        <v>42052</v>
      </c>
      <c r="D283">
        <v>20.28</v>
      </c>
      <c r="E283" s="1">
        <v>42034</v>
      </c>
      <c r="F283">
        <v>88.272400000000005</v>
      </c>
      <c r="G283" s="1">
        <v>42052</v>
      </c>
      <c r="H283">
        <v>56.33</v>
      </c>
      <c r="I283" s="1">
        <v>42052</v>
      </c>
      <c r="J283">
        <v>19.61</v>
      </c>
      <c r="K283" s="1">
        <v>42034</v>
      </c>
      <c r="L283">
        <v>94.804000000000002</v>
      </c>
    </row>
    <row r="284" spans="1:12" x14ac:dyDescent="0.25">
      <c r="A284" s="1">
        <v>42053</v>
      </c>
      <c r="B284">
        <v>15.45</v>
      </c>
      <c r="C284" s="1">
        <v>42053</v>
      </c>
      <c r="D284">
        <v>20.14</v>
      </c>
      <c r="E284" s="1">
        <v>42037</v>
      </c>
      <c r="F284">
        <v>88.138199999999998</v>
      </c>
      <c r="G284" s="1">
        <v>42053</v>
      </c>
      <c r="H284">
        <v>55.97</v>
      </c>
      <c r="I284" s="1">
        <v>42053</v>
      </c>
      <c r="J284">
        <v>19.54</v>
      </c>
      <c r="K284" s="1">
        <v>42037</v>
      </c>
      <c r="L284">
        <v>94.504000000000005</v>
      </c>
    </row>
    <row r="285" spans="1:12" x14ac:dyDescent="0.25">
      <c r="A285" s="1">
        <v>42054</v>
      </c>
      <c r="B285">
        <v>15.29</v>
      </c>
      <c r="C285" s="1">
        <v>42054</v>
      </c>
      <c r="D285">
        <v>19.46</v>
      </c>
      <c r="E285" s="1">
        <v>42038</v>
      </c>
      <c r="F285">
        <v>92.738200000000006</v>
      </c>
      <c r="G285" s="1">
        <v>42054</v>
      </c>
      <c r="H285">
        <v>55.75</v>
      </c>
      <c r="I285" s="1">
        <v>42054</v>
      </c>
      <c r="J285">
        <v>18.62</v>
      </c>
      <c r="K285" s="1">
        <v>42038</v>
      </c>
      <c r="L285">
        <v>93.6</v>
      </c>
    </row>
    <row r="286" spans="1:12" x14ac:dyDescent="0.25">
      <c r="A286" s="1">
        <v>42055</v>
      </c>
      <c r="B286">
        <v>14.3</v>
      </c>
      <c r="C286" s="1">
        <v>42055</v>
      </c>
      <c r="D286">
        <v>17.41</v>
      </c>
      <c r="E286" s="1">
        <v>42039</v>
      </c>
      <c r="F286">
        <v>92.272300000000001</v>
      </c>
      <c r="G286" s="1">
        <v>42055</v>
      </c>
      <c r="H286">
        <v>54</v>
      </c>
      <c r="I286" s="1">
        <v>42055</v>
      </c>
      <c r="J286">
        <v>19.260000000000002</v>
      </c>
      <c r="K286" s="1">
        <v>42039</v>
      </c>
      <c r="L286">
        <v>93.986000000000004</v>
      </c>
    </row>
    <row r="287" spans="1:12" x14ac:dyDescent="0.25">
      <c r="A287" s="1">
        <v>42058</v>
      </c>
      <c r="B287">
        <v>14.56</v>
      </c>
      <c r="C287" s="1">
        <v>42058</v>
      </c>
      <c r="D287">
        <v>17.899999999999999</v>
      </c>
      <c r="E287" s="1">
        <v>42040</v>
      </c>
      <c r="F287">
        <v>92.951899999999995</v>
      </c>
      <c r="G287" s="1">
        <v>42058</v>
      </c>
      <c r="H287">
        <v>58.67</v>
      </c>
      <c r="I287" s="1">
        <v>42058</v>
      </c>
      <c r="J287">
        <v>19.399999999999999</v>
      </c>
      <c r="K287" s="1">
        <v>42040</v>
      </c>
      <c r="L287">
        <v>93.569000000000003</v>
      </c>
    </row>
    <row r="288" spans="1:12" x14ac:dyDescent="0.25">
      <c r="A288" s="1">
        <v>42059</v>
      </c>
      <c r="B288">
        <v>13.69</v>
      </c>
      <c r="C288" s="1">
        <v>42059</v>
      </c>
      <c r="D288">
        <v>17.100000000000001</v>
      </c>
      <c r="E288" s="1">
        <v>42041</v>
      </c>
      <c r="F288">
        <v>93.695400000000006</v>
      </c>
      <c r="G288" s="1">
        <v>42059</v>
      </c>
      <c r="H288">
        <v>56.27</v>
      </c>
      <c r="I288" s="1">
        <v>42059</v>
      </c>
      <c r="J288">
        <v>18.77</v>
      </c>
      <c r="K288" s="1">
        <v>42041</v>
      </c>
      <c r="L288">
        <v>94.697999999999993</v>
      </c>
    </row>
    <row r="289" spans="1:12" x14ac:dyDescent="0.25">
      <c r="A289" s="1">
        <v>42060</v>
      </c>
      <c r="B289">
        <v>13.84</v>
      </c>
      <c r="C289" s="1">
        <v>42060</v>
      </c>
      <c r="D289">
        <v>17.190000000000001</v>
      </c>
      <c r="E289" s="1">
        <v>42044</v>
      </c>
      <c r="F289">
        <v>95.077600000000004</v>
      </c>
      <c r="G289" s="1">
        <v>42060</v>
      </c>
      <c r="H289">
        <v>54.93</v>
      </c>
      <c r="I289" s="1">
        <v>42060</v>
      </c>
      <c r="J289">
        <v>17.399999999999999</v>
      </c>
      <c r="K289" s="1">
        <v>42044</v>
      </c>
      <c r="L289">
        <v>94.448999999999998</v>
      </c>
    </row>
    <row r="290" spans="1:12" x14ac:dyDescent="0.25">
      <c r="A290" s="1">
        <v>42061</v>
      </c>
      <c r="B290">
        <v>13.91</v>
      </c>
      <c r="C290" s="1">
        <v>42061</v>
      </c>
      <c r="D290">
        <v>17.420000000000002</v>
      </c>
      <c r="E290" s="1">
        <v>42045</v>
      </c>
      <c r="F290">
        <v>95.346800000000002</v>
      </c>
      <c r="G290" s="1">
        <v>42061</v>
      </c>
      <c r="H290">
        <v>56.46</v>
      </c>
      <c r="I290" s="1">
        <v>42061</v>
      </c>
      <c r="J290">
        <v>16.649999999999999</v>
      </c>
      <c r="K290" s="1">
        <v>42045</v>
      </c>
      <c r="L290">
        <v>94.757999999999996</v>
      </c>
    </row>
    <row r="291" spans="1:12" x14ac:dyDescent="0.25">
      <c r="A291" s="1">
        <v>42062</v>
      </c>
      <c r="B291">
        <v>13.34</v>
      </c>
      <c r="C291" s="1">
        <v>42062</v>
      </c>
      <c r="D291">
        <v>16.54</v>
      </c>
      <c r="E291" s="1">
        <v>42046</v>
      </c>
      <c r="F291">
        <v>94.212500000000006</v>
      </c>
      <c r="G291" s="1">
        <v>42062</v>
      </c>
      <c r="H291">
        <v>55.85</v>
      </c>
      <c r="I291" s="1">
        <v>42062</v>
      </c>
      <c r="J291">
        <v>15.91</v>
      </c>
      <c r="K291" s="1">
        <v>42046</v>
      </c>
      <c r="L291">
        <v>94.984999999999999</v>
      </c>
    </row>
    <row r="292" spans="1:12" x14ac:dyDescent="0.25">
      <c r="A292" s="1">
        <v>42065</v>
      </c>
      <c r="B292">
        <v>13.04</v>
      </c>
      <c r="C292" s="1">
        <v>42065</v>
      </c>
      <c r="D292">
        <v>16.63</v>
      </c>
      <c r="E292" s="1">
        <v>42047</v>
      </c>
      <c r="F292">
        <v>91.647999999999996</v>
      </c>
      <c r="G292" s="1">
        <v>42065</v>
      </c>
      <c r="H292">
        <v>54.92</v>
      </c>
      <c r="I292" s="1">
        <v>42065</v>
      </c>
      <c r="J292">
        <v>16.38</v>
      </c>
      <c r="K292" s="1">
        <v>42047</v>
      </c>
      <c r="L292">
        <v>94.093999999999994</v>
      </c>
    </row>
    <row r="293" spans="1:12" x14ac:dyDescent="0.25">
      <c r="A293" s="1">
        <v>42066</v>
      </c>
      <c r="B293">
        <v>13.86</v>
      </c>
      <c r="C293" s="1">
        <v>42066</v>
      </c>
      <c r="D293">
        <v>17.16</v>
      </c>
      <c r="E293" s="1">
        <v>42048</v>
      </c>
      <c r="F293">
        <v>91.365600000000001</v>
      </c>
      <c r="G293" s="1">
        <v>42066</v>
      </c>
      <c r="H293">
        <v>53.05</v>
      </c>
      <c r="I293" s="1">
        <v>42066</v>
      </c>
      <c r="J293">
        <v>16.760000000000002</v>
      </c>
      <c r="K293" s="1">
        <v>42048</v>
      </c>
      <c r="L293">
        <v>94.200999999999993</v>
      </c>
    </row>
    <row r="294" spans="1:12" x14ac:dyDescent="0.25">
      <c r="A294" s="1">
        <v>42067</v>
      </c>
      <c r="B294">
        <v>14.23</v>
      </c>
      <c r="C294" s="1">
        <v>42067</v>
      </c>
      <c r="D294">
        <v>18.13</v>
      </c>
      <c r="E294" s="1">
        <v>42051</v>
      </c>
      <c r="F294">
        <v>91.365600000000001</v>
      </c>
      <c r="G294" s="1">
        <v>42067</v>
      </c>
      <c r="H294">
        <v>48.92</v>
      </c>
      <c r="I294" s="1">
        <v>42067</v>
      </c>
      <c r="J294">
        <v>16.66</v>
      </c>
      <c r="K294" s="1">
        <v>42051</v>
      </c>
      <c r="L294">
        <v>94.200999999999993</v>
      </c>
    </row>
    <row r="295" spans="1:12" x14ac:dyDescent="0.25">
      <c r="A295" s="1">
        <v>42068</v>
      </c>
      <c r="B295">
        <v>14.04</v>
      </c>
      <c r="C295" s="1">
        <v>42068</v>
      </c>
      <c r="D295">
        <v>18.239999999999998</v>
      </c>
      <c r="E295" s="1">
        <v>42052</v>
      </c>
      <c r="F295">
        <v>91.8172</v>
      </c>
      <c r="G295" s="1">
        <v>42068</v>
      </c>
      <c r="H295">
        <v>47.09</v>
      </c>
      <c r="I295" s="1">
        <v>42068</v>
      </c>
      <c r="J295">
        <v>16.899999999999999</v>
      </c>
      <c r="K295" s="1">
        <v>42052</v>
      </c>
      <c r="L295">
        <v>94.061000000000007</v>
      </c>
    </row>
    <row r="296" spans="1:12" x14ac:dyDescent="0.25">
      <c r="A296" s="1">
        <v>42069</v>
      </c>
      <c r="B296">
        <v>15.2</v>
      </c>
      <c r="C296" s="1">
        <v>42069</v>
      </c>
      <c r="D296">
        <v>19.149999999999999</v>
      </c>
      <c r="E296" s="1">
        <v>42053</v>
      </c>
      <c r="F296">
        <v>91.383300000000006</v>
      </c>
      <c r="G296" s="1">
        <v>42069</v>
      </c>
      <c r="H296">
        <v>48.96</v>
      </c>
      <c r="I296" s="1">
        <v>42069</v>
      </c>
      <c r="J296">
        <v>18.43</v>
      </c>
      <c r="K296" s="1">
        <v>42053</v>
      </c>
      <c r="L296">
        <v>94.197999999999993</v>
      </c>
    </row>
    <row r="297" spans="1:12" x14ac:dyDescent="0.25">
      <c r="A297" s="1">
        <v>42072</v>
      </c>
      <c r="B297">
        <v>15.06</v>
      </c>
      <c r="C297" s="1">
        <v>42072</v>
      </c>
      <c r="D297">
        <v>19.87</v>
      </c>
      <c r="E297" s="1">
        <v>42054</v>
      </c>
      <c r="F297">
        <v>98.469200000000001</v>
      </c>
      <c r="G297" s="1">
        <v>42072</v>
      </c>
      <c r="H297">
        <v>48.99</v>
      </c>
      <c r="I297" s="1">
        <v>42072</v>
      </c>
      <c r="J297">
        <v>17.579999999999998</v>
      </c>
      <c r="K297" s="1">
        <v>42054</v>
      </c>
      <c r="L297">
        <v>94.403999999999996</v>
      </c>
    </row>
    <row r="298" spans="1:12" x14ac:dyDescent="0.25">
      <c r="A298" s="1">
        <v>42073</v>
      </c>
      <c r="B298">
        <v>16.690000000000001</v>
      </c>
      <c r="C298" s="1">
        <v>42073</v>
      </c>
      <c r="D298">
        <v>21.44</v>
      </c>
      <c r="E298" s="1">
        <v>42055</v>
      </c>
      <c r="F298">
        <v>98.336500000000001</v>
      </c>
      <c r="G298" s="1">
        <v>42073</v>
      </c>
      <c r="H298">
        <v>50.92</v>
      </c>
      <c r="I298" s="1">
        <v>42073</v>
      </c>
      <c r="J298">
        <v>18.97</v>
      </c>
      <c r="K298" s="1">
        <v>42055</v>
      </c>
      <c r="L298">
        <v>94.253</v>
      </c>
    </row>
    <row r="299" spans="1:12" x14ac:dyDescent="0.25">
      <c r="A299" s="1">
        <v>42074</v>
      </c>
      <c r="B299">
        <v>16.87</v>
      </c>
      <c r="C299" s="1">
        <v>42074</v>
      </c>
      <c r="D299">
        <v>20.57</v>
      </c>
      <c r="E299" s="1">
        <v>42058</v>
      </c>
      <c r="F299">
        <v>97.738600000000005</v>
      </c>
      <c r="G299" s="1">
        <v>42074</v>
      </c>
      <c r="H299">
        <v>49.17</v>
      </c>
      <c r="I299" s="1">
        <v>42074</v>
      </c>
      <c r="J299">
        <v>20.010000000000002</v>
      </c>
      <c r="K299" s="1">
        <v>42058</v>
      </c>
      <c r="L299">
        <v>94.569000000000003</v>
      </c>
    </row>
    <row r="300" spans="1:12" x14ac:dyDescent="0.25">
      <c r="A300" s="1">
        <v>42075</v>
      </c>
      <c r="B300">
        <v>15.42</v>
      </c>
      <c r="C300" s="1">
        <v>42075</v>
      </c>
      <c r="D300">
        <v>19.920000000000002</v>
      </c>
      <c r="E300" s="1">
        <v>42059</v>
      </c>
      <c r="F300">
        <v>94.126999999999995</v>
      </c>
      <c r="G300" s="1">
        <v>42075</v>
      </c>
      <c r="H300">
        <v>49.59</v>
      </c>
      <c r="I300" s="1">
        <v>42075</v>
      </c>
      <c r="J300">
        <v>19.07</v>
      </c>
      <c r="K300" s="1">
        <v>42059</v>
      </c>
      <c r="L300">
        <v>94.492999999999995</v>
      </c>
    </row>
    <row r="301" spans="1:12" x14ac:dyDescent="0.25">
      <c r="A301" s="1">
        <v>42076</v>
      </c>
      <c r="B301">
        <v>16</v>
      </c>
      <c r="C301" s="1">
        <v>42076</v>
      </c>
      <c r="D301">
        <v>21.14</v>
      </c>
      <c r="E301" s="1">
        <v>42060</v>
      </c>
      <c r="F301">
        <v>91.475099999999998</v>
      </c>
      <c r="G301" s="1">
        <v>42076</v>
      </c>
      <c r="H301">
        <v>54.56</v>
      </c>
      <c r="I301" s="1">
        <v>42076</v>
      </c>
      <c r="J301">
        <v>18.899999999999999</v>
      </c>
      <c r="K301" s="1">
        <v>42060</v>
      </c>
      <c r="L301">
        <v>94.212999999999994</v>
      </c>
    </row>
    <row r="302" spans="1:12" x14ac:dyDescent="0.25">
      <c r="A302" s="1">
        <v>42079</v>
      </c>
      <c r="B302">
        <v>15.61</v>
      </c>
      <c r="C302" s="1">
        <v>42079</v>
      </c>
      <c r="D302">
        <v>20.99</v>
      </c>
      <c r="E302" s="1">
        <v>42061</v>
      </c>
      <c r="F302">
        <v>90.530799999999999</v>
      </c>
      <c r="G302" s="1">
        <v>42079</v>
      </c>
      <c r="H302">
        <v>56.93</v>
      </c>
      <c r="I302" s="1">
        <v>42079</v>
      </c>
      <c r="J302">
        <v>19.14</v>
      </c>
      <c r="K302" s="1">
        <v>42061</v>
      </c>
      <c r="L302">
        <v>95.292000000000002</v>
      </c>
    </row>
    <row r="303" spans="1:12" x14ac:dyDescent="0.25">
      <c r="A303" s="1">
        <v>42080</v>
      </c>
      <c r="B303">
        <v>15.66</v>
      </c>
      <c r="C303" s="1">
        <v>42080</v>
      </c>
      <c r="D303">
        <v>20.84</v>
      </c>
      <c r="E303" s="1">
        <v>42062</v>
      </c>
      <c r="F303">
        <v>91.386499999999998</v>
      </c>
      <c r="G303" s="1">
        <v>42080</v>
      </c>
      <c r="H303">
        <v>59.85</v>
      </c>
      <c r="I303" s="1">
        <v>42080</v>
      </c>
      <c r="J303">
        <v>20.83</v>
      </c>
      <c r="K303" s="1">
        <v>42062</v>
      </c>
      <c r="L303">
        <v>95.293000000000006</v>
      </c>
    </row>
    <row r="304" spans="1:12" x14ac:dyDescent="0.25">
      <c r="A304" s="1">
        <v>42081</v>
      </c>
      <c r="B304">
        <v>13.97</v>
      </c>
      <c r="C304" s="1">
        <v>42081</v>
      </c>
      <c r="D304">
        <v>18.63</v>
      </c>
      <c r="E304" s="1">
        <v>42065</v>
      </c>
      <c r="F304">
        <v>90.198899999999995</v>
      </c>
      <c r="G304" s="1">
        <v>42081</v>
      </c>
      <c r="H304">
        <v>53.65</v>
      </c>
      <c r="I304" s="1">
        <v>42081</v>
      </c>
      <c r="J304">
        <v>18.649999999999999</v>
      </c>
      <c r="K304" s="1">
        <v>42065</v>
      </c>
      <c r="L304">
        <v>95.462000000000003</v>
      </c>
    </row>
    <row r="305" spans="1:12" x14ac:dyDescent="0.25">
      <c r="A305" s="1">
        <v>42082</v>
      </c>
      <c r="B305">
        <v>14.07</v>
      </c>
      <c r="C305" s="1">
        <v>42082</v>
      </c>
      <c r="D305">
        <v>19.899999999999999</v>
      </c>
      <c r="E305" s="1">
        <v>42066</v>
      </c>
      <c r="F305">
        <v>91.750600000000006</v>
      </c>
      <c r="G305" s="1">
        <v>42082</v>
      </c>
      <c r="H305">
        <v>53.82</v>
      </c>
      <c r="I305" s="1">
        <v>42082</v>
      </c>
      <c r="J305">
        <v>17.25</v>
      </c>
      <c r="K305" s="1">
        <v>42066</v>
      </c>
      <c r="L305">
        <v>95.382999999999996</v>
      </c>
    </row>
    <row r="306" spans="1:12" x14ac:dyDescent="0.25">
      <c r="A306" s="1">
        <v>42083</v>
      </c>
      <c r="B306">
        <v>13.02</v>
      </c>
      <c r="C306" s="1">
        <v>42083</v>
      </c>
      <c r="D306">
        <v>17.579999999999998</v>
      </c>
      <c r="E306" s="1">
        <v>42067</v>
      </c>
      <c r="F306">
        <v>90.656300000000002</v>
      </c>
      <c r="G306" s="1">
        <v>42083</v>
      </c>
      <c r="H306">
        <v>50.84</v>
      </c>
      <c r="I306" s="1">
        <v>42083</v>
      </c>
      <c r="J306">
        <v>17.21</v>
      </c>
      <c r="K306" s="1">
        <v>42067</v>
      </c>
      <c r="L306">
        <v>95.965000000000003</v>
      </c>
    </row>
    <row r="307" spans="1:12" x14ac:dyDescent="0.25">
      <c r="A307" s="1">
        <v>42086</v>
      </c>
      <c r="B307">
        <v>13.41</v>
      </c>
      <c r="C307" s="1">
        <v>42086</v>
      </c>
      <c r="D307">
        <v>17.57</v>
      </c>
      <c r="E307" s="1">
        <v>42068</v>
      </c>
      <c r="F307">
        <v>89.322800000000001</v>
      </c>
      <c r="G307" s="1">
        <v>42086</v>
      </c>
      <c r="H307">
        <v>49.32</v>
      </c>
      <c r="I307" s="1">
        <v>42086</v>
      </c>
      <c r="J307">
        <v>17.260000000000002</v>
      </c>
      <c r="K307" s="1">
        <v>42068</v>
      </c>
      <c r="L307">
        <v>96.378</v>
      </c>
    </row>
    <row r="308" spans="1:12" x14ac:dyDescent="0.25">
      <c r="A308" s="1">
        <v>42087</v>
      </c>
      <c r="B308">
        <v>13.62</v>
      </c>
      <c r="C308" s="1">
        <v>42087</v>
      </c>
      <c r="D308">
        <v>17.059999999999999</v>
      </c>
      <c r="E308" s="1">
        <v>42069</v>
      </c>
      <c r="F308">
        <v>86.585999999999999</v>
      </c>
      <c r="G308" s="1">
        <v>42087</v>
      </c>
      <c r="H308">
        <v>47.94</v>
      </c>
      <c r="I308" s="1">
        <v>42087</v>
      </c>
      <c r="J308">
        <v>16.84</v>
      </c>
      <c r="K308" s="1">
        <v>42069</v>
      </c>
      <c r="L308">
        <v>97.614999999999995</v>
      </c>
    </row>
    <row r="309" spans="1:12" x14ac:dyDescent="0.25">
      <c r="A309" s="1">
        <v>42088</v>
      </c>
      <c r="B309">
        <v>15.44</v>
      </c>
      <c r="C309" s="1">
        <v>42088</v>
      </c>
      <c r="D309">
        <v>18.89</v>
      </c>
      <c r="E309" s="1">
        <v>42072</v>
      </c>
      <c r="F309">
        <v>84.02</v>
      </c>
      <c r="G309" s="1">
        <v>42088</v>
      </c>
      <c r="H309">
        <v>47.03</v>
      </c>
      <c r="I309" s="1">
        <v>42088</v>
      </c>
      <c r="J309">
        <v>16.38</v>
      </c>
      <c r="K309" s="1">
        <v>42072</v>
      </c>
      <c r="L309">
        <v>97.587999999999994</v>
      </c>
    </row>
    <row r="310" spans="1:12" x14ac:dyDescent="0.25">
      <c r="A310" s="1">
        <v>42089</v>
      </c>
      <c r="B310">
        <v>15.8</v>
      </c>
      <c r="C310" s="1">
        <v>42089</v>
      </c>
      <c r="D310">
        <v>19.95</v>
      </c>
      <c r="E310" s="1">
        <v>42073</v>
      </c>
      <c r="F310">
        <v>84.389099999999999</v>
      </c>
      <c r="G310" s="1">
        <v>42089</v>
      </c>
      <c r="H310">
        <v>49.58</v>
      </c>
      <c r="I310" s="1">
        <v>42089</v>
      </c>
      <c r="J310">
        <v>16.02</v>
      </c>
      <c r="K310" s="1">
        <v>42073</v>
      </c>
      <c r="L310">
        <v>98.617999999999995</v>
      </c>
    </row>
    <row r="311" spans="1:12" x14ac:dyDescent="0.25">
      <c r="A311" s="1">
        <v>42090</v>
      </c>
      <c r="B311">
        <v>15.07</v>
      </c>
      <c r="C311" s="1">
        <v>42090</v>
      </c>
      <c r="D311">
        <v>19.16</v>
      </c>
      <c r="E311" s="1">
        <v>42074</v>
      </c>
      <c r="F311">
        <v>84.964299999999994</v>
      </c>
      <c r="G311" s="1">
        <v>42090</v>
      </c>
      <c r="H311">
        <v>52.84</v>
      </c>
      <c r="I311" s="1">
        <v>42090</v>
      </c>
      <c r="J311">
        <v>15.83</v>
      </c>
      <c r="K311" s="1">
        <v>42074</v>
      </c>
      <c r="L311">
        <v>99.795000000000002</v>
      </c>
    </row>
    <row r="312" spans="1:12" x14ac:dyDescent="0.25">
      <c r="A312" s="1">
        <v>42093</v>
      </c>
      <c r="B312">
        <v>14.51</v>
      </c>
      <c r="C312" s="1">
        <v>42093</v>
      </c>
      <c r="D312">
        <v>18.48</v>
      </c>
      <c r="E312" s="1">
        <v>42075</v>
      </c>
      <c r="F312">
        <v>85.603300000000004</v>
      </c>
      <c r="G312" s="1">
        <v>42093</v>
      </c>
      <c r="H312">
        <v>51.98</v>
      </c>
      <c r="I312" s="1">
        <v>42093</v>
      </c>
      <c r="J312">
        <v>16.64</v>
      </c>
      <c r="K312" s="1">
        <v>42075</v>
      </c>
      <c r="L312">
        <v>99.435000000000002</v>
      </c>
    </row>
    <row r="313" spans="1:12" x14ac:dyDescent="0.25">
      <c r="A313" s="1">
        <v>42094</v>
      </c>
      <c r="B313">
        <v>15.29</v>
      </c>
      <c r="C313" s="1">
        <v>42094</v>
      </c>
      <c r="D313">
        <v>19.07</v>
      </c>
      <c r="E313" s="1">
        <v>42076</v>
      </c>
      <c r="F313">
        <v>86.102000000000004</v>
      </c>
      <c r="G313" s="1">
        <v>42094</v>
      </c>
      <c r="H313">
        <v>53.72</v>
      </c>
      <c r="I313" s="1">
        <v>42094</v>
      </c>
      <c r="J313">
        <v>16.34</v>
      </c>
      <c r="K313" s="1">
        <v>42076</v>
      </c>
      <c r="L313">
        <v>100.33</v>
      </c>
    </row>
    <row r="314" spans="1:12" x14ac:dyDescent="0.25">
      <c r="A314" s="1">
        <v>42095</v>
      </c>
      <c r="B314">
        <v>15.11</v>
      </c>
      <c r="C314" s="1">
        <v>42095</v>
      </c>
      <c r="D314">
        <v>19.260000000000002</v>
      </c>
      <c r="E314" s="1">
        <v>42079</v>
      </c>
      <c r="F314">
        <v>84.755499999999998</v>
      </c>
      <c r="G314" s="1">
        <v>42095</v>
      </c>
      <c r="H314">
        <v>50.9</v>
      </c>
      <c r="I314" s="1">
        <v>42095</v>
      </c>
      <c r="J314">
        <v>16.04</v>
      </c>
      <c r="K314" s="1">
        <v>42079</v>
      </c>
      <c r="L314">
        <v>99.603999999999999</v>
      </c>
    </row>
    <row r="315" spans="1:12" x14ac:dyDescent="0.25">
      <c r="A315" s="1">
        <v>42096</v>
      </c>
      <c r="B315">
        <v>14.67</v>
      </c>
      <c r="C315" s="1">
        <v>42096</v>
      </c>
      <c r="D315">
        <v>18.53</v>
      </c>
      <c r="E315" s="1">
        <v>42080</v>
      </c>
      <c r="F315">
        <v>86.327399999999997</v>
      </c>
      <c r="G315" s="1">
        <v>42096</v>
      </c>
      <c r="H315">
        <v>49.84</v>
      </c>
      <c r="I315" s="1">
        <v>42096</v>
      </c>
      <c r="J315">
        <v>16.010000000000002</v>
      </c>
      <c r="K315" s="1">
        <v>42080</v>
      </c>
      <c r="L315">
        <v>99.584999999999994</v>
      </c>
    </row>
    <row r="316" spans="1:12" x14ac:dyDescent="0.25">
      <c r="A316" s="1">
        <v>42100</v>
      </c>
      <c r="B316">
        <v>14.74</v>
      </c>
      <c r="C316" s="1">
        <v>42100</v>
      </c>
      <c r="D316">
        <v>19.010000000000002</v>
      </c>
      <c r="E316" s="1">
        <v>42081</v>
      </c>
      <c r="F316">
        <v>85.690299999999993</v>
      </c>
      <c r="G316" s="1">
        <v>42100</v>
      </c>
      <c r="H316">
        <v>48.33</v>
      </c>
      <c r="I316" s="1">
        <v>42100</v>
      </c>
      <c r="J316">
        <v>15.74</v>
      </c>
      <c r="K316" s="1">
        <v>42081</v>
      </c>
      <c r="L316">
        <v>98.55</v>
      </c>
    </row>
    <row r="317" spans="1:12" x14ac:dyDescent="0.25">
      <c r="A317" s="1">
        <v>42101</v>
      </c>
      <c r="B317">
        <v>14.78</v>
      </c>
      <c r="C317" s="1">
        <v>42101</v>
      </c>
      <c r="D317">
        <v>18.489999999999998</v>
      </c>
      <c r="E317" s="1">
        <v>42082</v>
      </c>
      <c r="F317">
        <v>87.778800000000004</v>
      </c>
      <c r="G317" s="1">
        <v>42101</v>
      </c>
      <c r="H317">
        <v>46.25</v>
      </c>
      <c r="I317" s="1">
        <v>42101</v>
      </c>
      <c r="J317">
        <v>15.2</v>
      </c>
      <c r="K317" s="1">
        <v>42082</v>
      </c>
      <c r="L317">
        <v>99.26</v>
      </c>
    </row>
    <row r="318" spans="1:12" x14ac:dyDescent="0.25">
      <c r="A318" s="1">
        <v>42102</v>
      </c>
      <c r="B318">
        <v>13.98</v>
      </c>
      <c r="C318" s="1">
        <v>42102</v>
      </c>
      <c r="D318">
        <v>19.940000000000001</v>
      </c>
      <c r="E318" s="1">
        <v>42083</v>
      </c>
      <c r="F318">
        <v>86.522300000000001</v>
      </c>
      <c r="G318" s="1">
        <v>42102</v>
      </c>
      <c r="H318">
        <v>48.1</v>
      </c>
      <c r="I318" s="1">
        <v>42102</v>
      </c>
      <c r="J318">
        <v>14.79</v>
      </c>
      <c r="K318" s="1">
        <v>42083</v>
      </c>
      <c r="L318">
        <v>97.909000000000006</v>
      </c>
    </row>
    <row r="319" spans="1:12" x14ac:dyDescent="0.25">
      <c r="A319" s="1">
        <v>42103</v>
      </c>
      <c r="B319">
        <v>13.09</v>
      </c>
      <c r="C319" s="1">
        <v>42103</v>
      </c>
      <c r="D319">
        <v>20.49</v>
      </c>
      <c r="E319" s="1">
        <v>42086</v>
      </c>
      <c r="F319">
        <v>84.920599999999993</v>
      </c>
      <c r="G319" s="1">
        <v>42103</v>
      </c>
      <c r="H319">
        <v>46.65</v>
      </c>
      <c r="I319" s="1">
        <v>42103</v>
      </c>
      <c r="J319">
        <v>15</v>
      </c>
      <c r="K319" s="1">
        <v>42086</v>
      </c>
      <c r="L319">
        <v>97.033000000000001</v>
      </c>
    </row>
    <row r="320" spans="1:12" x14ac:dyDescent="0.25">
      <c r="A320" s="1">
        <v>42104</v>
      </c>
      <c r="B320">
        <v>12.58</v>
      </c>
      <c r="C320" s="1">
        <v>42104</v>
      </c>
      <c r="D320">
        <v>18.760000000000002</v>
      </c>
      <c r="E320" s="1">
        <v>42087</v>
      </c>
      <c r="F320">
        <v>83.685900000000004</v>
      </c>
      <c r="G320" s="1">
        <v>42104</v>
      </c>
      <c r="H320">
        <v>43.04</v>
      </c>
      <c r="I320" s="1">
        <v>42104</v>
      </c>
      <c r="J320">
        <v>14.23</v>
      </c>
      <c r="K320" s="1">
        <v>42087</v>
      </c>
      <c r="L320">
        <v>97.192999999999998</v>
      </c>
    </row>
    <row r="321" spans="1:12" x14ac:dyDescent="0.25">
      <c r="A321" s="1">
        <v>42107</v>
      </c>
      <c r="B321">
        <v>13.94</v>
      </c>
      <c r="C321" s="1">
        <v>42107</v>
      </c>
      <c r="D321">
        <v>19.440000000000001</v>
      </c>
      <c r="E321" s="1">
        <v>42088</v>
      </c>
      <c r="F321">
        <v>84.183000000000007</v>
      </c>
      <c r="G321" s="1">
        <v>42107</v>
      </c>
      <c r="H321">
        <v>44.2</v>
      </c>
      <c r="I321" s="1">
        <v>42107</v>
      </c>
      <c r="J321">
        <v>14.79</v>
      </c>
      <c r="K321" s="1">
        <v>42088</v>
      </c>
      <c r="L321">
        <v>96.978999999999999</v>
      </c>
    </row>
    <row r="322" spans="1:12" x14ac:dyDescent="0.25">
      <c r="A322" s="1">
        <v>42108</v>
      </c>
      <c r="B322">
        <v>13.67</v>
      </c>
      <c r="C322" s="1">
        <v>42108</v>
      </c>
      <c r="D322">
        <v>18.63</v>
      </c>
      <c r="E322" s="1">
        <v>42089</v>
      </c>
      <c r="F322">
        <v>86.2012</v>
      </c>
      <c r="G322" s="1">
        <v>42108</v>
      </c>
      <c r="H322">
        <v>44.65</v>
      </c>
      <c r="I322" s="1">
        <v>42108</v>
      </c>
      <c r="J322">
        <v>15.18</v>
      </c>
      <c r="K322" s="1">
        <v>42089</v>
      </c>
      <c r="L322">
        <v>97.436000000000007</v>
      </c>
    </row>
    <row r="323" spans="1:12" x14ac:dyDescent="0.25">
      <c r="A323" s="1">
        <v>42109</v>
      </c>
      <c r="B323">
        <v>12.84</v>
      </c>
      <c r="C323" s="1">
        <v>42109</v>
      </c>
      <c r="D323">
        <v>18.16</v>
      </c>
      <c r="E323" s="1">
        <v>42090</v>
      </c>
      <c r="F323">
        <v>86.2012</v>
      </c>
      <c r="G323" s="1">
        <v>42109</v>
      </c>
      <c r="H323">
        <v>46.14</v>
      </c>
      <c r="I323" s="1">
        <v>42109</v>
      </c>
      <c r="J323">
        <v>14.6</v>
      </c>
      <c r="K323" s="1">
        <v>42090</v>
      </c>
      <c r="L323">
        <v>97.290999999999997</v>
      </c>
    </row>
    <row r="324" spans="1:12" x14ac:dyDescent="0.25">
      <c r="A324" s="1">
        <v>42110</v>
      </c>
      <c r="B324">
        <v>12.6</v>
      </c>
      <c r="C324" s="1">
        <v>42110</v>
      </c>
      <c r="D324">
        <v>17.47</v>
      </c>
      <c r="E324" s="1">
        <v>42093</v>
      </c>
      <c r="F324">
        <v>86.442099999999996</v>
      </c>
      <c r="G324" s="1">
        <v>42110</v>
      </c>
      <c r="H324">
        <v>43.48</v>
      </c>
      <c r="I324" s="1">
        <v>42110</v>
      </c>
      <c r="J324">
        <v>14.54</v>
      </c>
      <c r="K324" s="1">
        <v>42093</v>
      </c>
      <c r="L324">
        <v>97.974999999999994</v>
      </c>
    </row>
    <row r="325" spans="1:12" x14ac:dyDescent="0.25">
      <c r="A325" s="1">
        <v>42111</v>
      </c>
      <c r="B325">
        <v>13.89</v>
      </c>
      <c r="C325" s="1">
        <v>42111</v>
      </c>
      <c r="D325">
        <v>19.38</v>
      </c>
      <c r="E325" s="1">
        <v>42094</v>
      </c>
      <c r="F325">
        <v>86.101699999999994</v>
      </c>
      <c r="G325" s="1">
        <v>42111</v>
      </c>
      <c r="H325">
        <v>42</v>
      </c>
      <c r="I325" s="1">
        <v>42111</v>
      </c>
      <c r="J325">
        <v>14.47</v>
      </c>
      <c r="K325" s="1">
        <v>42094</v>
      </c>
      <c r="L325">
        <v>98.356999999999999</v>
      </c>
    </row>
    <row r="326" spans="1:12" x14ac:dyDescent="0.25">
      <c r="A326" s="1">
        <v>42114</v>
      </c>
      <c r="B326">
        <v>13.3</v>
      </c>
      <c r="C326" s="1">
        <v>42114</v>
      </c>
      <c r="D326">
        <v>19.440000000000001</v>
      </c>
      <c r="E326" s="1">
        <v>42095</v>
      </c>
      <c r="F326">
        <v>85.621200000000002</v>
      </c>
      <c r="G326" s="1">
        <v>42114</v>
      </c>
      <c r="H326">
        <v>42.06</v>
      </c>
      <c r="I326" s="1">
        <v>42114</v>
      </c>
      <c r="J326">
        <v>15.39</v>
      </c>
      <c r="K326" s="1">
        <v>42095</v>
      </c>
      <c r="L326">
        <v>98.185000000000002</v>
      </c>
    </row>
    <row r="327" spans="1:12" x14ac:dyDescent="0.25">
      <c r="A327" s="1">
        <v>42115</v>
      </c>
      <c r="B327">
        <v>13.25</v>
      </c>
      <c r="C327" s="1">
        <v>42115</v>
      </c>
      <c r="D327">
        <v>19.3</v>
      </c>
      <c r="E327" s="1">
        <v>42096</v>
      </c>
      <c r="F327">
        <v>84.284700000000001</v>
      </c>
      <c r="G327" s="1">
        <v>42115</v>
      </c>
      <c r="H327">
        <v>41.04</v>
      </c>
      <c r="I327" s="1">
        <v>42115</v>
      </c>
      <c r="J327">
        <v>15.04</v>
      </c>
      <c r="K327" s="1">
        <v>42096</v>
      </c>
      <c r="L327">
        <v>97.436000000000007</v>
      </c>
    </row>
    <row r="328" spans="1:12" x14ac:dyDescent="0.25">
      <c r="A328" s="1">
        <v>42116</v>
      </c>
      <c r="B328">
        <v>12.71</v>
      </c>
      <c r="C328" s="1">
        <v>42116</v>
      </c>
      <c r="D328">
        <v>18.760000000000002</v>
      </c>
      <c r="E328" s="1">
        <v>42097</v>
      </c>
      <c r="F328">
        <v>79.266499999999994</v>
      </c>
      <c r="G328" s="1">
        <v>42116</v>
      </c>
      <c r="H328">
        <v>39.01</v>
      </c>
      <c r="I328" s="1">
        <v>42116</v>
      </c>
      <c r="J328">
        <v>15.79</v>
      </c>
      <c r="K328" s="1">
        <v>42097</v>
      </c>
      <c r="L328">
        <v>96.545000000000002</v>
      </c>
    </row>
    <row r="329" spans="1:12" x14ac:dyDescent="0.25">
      <c r="A329" s="1">
        <v>42117</v>
      </c>
      <c r="B329">
        <v>12.48</v>
      </c>
      <c r="C329" s="1">
        <v>42117</v>
      </c>
      <c r="D329">
        <v>18.89</v>
      </c>
      <c r="E329" s="1">
        <v>42100</v>
      </c>
      <c r="F329">
        <v>78.974500000000006</v>
      </c>
      <c r="G329" s="1">
        <v>42117</v>
      </c>
      <c r="H329">
        <v>37.979999999999997</v>
      </c>
      <c r="I329" s="1">
        <v>42117</v>
      </c>
      <c r="J329">
        <v>15.87</v>
      </c>
      <c r="K329" s="1">
        <v>42100</v>
      </c>
      <c r="L329">
        <v>96.777000000000001</v>
      </c>
    </row>
    <row r="330" spans="1:12" x14ac:dyDescent="0.25">
      <c r="A330" s="1">
        <v>42118</v>
      </c>
      <c r="B330">
        <v>12.29</v>
      </c>
      <c r="C330" s="1">
        <v>42118</v>
      </c>
      <c r="D330">
        <v>18.62</v>
      </c>
      <c r="E330" s="1">
        <v>42101</v>
      </c>
      <c r="F330">
        <v>77.783900000000003</v>
      </c>
      <c r="G330" s="1">
        <v>42118</v>
      </c>
      <c r="H330">
        <v>36.61</v>
      </c>
      <c r="I330" s="1">
        <v>42118</v>
      </c>
      <c r="J330">
        <v>16.39</v>
      </c>
      <c r="K330" s="1">
        <v>42101</v>
      </c>
      <c r="L330">
        <v>97.83</v>
      </c>
    </row>
    <row r="331" spans="1:12" x14ac:dyDescent="0.25">
      <c r="A331" s="1">
        <v>42121</v>
      </c>
      <c r="B331">
        <v>13.12</v>
      </c>
      <c r="C331" s="1">
        <v>42121</v>
      </c>
      <c r="D331">
        <v>19.23</v>
      </c>
      <c r="E331" s="1">
        <v>42102</v>
      </c>
      <c r="F331">
        <v>80.025300000000001</v>
      </c>
      <c r="G331" s="1">
        <v>42121</v>
      </c>
      <c r="H331">
        <v>37.46</v>
      </c>
      <c r="I331" s="1">
        <v>42121</v>
      </c>
      <c r="J331">
        <v>16.420000000000002</v>
      </c>
      <c r="K331" s="1">
        <v>42102</v>
      </c>
      <c r="L331">
        <v>97.94</v>
      </c>
    </row>
    <row r="332" spans="1:12" x14ac:dyDescent="0.25">
      <c r="A332" s="1">
        <v>42122</v>
      </c>
      <c r="B332">
        <v>12.41</v>
      </c>
      <c r="C332" s="1">
        <v>42122</v>
      </c>
      <c r="D332">
        <v>18.73</v>
      </c>
      <c r="E332" s="1">
        <v>42103</v>
      </c>
      <c r="F332">
        <v>78.774600000000007</v>
      </c>
      <c r="G332" s="1">
        <v>42122</v>
      </c>
      <c r="H332">
        <v>37.31</v>
      </c>
      <c r="I332" s="1">
        <v>42122</v>
      </c>
      <c r="J332">
        <v>16.190000000000001</v>
      </c>
      <c r="K332" s="1">
        <v>42103</v>
      </c>
      <c r="L332">
        <v>99.155000000000001</v>
      </c>
    </row>
    <row r="333" spans="1:12" x14ac:dyDescent="0.25">
      <c r="A333" s="1">
        <v>42123</v>
      </c>
      <c r="B333">
        <v>13.39</v>
      </c>
      <c r="C333" s="1">
        <v>42123</v>
      </c>
      <c r="D333">
        <v>19.14</v>
      </c>
      <c r="E333" s="1">
        <v>42104</v>
      </c>
      <c r="F333">
        <v>77.826499999999996</v>
      </c>
      <c r="G333" s="1">
        <v>42123</v>
      </c>
      <c r="H333">
        <v>36.68</v>
      </c>
      <c r="I333" s="1">
        <v>42123</v>
      </c>
      <c r="J333">
        <v>15.95</v>
      </c>
      <c r="K333" s="1">
        <v>42104</v>
      </c>
      <c r="L333">
        <v>99.337999999999994</v>
      </c>
    </row>
    <row r="334" spans="1:12" x14ac:dyDescent="0.25">
      <c r="A334" s="1">
        <v>42124</v>
      </c>
      <c r="B334">
        <v>14.55</v>
      </c>
      <c r="C334" s="1">
        <v>42124</v>
      </c>
      <c r="D334">
        <v>19.98</v>
      </c>
      <c r="E334" s="1">
        <v>42107</v>
      </c>
      <c r="F334">
        <v>75.764700000000005</v>
      </c>
      <c r="G334" s="1">
        <v>42124</v>
      </c>
      <c r="H334">
        <v>36.28</v>
      </c>
      <c r="I334" s="1">
        <v>42124</v>
      </c>
      <c r="J334">
        <v>16.760000000000002</v>
      </c>
      <c r="K334" s="1">
        <v>42107</v>
      </c>
      <c r="L334">
        <v>99.49</v>
      </c>
    </row>
    <row r="335" spans="1:12" x14ac:dyDescent="0.25">
      <c r="A335" s="1">
        <v>42125</v>
      </c>
      <c r="B335">
        <v>12.7</v>
      </c>
      <c r="C335" s="1">
        <v>42125</v>
      </c>
      <c r="D335">
        <v>18.3</v>
      </c>
      <c r="E335" s="1">
        <v>42108</v>
      </c>
      <c r="F335">
        <v>74.7881</v>
      </c>
      <c r="G335" s="1">
        <v>42125</v>
      </c>
      <c r="H335">
        <v>35.619999999999997</v>
      </c>
      <c r="I335" s="1">
        <v>42125</v>
      </c>
      <c r="J335">
        <v>17.29</v>
      </c>
      <c r="K335" s="1">
        <v>42108</v>
      </c>
      <c r="L335">
        <v>98.733000000000004</v>
      </c>
    </row>
    <row r="336" spans="1:12" x14ac:dyDescent="0.25">
      <c r="A336" s="1">
        <v>42128</v>
      </c>
      <c r="B336">
        <v>12.85</v>
      </c>
      <c r="C336" s="1">
        <v>42128</v>
      </c>
      <c r="D336">
        <v>18.07</v>
      </c>
      <c r="E336" s="1">
        <v>42109</v>
      </c>
      <c r="F336">
        <v>72.996399999999994</v>
      </c>
      <c r="G336" s="1">
        <v>42128</v>
      </c>
      <c r="H336">
        <v>36.200000000000003</v>
      </c>
      <c r="I336" s="1">
        <v>42128</v>
      </c>
      <c r="J336">
        <v>17.62</v>
      </c>
      <c r="K336" s="1">
        <v>42109</v>
      </c>
      <c r="L336">
        <v>98.319000000000003</v>
      </c>
    </row>
    <row r="337" spans="1:12" x14ac:dyDescent="0.25">
      <c r="A337" s="1">
        <v>42129</v>
      </c>
      <c r="B337">
        <v>14.31</v>
      </c>
      <c r="C337" s="1">
        <v>42129</v>
      </c>
      <c r="D337">
        <v>19.739999999999998</v>
      </c>
      <c r="E337" s="1">
        <v>42110</v>
      </c>
      <c r="F337">
        <v>72.401399999999995</v>
      </c>
      <c r="G337" s="1">
        <v>42129</v>
      </c>
      <c r="H337">
        <v>36.24</v>
      </c>
      <c r="I337" s="1">
        <v>42129</v>
      </c>
      <c r="J337">
        <v>17.149999999999999</v>
      </c>
      <c r="K337" s="1">
        <v>42110</v>
      </c>
      <c r="L337">
        <v>97.415000000000006</v>
      </c>
    </row>
    <row r="338" spans="1:12" x14ac:dyDescent="0.25">
      <c r="A338" s="1">
        <v>42130</v>
      </c>
      <c r="B338">
        <v>15.15</v>
      </c>
      <c r="C338" s="1">
        <v>42130</v>
      </c>
      <c r="D338">
        <v>20.98</v>
      </c>
      <c r="E338" s="1">
        <v>42111</v>
      </c>
      <c r="F338">
        <v>74.368499999999997</v>
      </c>
      <c r="G338" s="1">
        <v>42130</v>
      </c>
      <c r="H338">
        <v>36.880000000000003</v>
      </c>
      <c r="I338" s="1">
        <v>42130</v>
      </c>
      <c r="J338">
        <v>17.53</v>
      </c>
      <c r="K338" s="1">
        <v>42111</v>
      </c>
      <c r="L338">
        <v>97.52</v>
      </c>
    </row>
    <row r="339" spans="1:12" x14ac:dyDescent="0.25">
      <c r="A339" s="1">
        <v>42131</v>
      </c>
      <c r="B339">
        <v>15.13</v>
      </c>
      <c r="C339" s="1">
        <v>42131</v>
      </c>
      <c r="D339">
        <v>20.87</v>
      </c>
      <c r="E339" s="1">
        <v>42114</v>
      </c>
      <c r="F339">
        <v>73.545400000000001</v>
      </c>
      <c r="G339" s="1">
        <v>42131</v>
      </c>
      <c r="H339">
        <v>38.130000000000003</v>
      </c>
      <c r="I339" s="1">
        <v>42131</v>
      </c>
      <c r="J339">
        <v>17.91</v>
      </c>
      <c r="K339" s="1">
        <v>42114</v>
      </c>
      <c r="L339">
        <v>97.941000000000003</v>
      </c>
    </row>
    <row r="340" spans="1:12" x14ac:dyDescent="0.25">
      <c r="A340" s="1">
        <v>42132</v>
      </c>
      <c r="B340">
        <v>12.86</v>
      </c>
      <c r="C340" s="1">
        <v>42132</v>
      </c>
      <c r="D340">
        <v>18.21</v>
      </c>
      <c r="E340" s="1">
        <v>42115</v>
      </c>
      <c r="F340">
        <v>72.945099999999996</v>
      </c>
      <c r="G340" s="1">
        <v>42132</v>
      </c>
      <c r="H340">
        <v>35.090000000000003</v>
      </c>
      <c r="I340" s="1">
        <v>42132</v>
      </c>
      <c r="J340">
        <v>15.84</v>
      </c>
      <c r="K340" s="1">
        <v>42115</v>
      </c>
      <c r="L340">
        <v>98.004000000000005</v>
      </c>
    </row>
    <row r="341" spans="1:12" x14ac:dyDescent="0.25">
      <c r="A341" s="1">
        <v>42135</v>
      </c>
      <c r="B341">
        <v>13.85</v>
      </c>
      <c r="C341" s="1">
        <v>42135</v>
      </c>
      <c r="D341">
        <v>17.63</v>
      </c>
      <c r="E341" s="1">
        <v>42116</v>
      </c>
      <c r="F341">
        <v>72.945099999999996</v>
      </c>
      <c r="G341" s="1">
        <v>42135</v>
      </c>
      <c r="H341">
        <v>34.86</v>
      </c>
      <c r="I341" s="1">
        <v>42135</v>
      </c>
      <c r="J341">
        <v>15.94</v>
      </c>
      <c r="K341" s="1">
        <v>42116</v>
      </c>
      <c r="L341">
        <v>97.932000000000002</v>
      </c>
    </row>
    <row r="342" spans="1:12" x14ac:dyDescent="0.25">
      <c r="A342" s="1">
        <v>42136</v>
      </c>
      <c r="B342">
        <v>13.86</v>
      </c>
      <c r="C342" s="1">
        <v>42136</v>
      </c>
      <c r="D342">
        <v>19.29</v>
      </c>
      <c r="E342" s="1">
        <v>42117</v>
      </c>
      <c r="F342">
        <v>73.1584</v>
      </c>
      <c r="G342" s="1">
        <v>42136</v>
      </c>
      <c r="H342">
        <v>33.74</v>
      </c>
      <c r="I342" s="1">
        <v>42136</v>
      </c>
      <c r="J342">
        <v>15.63</v>
      </c>
      <c r="K342" s="1">
        <v>42117</v>
      </c>
      <c r="L342">
        <v>97.278000000000006</v>
      </c>
    </row>
    <row r="343" spans="1:12" x14ac:dyDescent="0.25">
      <c r="A343" s="1">
        <v>42137</v>
      </c>
      <c r="B343">
        <v>13.76</v>
      </c>
      <c r="C343" s="1">
        <v>42137</v>
      </c>
      <c r="D343">
        <v>18.32</v>
      </c>
      <c r="E343" s="1">
        <v>42118</v>
      </c>
      <c r="F343">
        <v>71.604900000000001</v>
      </c>
      <c r="G343" s="1">
        <v>42137</v>
      </c>
      <c r="H343">
        <v>34.33</v>
      </c>
      <c r="I343" s="1">
        <v>42137</v>
      </c>
      <c r="J343">
        <v>15.93</v>
      </c>
      <c r="K343" s="1">
        <v>42118</v>
      </c>
      <c r="L343">
        <v>96.921999999999997</v>
      </c>
    </row>
    <row r="344" spans="1:12" x14ac:dyDescent="0.25">
      <c r="A344" s="1">
        <v>42138</v>
      </c>
      <c r="B344">
        <v>12.74</v>
      </c>
      <c r="C344" s="1">
        <v>42138</v>
      </c>
      <c r="D344">
        <v>17.41</v>
      </c>
      <c r="E344" s="1">
        <v>42121</v>
      </c>
      <c r="F344">
        <v>70.994299999999996</v>
      </c>
      <c r="G344" s="1">
        <v>42138</v>
      </c>
      <c r="H344">
        <v>32.630000000000003</v>
      </c>
      <c r="I344" s="1">
        <v>42138</v>
      </c>
      <c r="J344">
        <v>16.21</v>
      </c>
      <c r="K344" s="1">
        <v>42121</v>
      </c>
      <c r="L344">
        <v>96.765000000000001</v>
      </c>
    </row>
    <row r="345" spans="1:12" x14ac:dyDescent="0.25">
      <c r="A345" s="1">
        <v>42139</v>
      </c>
      <c r="B345">
        <v>12.38</v>
      </c>
      <c r="C345" s="1">
        <v>42139</v>
      </c>
      <c r="D345">
        <v>15.99</v>
      </c>
      <c r="E345" s="1">
        <v>42122</v>
      </c>
      <c r="F345">
        <v>72.866500000000002</v>
      </c>
      <c r="G345" s="1">
        <v>42139</v>
      </c>
      <c r="H345">
        <v>29.95</v>
      </c>
      <c r="I345" s="1">
        <v>42139</v>
      </c>
      <c r="J345">
        <v>15.48</v>
      </c>
      <c r="K345" s="1">
        <v>42122</v>
      </c>
      <c r="L345">
        <v>96.091999999999999</v>
      </c>
    </row>
    <row r="346" spans="1:12" x14ac:dyDescent="0.25">
      <c r="A346" s="1">
        <v>42142</v>
      </c>
      <c r="B346">
        <v>12.73</v>
      </c>
      <c r="C346" s="1">
        <v>42142</v>
      </c>
      <c r="D346">
        <v>17.510000000000002</v>
      </c>
      <c r="E346" s="1">
        <v>42123</v>
      </c>
      <c r="F346">
        <v>73.897400000000005</v>
      </c>
      <c r="G346" s="1">
        <v>42142</v>
      </c>
      <c r="H346">
        <v>30.63</v>
      </c>
      <c r="I346" s="1">
        <v>42142</v>
      </c>
      <c r="J346">
        <v>15.81</v>
      </c>
      <c r="K346" s="1">
        <v>42123</v>
      </c>
      <c r="L346">
        <v>95.209000000000003</v>
      </c>
    </row>
    <row r="347" spans="1:12" x14ac:dyDescent="0.25">
      <c r="A347" s="1">
        <v>42143</v>
      </c>
      <c r="B347">
        <v>12.85</v>
      </c>
      <c r="C347" s="1">
        <v>42143</v>
      </c>
      <c r="D347">
        <v>17.52</v>
      </c>
      <c r="E347" s="1">
        <v>42124</v>
      </c>
      <c r="F347">
        <v>75.292000000000002</v>
      </c>
      <c r="G347" s="1">
        <v>42143</v>
      </c>
      <c r="H347">
        <v>34.82</v>
      </c>
      <c r="I347" s="1">
        <v>42143</v>
      </c>
      <c r="J347">
        <v>15.88</v>
      </c>
      <c r="K347" s="1">
        <v>42124</v>
      </c>
      <c r="L347">
        <v>94.6</v>
      </c>
    </row>
    <row r="348" spans="1:12" x14ac:dyDescent="0.25">
      <c r="A348" s="1">
        <v>42144</v>
      </c>
      <c r="B348">
        <v>12.88</v>
      </c>
      <c r="C348" s="1">
        <v>42144</v>
      </c>
      <c r="D348">
        <v>16.79</v>
      </c>
      <c r="E348" s="1">
        <v>42125</v>
      </c>
      <c r="F348">
        <v>78.881100000000004</v>
      </c>
      <c r="G348" s="1">
        <v>42144</v>
      </c>
      <c r="H348">
        <v>33.700000000000003</v>
      </c>
      <c r="I348" s="1">
        <v>42144</v>
      </c>
      <c r="J348">
        <v>15.25</v>
      </c>
      <c r="K348" s="1">
        <v>42125</v>
      </c>
      <c r="L348">
        <v>95.296999999999997</v>
      </c>
    </row>
    <row r="349" spans="1:12" x14ac:dyDescent="0.25">
      <c r="A349" s="1">
        <v>42145</v>
      </c>
      <c r="B349">
        <v>12.11</v>
      </c>
      <c r="C349" s="1">
        <v>42145</v>
      </c>
      <c r="D349">
        <v>16.63</v>
      </c>
      <c r="E349" s="1">
        <v>42128</v>
      </c>
      <c r="F349">
        <v>81.1233</v>
      </c>
      <c r="G349" s="1">
        <v>42145</v>
      </c>
      <c r="H349">
        <v>31.61</v>
      </c>
      <c r="I349" s="1">
        <v>42145</v>
      </c>
      <c r="J349">
        <v>14.62</v>
      </c>
      <c r="K349" s="1">
        <v>42128</v>
      </c>
      <c r="L349">
        <v>95.48</v>
      </c>
    </row>
    <row r="350" spans="1:12" x14ac:dyDescent="0.25">
      <c r="A350" s="1">
        <v>42146</v>
      </c>
      <c r="B350">
        <v>12.13</v>
      </c>
      <c r="C350" s="1">
        <v>42146</v>
      </c>
      <c r="D350">
        <v>15.87</v>
      </c>
      <c r="E350" s="1">
        <v>42129</v>
      </c>
      <c r="F350">
        <v>87.661600000000007</v>
      </c>
      <c r="G350" s="1">
        <v>42146</v>
      </c>
      <c r="H350">
        <v>31.29</v>
      </c>
      <c r="I350" s="1">
        <v>42146</v>
      </c>
      <c r="J350">
        <v>14.19</v>
      </c>
      <c r="K350" s="1">
        <v>42129</v>
      </c>
      <c r="L350">
        <v>95.075999999999993</v>
      </c>
    </row>
    <row r="351" spans="1:12" x14ac:dyDescent="0.25">
      <c r="A351" s="1">
        <v>42150</v>
      </c>
      <c r="B351">
        <v>14.06</v>
      </c>
      <c r="C351" s="1">
        <v>42150</v>
      </c>
      <c r="D351">
        <v>19.13</v>
      </c>
      <c r="E351" s="1">
        <v>42130</v>
      </c>
      <c r="F351">
        <v>90.985900000000001</v>
      </c>
      <c r="G351" s="1">
        <v>42150</v>
      </c>
      <c r="H351">
        <v>34.659999999999997</v>
      </c>
      <c r="I351" s="1">
        <v>42150</v>
      </c>
      <c r="J351">
        <v>15.22</v>
      </c>
      <c r="K351" s="1">
        <v>42130</v>
      </c>
      <c r="L351">
        <v>94.087000000000003</v>
      </c>
    </row>
    <row r="352" spans="1:12" x14ac:dyDescent="0.25">
      <c r="A352" s="1">
        <v>42151</v>
      </c>
      <c r="B352">
        <v>13.27</v>
      </c>
      <c r="C352" s="1">
        <v>42151</v>
      </c>
      <c r="D352">
        <v>18.47</v>
      </c>
      <c r="E352" s="1">
        <v>42131</v>
      </c>
      <c r="F352">
        <v>89.586299999999994</v>
      </c>
      <c r="G352" s="1">
        <v>42151</v>
      </c>
      <c r="H352">
        <v>35.29</v>
      </c>
      <c r="I352" s="1">
        <v>42151</v>
      </c>
      <c r="J352">
        <v>14.08</v>
      </c>
      <c r="K352" s="1">
        <v>42131</v>
      </c>
      <c r="L352">
        <v>94.635000000000005</v>
      </c>
    </row>
    <row r="353" spans="1:12" x14ac:dyDescent="0.25">
      <c r="A353" s="1">
        <v>42152</v>
      </c>
      <c r="B353">
        <v>13.31</v>
      </c>
      <c r="C353" s="1">
        <v>42152</v>
      </c>
      <c r="D353">
        <v>18.97</v>
      </c>
      <c r="E353" s="1">
        <v>42132</v>
      </c>
      <c r="F353">
        <v>80.914599999999993</v>
      </c>
      <c r="G353" s="1">
        <v>42152</v>
      </c>
      <c r="H353">
        <v>34.200000000000003</v>
      </c>
      <c r="I353" s="1">
        <v>42152</v>
      </c>
      <c r="J353">
        <v>14.51</v>
      </c>
      <c r="K353" s="1">
        <v>42132</v>
      </c>
      <c r="L353">
        <v>94.793999999999997</v>
      </c>
    </row>
    <row r="354" spans="1:12" x14ac:dyDescent="0.25">
      <c r="A354" s="1">
        <v>42153</v>
      </c>
      <c r="B354">
        <v>13.84</v>
      </c>
      <c r="C354" s="1">
        <v>42153</v>
      </c>
      <c r="D354">
        <v>18.71</v>
      </c>
      <c r="E354" s="1">
        <v>42135</v>
      </c>
      <c r="F354">
        <v>84.149600000000007</v>
      </c>
      <c r="G354" s="1">
        <v>42153</v>
      </c>
      <c r="H354">
        <v>33.74</v>
      </c>
      <c r="I354" s="1">
        <v>42153</v>
      </c>
      <c r="J354">
        <v>13.99</v>
      </c>
      <c r="K354" s="1">
        <v>42135</v>
      </c>
      <c r="L354">
        <v>95.010999999999996</v>
      </c>
    </row>
    <row r="355" spans="1:12" x14ac:dyDescent="0.25">
      <c r="A355" s="1">
        <v>42156</v>
      </c>
      <c r="B355">
        <v>13.97</v>
      </c>
      <c r="C355" s="1">
        <v>42156</v>
      </c>
      <c r="D355">
        <v>19.48</v>
      </c>
      <c r="E355" s="1">
        <v>42136</v>
      </c>
      <c r="F355">
        <v>87.361500000000007</v>
      </c>
      <c r="G355" s="1">
        <v>42156</v>
      </c>
      <c r="H355">
        <v>35.299999999999997</v>
      </c>
      <c r="I355" s="1">
        <v>42156</v>
      </c>
      <c r="J355">
        <v>14.88</v>
      </c>
      <c r="K355" s="1">
        <v>42136</v>
      </c>
      <c r="L355">
        <v>94.534000000000006</v>
      </c>
    </row>
    <row r="356" spans="1:12" x14ac:dyDescent="0.25">
      <c r="A356" s="1">
        <v>42157</v>
      </c>
      <c r="B356">
        <v>14.24</v>
      </c>
      <c r="C356" s="1">
        <v>42157</v>
      </c>
      <c r="D356">
        <v>18.82</v>
      </c>
      <c r="E356" s="1">
        <v>42137</v>
      </c>
      <c r="F356">
        <v>85.578400000000002</v>
      </c>
      <c r="G356" s="1">
        <v>42157</v>
      </c>
      <c r="H356">
        <v>35.74</v>
      </c>
      <c r="I356" s="1">
        <v>42157</v>
      </c>
      <c r="J356">
        <v>14.86</v>
      </c>
      <c r="K356" s="1">
        <v>42137</v>
      </c>
      <c r="L356">
        <v>93.617000000000004</v>
      </c>
    </row>
    <row r="357" spans="1:12" x14ac:dyDescent="0.25">
      <c r="A357" s="1">
        <v>42158</v>
      </c>
      <c r="B357">
        <v>13.66</v>
      </c>
      <c r="C357" s="1">
        <v>42158</v>
      </c>
      <c r="D357">
        <v>18.62</v>
      </c>
      <c r="E357" s="1">
        <v>42138</v>
      </c>
      <c r="F357">
        <v>83.239400000000003</v>
      </c>
      <c r="G357" s="1">
        <v>42158</v>
      </c>
      <c r="H357">
        <v>37.4</v>
      </c>
      <c r="I357" s="1">
        <v>42158</v>
      </c>
      <c r="J357">
        <v>15.15</v>
      </c>
      <c r="K357" s="1">
        <v>42138</v>
      </c>
      <c r="L357">
        <v>93.456999999999994</v>
      </c>
    </row>
    <row r="358" spans="1:12" x14ac:dyDescent="0.25">
      <c r="A358" s="1">
        <v>42159</v>
      </c>
      <c r="B358">
        <v>14.71</v>
      </c>
      <c r="C358" s="1">
        <v>42159</v>
      </c>
      <c r="D358">
        <v>20.2</v>
      </c>
      <c r="E358" s="1">
        <v>42139</v>
      </c>
      <c r="F358">
        <v>84.495699999999999</v>
      </c>
      <c r="G358" s="1">
        <v>42159</v>
      </c>
      <c r="H358">
        <v>38.42</v>
      </c>
      <c r="I358" s="1">
        <v>42159</v>
      </c>
      <c r="J358">
        <v>16.010000000000002</v>
      </c>
      <c r="K358" s="1">
        <v>42139</v>
      </c>
      <c r="L358">
        <v>93.135000000000005</v>
      </c>
    </row>
    <row r="359" spans="1:12" x14ac:dyDescent="0.25">
      <c r="A359" s="1">
        <v>42160</v>
      </c>
      <c r="B359">
        <v>14.21</v>
      </c>
      <c r="C359" s="1">
        <v>42160</v>
      </c>
      <c r="D359">
        <v>19.73</v>
      </c>
      <c r="E359" s="1">
        <v>42142</v>
      </c>
      <c r="F359">
        <v>88.243899999999996</v>
      </c>
      <c r="G359" s="1">
        <v>42160</v>
      </c>
      <c r="H359">
        <v>33.54</v>
      </c>
      <c r="I359" s="1">
        <v>42160</v>
      </c>
      <c r="J359">
        <v>15.12</v>
      </c>
      <c r="K359" s="1">
        <v>42142</v>
      </c>
      <c r="L359">
        <v>94.221000000000004</v>
      </c>
    </row>
    <row r="360" spans="1:12" x14ac:dyDescent="0.25">
      <c r="A360" s="1">
        <v>42163</v>
      </c>
      <c r="B360">
        <v>15.29</v>
      </c>
      <c r="C360" s="1">
        <v>42163</v>
      </c>
      <c r="D360">
        <v>20.56</v>
      </c>
      <c r="E360" s="1">
        <v>42143</v>
      </c>
      <c r="F360">
        <v>87.674300000000002</v>
      </c>
      <c r="G360" s="1">
        <v>42163</v>
      </c>
      <c r="H360">
        <v>34.04</v>
      </c>
      <c r="I360" s="1">
        <v>42163</v>
      </c>
      <c r="J360">
        <v>15.14</v>
      </c>
      <c r="K360" s="1">
        <v>42143</v>
      </c>
      <c r="L360">
        <v>95.266999999999996</v>
      </c>
    </row>
    <row r="361" spans="1:12" x14ac:dyDescent="0.25">
      <c r="A361" s="1">
        <v>42164</v>
      </c>
      <c r="B361">
        <v>14.47</v>
      </c>
      <c r="C361" s="1">
        <v>42164</v>
      </c>
      <c r="D361">
        <v>20.21</v>
      </c>
      <c r="E361" s="1">
        <v>42144</v>
      </c>
      <c r="F361">
        <v>87.6541</v>
      </c>
      <c r="G361" s="1">
        <v>42164</v>
      </c>
      <c r="H361">
        <v>33.01</v>
      </c>
      <c r="I361" s="1">
        <v>42164</v>
      </c>
      <c r="J361">
        <v>14.83</v>
      </c>
      <c r="K361" s="1">
        <v>42144</v>
      </c>
      <c r="L361">
        <v>95.447999999999993</v>
      </c>
    </row>
    <row r="362" spans="1:12" x14ac:dyDescent="0.25">
      <c r="A362" s="1">
        <v>42165</v>
      </c>
      <c r="B362">
        <v>13.22</v>
      </c>
      <c r="C362" s="1">
        <v>42165</v>
      </c>
      <c r="D362">
        <v>18.079999999999998</v>
      </c>
      <c r="E362" s="1">
        <v>42145</v>
      </c>
      <c r="F362">
        <v>86.107299999999995</v>
      </c>
      <c r="G362" s="1">
        <v>42165</v>
      </c>
      <c r="H362">
        <v>31.79</v>
      </c>
      <c r="I362" s="1">
        <v>42165</v>
      </c>
      <c r="J362">
        <v>14.37</v>
      </c>
      <c r="K362" s="1">
        <v>42145</v>
      </c>
      <c r="L362">
        <v>95.254999999999995</v>
      </c>
    </row>
    <row r="363" spans="1:12" x14ac:dyDescent="0.25">
      <c r="A363" s="1">
        <v>42166</v>
      </c>
      <c r="B363">
        <v>12.85</v>
      </c>
      <c r="C363" s="1">
        <v>42166</v>
      </c>
      <c r="D363">
        <v>17.88</v>
      </c>
      <c r="E363" s="1">
        <v>42146</v>
      </c>
      <c r="F363">
        <v>87.677099999999996</v>
      </c>
      <c r="G363" s="1">
        <v>42166</v>
      </c>
      <c r="H363">
        <v>31.76</v>
      </c>
      <c r="I363" s="1">
        <v>42166</v>
      </c>
      <c r="J363">
        <v>14.3</v>
      </c>
      <c r="K363" s="1">
        <v>42146</v>
      </c>
      <c r="L363">
        <v>96.013999999999996</v>
      </c>
    </row>
    <row r="364" spans="1:12" x14ac:dyDescent="0.25">
      <c r="A364" s="1">
        <v>42167</v>
      </c>
      <c r="B364">
        <v>13.78</v>
      </c>
      <c r="C364" s="1">
        <v>42167</v>
      </c>
      <c r="D364">
        <v>18.68</v>
      </c>
      <c r="E364" s="1">
        <v>42149</v>
      </c>
      <c r="F364">
        <v>87.677099999999996</v>
      </c>
      <c r="G364" s="1">
        <v>42167</v>
      </c>
      <c r="H364">
        <v>31.51</v>
      </c>
      <c r="I364" s="1">
        <v>42167</v>
      </c>
      <c r="J364">
        <v>13.99</v>
      </c>
      <c r="K364" s="1">
        <v>42149</v>
      </c>
      <c r="L364">
        <v>96.013999999999996</v>
      </c>
    </row>
    <row r="365" spans="1:12" x14ac:dyDescent="0.25">
      <c r="A365" s="1">
        <v>42170</v>
      </c>
      <c r="B365">
        <v>15.39</v>
      </c>
      <c r="C365" s="1">
        <v>42170</v>
      </c>
      <c r="D365">
        <v>20.11</v>
      </c>
      <c r="E365" s="1">
        <v>42150</v>
      </c>
      <c r="F365">
        <v>85.355500000000006</v>
      </c>
      <c r="G365" s="1">
        <v>42170</v>
      </c>
      <c r="H365">
        <v>32.549999999999997</v>
      </c>
      <c r="I365" s="1">
        <v>42170</v>
      </c>
      <c r="J365">
        <v>14.34</v>
      </c>
      <c r="K365" s="1">
        <v>42150</v>
      </c>
      <c r="L365">
        <v>97.299000000000007</v>
      </c>
    </row>
    <row r="366" spans="1:12" x14ac:dyDescent="0.25">
      <c r="A366" s="1">
        <v>42171</v>
      </c>
      <c r="B366">
        <v>14.81</v>
      </c>
      <c r="C366" s="1">
        <v>42171</v>
      </c>
      <c r="D366">
        <v>20.309999999999999</v>
      </c>
      <c r="E366" s="1">
        <v>42151</v>
      </c>
      <c r="F366">
        <v>83.993300000000005</v>
      </c>
      <c r="G366" s="1">
        <v>42171</v>
      </c>
      <c r="H366">
        <v>32.39</v>
      </c>
      <c r="I366" s="1">
        <v>42171</v>
      </c>
      <c r="J366">
        <v>14.36</v>
      </c>
      <c r="K366" s="1">
        <v>42151</v>
      </c>
      <c r="L366">
        <v>97.370999999999995</v>
      </c>
    </row>
    <row r="367" spans="1:12" x14ac:dyDescent="0.25">
      <c r="A367" s="1">
        <v>42172</v>
      </c>
      <c r="B367">
        <v>14.5</v>
      </c>
      <c r="C367" s="1">
        <v>42172</v>
      </c>
      <c r="D367">
        <v>18.899999999999999</v>
      </c>
      <c r="E367" s="1">
        <v>42152</v>
      </c>
      <c r="F367">
        <v>82.722200000000001</v>
      </c>
      <c r="G367" s="1">
        <v>42172</v>
      </c>
      <c r="H367">
        <v>32.83</v>
      </c>
      <c r="I367" s="1">
        <v>42172</v>
      </c>
      <c r="J367">
        <v>13.58</v>
      </c>
      <c r="K367" s="1">
        <v>42152</v>
      </c>
      <c r="L367">
        <v>96.965000000000003</v>
      </c>
    </row>
    <row r="368" spans="1:12" x14ac:dyDescent="0.25">
      <c r="A368" s="1">
        <v>42173</v>
      </c>
      <c r="B368">
        <v>13.19</v>
      </c>
      <c r="C368" s="1">
        <v>42173</v>
      </c>
      <c r="D368">
        <v>18.21</v>
      </c>
      <c r="E368" s="1">
        <v>42153</v>
      </c>
      <c r="F368">
        <v>82.699600000000004</v>
      </c>
      <c r="G368" s="1">
        <v>42173</v>
      </c>
      <c r="H368">
        <v>31.59</v>
      </c>
      <c r="I368" s="1">
        <v>42173</v>
      </c>
      <c r="J368">
        <v>13.53</v>
      </c>
      <c r="K368" s="1">
        <v>42153</v>
      </c>
      <c r="L368">
        <v>96.906999999999996</v>
      </c>
    </row>
    <row r="369" spans="1:12" x14ac:dyDescent="0.25">
      <c r="A369" s="1">
        <v>42174</v>
      </c>
      <c r="B369">
        <v>13.96</v>
      </c>
      <c r="C369" s="1">
        <v>42174</v>
      </c>
      <c r="D369">
        <v>17.52</v>
      </c>
      <c r="E369" s="1">
        <v>42156</v>
      </c>
      <c r="F369">
        <v>83.549499999999995</v>
      </c>
      <c r="G369" s="1">
        <v>42174</v>
      </c>
      <c r="H369">
        <v>30.4</v>
      </c>
      <c r="I369" s="1">
        <v>42174</v>
      </c>
      <c r="J369">
        <v>13.26</v>
      </c>
      <c r="K369" s="1">
        <v>42156</v>
      </c>
      <c r="L369">
        <v>97.391999999999996</v>
      </c>
    </row>
    <row r="370" spans="1:12" x14ac:dyDescent="0.25">
      <c r="A370" s="1">
        <v>42177</v>
      </c>
      <c r="B370">
        <v>12.74</v>
      </c>
      <c r="C370" s="1">
        <v>42177</v>
      </c>
      <c r="D370">
        <v>17.05</v>
      </c>
      <c r="E370" s="1">
        <v>42157</v>
      </c>
      <c r="F370">
        <v>87.479600000000005</v>
      </c>
      <c r="G370" s="1">
        <v>42177</v>
      </c>
      <c r="H370">
        <v>30.06</v>
      </c>
      <c r="I370" s="1">
        <v>42177</v>
      </c>
      <c r="J370">
        <v>13.85</v>
      </c>
      <c r="K370" s="1">
        <v>42157</v>
      </c>
      <c r="L370">
        <v>95.834999999999994</v>
      </c>
    </row>
    <row r="371" spans="1:12" x14ac:dyDescent="0.25">
      <c r="A371" s="1">
        <v>42178</v>
      </c>
      <c r="B371">
        <v>12.11</v>
      </c>
      <c r="C371" s="1">
        <v>42178</v>
      </c>
      <c r="D371">
        <v>16.21</v>
      </c>
      <c r="E371" s="1">
        <v>42158</v>
      </c>
      <c r="F371">
        <v>91.806299999999993</v>
      </c>
      <c r="G371" s="1">
        <v>42178</v>
      </c>
      <c r="H371">
        <v>29.69</v>
      </c>
      <c r="I371" s="1">
        <v>42178</v>
      </c>
      <c r="J371">
        <v>13.89</v>
      </c>
      <c r="K371" s="1">
        <v>42158</v>
      </c>
      <c r="L371">
        <v>95.465000000000003</v>
      </c>
    </row>
    <row r="372" spans="1:12" x14ac:dyDescent="0.25">
      <c r="A372" s="1">
        <v>42179</v>
      </c>
      <c r="B372">
        <v>13.26</v>
      </c>
      <c r="C372" s="1">
        <v>42179</v>
      </c>
      <c r="D372">
        <v>17.899999999999999</v>
      </c>
      <c r="E372" s="1">
        <v>42159</v>
      </c>
      <c r="F372">
        <v>92.205600000000004</v>
      </c>
      <c r="G372" s="1">
        <v>42179</v>
      </c>
      <c r="H372">
        <v>29.6</v>
      </c>
      <c r="I372" s="1">
        <v>42179</v>
      </c>
      <c r="J372">
        <v>13.83</v>
      </c>
      <c r="K372" s="1">
        <v>42159</v>
      </c>
      <c r="L372">
        <v>95.460999999999999</v>
      </c>
    </row>
    <row r="373" spans="1:12" x14ac:dyDescent="0.25">
      <c r="A373" s="1">
        <v>42180</v>
      </c>
      <c r="B373">
        <v>14.01</v>
      </c>
      <c r="C373" s="1">
        <v>42180</v>
      </c>
      <c r="D373">
        <v>18.100000000000001</v>
      </c>
      <c r="E373" s="1">
        <v>42160</v>
      </c>
      <c r="F373">
        <v>88.941400000000002</v>
      </c>
      <c r="G373" s="1">
        <v>42180</v>
      </c>
      <c r="H373">
        <v>29.26</v>
      </c>
      <c r="I373" s="1">
        <v>42180</v>
      </c>
      <c r="J373">
        <v>13.12</v>
      </c>
      <c r="K373" s="1">
        <v>42160</v>
      </c>
      <c r="L373">
        <v>96.305999999999997</v>
      </c>
    </row>
    <row r="374" spans="1:12" x14ac:dyDescent="0.25">
      <c r="A374" s="1">
        <v>42181</v>
      </c>
      <c r="B374">
        <v>14.02</v>
      </c>
      <c r="C374" s="1">
        <v>42181</v>
      </c>
      <c r="D374">
        <v>18.940000000000001</v>
      </c>
      <c r="E374" s="1">
        <v>42163</v>
      </c>
      <c r="F374">
        <v>87.608400000000003</v>
      </c>
      <c r="G374" s="1">
        <v>42181</v>
      </c>
      <c r="H374">
        <v>29.01</v>
      </c>
      <c r="I374" s="1">
        <v>42181</v>
      </c>
      <c r="J374">
        <v>13.22</v>
      </c>
      <c r="K374" s="1">
        <v>42163</v>
      </c>
      <c r="L374">
        <v>95.299000000000007</v>
      </c>
    </row>
    <row r="375" spans="1:12" x14ac:dyDescent="0.25">
      <c r="A375" s="1">
        <v>42184</v>
      </c>
      <c r="B375">
        <v>18.850000000000001</v>
      </c>
      <c r="C375" s="1">
        <v>42184</v>
      </c>
      <c r="D375">
        <v>22.16</v>
      </c>
      <c r="E375" s="1">
        <v>42164</v>
      </c>
      <c r="F375">
        <v>87.169700000000006</v>
      </c>
      <c r="G375" s="1">
        <v>42184</v>
      </c>
      <c r="H375">
        <v>33.64</v>
      </c>
      <c r="I375" s="1">
        <v>42184</v>
      </c>
      <c r="J375">
        <v>14.5</v>
      </c>
      <c r="K375" s="1">
        <v>42164</v>
      </c>
      <c r="L375">
        <v>95.165999999999997</v>
      </c>
    </row>
    <row r="376" spans="1:12" x14ac:dyDescent="0.25">
      <c r="A376" s="1">
        <v>42185</v>
      </c>
      <c r="B376">
        <v>18.23</v>
      </c>
      <c r="C376" s="1">
        <v>42185</v>
      </c>
      <c r="D376">
        <v>21.42</v>
      </c>
      <c r="E376" s="1">
        <v>42165</v>
      </c>
      <c r="F376">
        <v>89.759600000000006</v>
      </c>
      <c r="G376" s="1">
        <v>42185</v>
      </c>
      <c r="H376">
        <v>32.43</v>
      </c>
      <c r="I376" s="1">
        <v>42185</v>
      </c>
      <c r="J376">
        <v>15.34</v>
      </c>
      <c r="K376" s="1">
        <v>42165</v>
      </c>
      <c r="L376">
        <v>94.646000000000001</v>
      </c>
    </row>
    <row r="377" spans="1:12" x14ac:dyDescent="0.25">
      <c r="A377" s="1">
        <v>42186</v>
      </c>
      <c r="B377">
        <v>16.09</v>
      </c>
      <c r="C377" s="1">
        <v>42186</v>
      </c>
      <c r="D377">
        <v>21.27</v>
      </c>
      <c r="E377" s="1">
        <v>42166</v>
      </c>
      <c r="F377">
        <v>87.767300000000006</v>
      </c>
      <c r="G377" s="1">
        <v>42186</v>
      </c>
      <c r="H377">
        <v>34.11</v>
      </c>
      <c r="I377" s="1">
        <v>42186</v>
      </c>
      <c r="J377">
        <v>14.86</v>
      </c>
      <c r="K377" s="1">
        <v>42166</v>
      </c>
      <c r="L377">
        <v>94.975999999999999</v>
      </c>
    </row>
    <row r="378" spans="1:12" x14ac:dyDescent="0.25">
      <c r="A378" s="1">
        <v>42187</v>
      </c>
      <c r="B378">
        <v>16.79</v>
      </c>
      <c r="C378" s="1">
        <v>42187</v>
      </c>
      <c r="D378">
        <v>20.61</v>
      </c>
      <c r="E378" s="1">
        <v>42167</v>
      </c>
      <c r="F378">
        <v>87.682400000000001</v>
      </c>
      <c r="G378" s="1">
        <v>42187</v>
      </c>
      <c r="H378">
        <v>33.799999999999997</v>
      </c>
      <c r="I378" s="1">
        <v>42187</v>
      </c>
      <c r="J378">
        <v>14.42</v>
      </c>
      <c r="K378" s="1">
        <v>42167</v>
      </c>
      <c r="L378">
        <v>94.971999999999994</v>
      </c>
    </row>
    <row r="379" spans="1:12" x14ac:dyDescent="0.25">
      <c r="A379" s="1">
        <v>42191</v>
      </c>
      <c r="B379">
        <v>17.010000000000002</v>
      </c>
      <c r="C379" s="1">
        <v>42191</v>
      </c>
      <c r="D379">
        <v>22.56</v>
      </c>
      <c r="E379" s="1">
        <v>42170</v>
      </c>
      <c r="F379">
        <v>86.002600000000001</v>
      </c>
      <c r="G379" s="1">
        <v>42191</v>
      </c>
      <c r="H379">
        <v>40.01</v>
      </c>
      <c r="I379" s="1">
        <v>42191</v>
      </c>
      <c r="J379">
        <v>14.25</v>
      </c>
      <c r="K379" s="1">
        <v>42170</v>
      </c>
      <c r="L379">
        <v>94.81</v>
      </c>
    </row>
    <row r="380" spans="1:12" x14ac:dyDescent="0.25">
      <c r="A380" s="1">
        <v>42192</v>
      </c>
      <c r="B380">
        <v>16.09</v>
      </c>
      <c r="C380" s="1">
        <v>42192</v>
      </c>
      <c r="D380">
        <v>23.35</v>
      </c>
      <c r="E380" s="1">
        <v>42171</v>
      </c>
      <c r="F380">
        <v>85.697100000000006</v>
      </c>
      <c r="G380" s="1">
        <v>42192</v>
      </c>
      <c r="H380">
        <v>40.54</v>
      </c>
      <c r="I380" s="1">
        <v>42192</v>
      </c>
      <c r="J380">
        <v>15.23</v>
      </c>
      <c r="K380" s="1">
        <v>42171</v>
      </c>
      <c r="L380">
        <v>94.998999999999995</v>
      </c>
    </row>
    <row r="381" spans="1:12" x14ac:dyDescent="0.25">
      <c r="A381" s="1">
        <v>42193</v>
      </c>
      <c r="B381">
        <v>19.66</v>
      </c>
      <c r="C381" s="1">
        <v>42193</v>
      </c>
      <c r="D381">
        <v>29.47</v>
      </c>
      <c r="E381" s="1">
        <v>42172</v>
      </c>
      <c r="F381">
        <v>82.419399999999996</v>
      </c>
      <c r="G381" s="1">
        <v>42193</v>
      </c>
      <c r="H381">
        <v>42.2</v>
      </c>
      <c r="I381" s="1">
        <v>42193</v>
      </c>
      <c r="J381">
        <v>15.78</v>
      </c>
      <c r="K381" s="1">
        <v>42172</v>
      </c>
      <c r="L381">
        <v>94.296000000000006</v>
      </c>
    </row>
    <row r="382" spans="1:12" x14ac:dyDescent="0.25">
      <c r="A382" s="1">
        <v>42194</v>
      </c>
      <c r="B382">
        <v>19.97</v>
      </c>
      <c r="C382" s="1">
        <v>42194</v>
      </c>
      <c r="D382">
        <v>27.43</v>
      </c>
      <c r="E382" s="1">
        <v>42173</v>
      </c>
      <c r="F382">
        <v>82.557500000000005</v>
      </c>
      <c r="G382" s="1">
        <v>42194</v>
      </c>
      <c r="H382">
        <v>42.04</v>
      </c>
      <c r="I382" s="1">
        <v>42194</v>
      </c>
      <c r="J382">
        <v>15.47</v>
      </c>
      <c r="K382" s="1">
        <v>42173</v>
      </c>
      <c r="L382">
        <v>94.042000000000002</v>
      </c>
    </row>
    <row r="383" spans="1:12" x14ac:dyDescent="0.25">
      <c r="A383" s="1">
        <v>42195</v>
      </c>
      <c r="B383">
        <v>16.829999999999998</v>
      </c>
      <c r="C383" s="1">
        <v>42195</v>
      </c>
      <c r="D383">
        <v>24.16</v>
      </c>
      <c r="E383" s="1">
        <v>42174</v>
      </c>
      <c r="F383">
        <v>84.744200000000006</v>
      </c>
      <c r="G383" s="1">
        <v>42195</v>
      </c>
      <c r="H383">
        <v>41.22</v>
      </c>
      <c r="I383" s="1">
        <v>42195</v>
      </c>
      <c r="J383">
        <v>14.42</v>
      </c>
      <c r="K383" s="1">
        <v>42174</v>
      </c>
      <c r="L383">
        <v>94.084999999999994</v>
      </c>
    </row>
    <row r="384" spans="1:12" x14ac:dyDescent="0.25">
      <c r="A384" s="1">
        <v>42198</v>
      </c>
      <c r="B384">
        <v>13.9</v>
      </c>
      <c r="C384" s="1">
        <v>42198</v>
      </c>
      <c r="D384">
        <v>20.88</v>
      </c>
      <c r="E384" s="1">
        <v>42177</v>
      </c>
      <c r="F384">
        <v>84.448499999999996</v>
      </c>
      <c r="G384" s="1">
        <v>42198</v>
      </c>
      <c r="H384">
        <v>38.08</v>
      </c>
      <c r="I384" s="1">
        <v>42198</v>
      </c>
      <c r="J384">
        <v>13.43</v>
      </c>
      <c r="K384" s="1">
        <v>42177</v>
      </c>
      <c r="L384">
        <v>94.328999999999994</v>
      </c>
    </row>
    <row r="385" spans="1:12" x14ac:dyDescent="0.25">
      <c r="A385" s="1">
        <v>42199</v>
      </c>
      <c r="B385">
        <v>13.37</v>
      </c>
      <c r="C385" s="1">
        <v>42199</v>
      </c>
      <c r="D385">
        <v>19.29</v>
      </c>
      <c r="E385" s="1">
        <v>42178</v>
      </c>
      <c r="F385">
        <v>84.200100000000006</v>
      </c>
      <c r="G385" s="1">
        <v>42199</v>
      </c>
      <c r="H385">
        <v>36.31</v>
      </c>
      <c r="I385" s="1">
        <v>42199</v>
      </c>
      <c r="J385">
        <v>13.25</v>
      </c>
      <c r="K385" s="1">
        <v>42178</v>
      </c>
      <c r="L385">
        <v>95.432000000000002</v>
      </c>
    </row>
    <row r="386" spans="1:12" x14ac:dyDescent="0.25">
      <c r="A386" s="1">
        <v>42200</v>
      </c>
      <c r="B386">
        <v>13.23</v>
      </c>
      <c r="C386" s="1">
        <v>42200</v>
      </c>
      <c r="D386">
        <v>19.09</v>
      </c>
      <c r="E386" s="1">
        <v>42179</v>
      </c>
      <c r="F386">
        <v>82.680899999999994</v>
      </c>
      <c r="G386" s="1">
        <v>42200</v>
      </c>
      <c r="H386">
        <v>37.25</v>
      </c>
      <c r="I386" s="1">
        <v>42200</v>
      </c>
      <c r="J386">
        <v>14.35</v>
      </c>
      <c r="K386" s="1">
        <v>42179</v>
      </c>
      <c r="L386">
        <v>95.263999999999996</v>
      </c>
    </row>
    <row r="387" spans="1:12" x14ac:dyDescent="0.25">
      <c r="A387" s="1">
        <v>42201</v>
      </c>
      <c r="B387">
        <v>12.11</v>
      </c>
      <c r="C387" s="1">
        <v>42201</v>
      </c>
      <c r="D387">
        <v>17.78</v>
      </c>
      <c r="E387" s="1">
        <v>42180</v>
      </c>
      <c r="F387">
        <v>83.324100000000001</v>
      </c>
      <c r="G387" s="1">
        <v>42201</v>
      </c>
      <c r="H387">
        <v>35.92</v>
      </c>
      <c r="I387" s="1">
        <v>42201</v>
      </c>
      <c r="J387">
        <v>14.05</v>
      </c>
      <c r="K387" s="1">
        <v>42180</v>
      </c>
      <c r="L387">
        <v>95.186999999999998</v>
      </c>
    </row>
    <row r="388" spans="1:12" x14ac:dyDescent="0.25">
      <c r="A388" s="1">
        <v>42202</v>
      </c>
      <c r="B388">
        <v>11.95</v>
      </c>
      <c r="C388" s="1">
        <v>42202</v>
      </c>
      <c r="D388">
        <v>17.64</v>
      </c>
      <c r="E388" s="1">
        <v>42181</v>
      </c>
      <c r="F388">
        <v>84.318799999999996</v>
      </c>
      <c r="G388" s="1">
        <v>42202</v>
      </c>
      <c r="H388">
        <v>34.68</v>
      </c>
      <c r="I388" s="1">
        <v>42202</v>
      </c>
      <c r="J388">
        <v>16.32</v>
      </c>
      <c r="K388" s="1">
        <v>42181</v>
      </c>
      <c r="L388">
        <v>95.471999999999994</v>
      </c>
    </row>
    <row r="389" spans="1:12" x14ac:dyDescent="0.25">
      <c r="A389" s="1">
        <v>42205</v>
      </c>
      <c r="B389">
        <v>12.25</v>
      </c>
      <c r="C389" s="1">
        <v>42205</v>
      </c>
      <c r="D389">
        <v>18.47</v>
      </c>
      <c r="E389" s="1">
        <v>42184</v>
      </c>
      <c r="F389">
        <v>89.756100000000004</v>
      </c>
      <c r="G389" s="1">
        <v>42205</v>
      </c>
      <c r="H389">
        <v>36.39</v>
      </c>
      <c r="I389" s="1">
        <v>42205</v>
      </c>
      <c r="J389">
        <v>19.73</v>
      </c>
      <c r="K389" s="1">
        <v>42184</v>
      </c>
      <c r="L389">
        <v>94.79</v>
      </c>
    </row>
    <row r="390" spans="1:12" x14ac:dyDescent="0.25">
      <c r="A390" s="1">
        <v>42206</v>
      </c>
      <c r="B390">
        <v>12.22</v>
      </c>
      <c r="C390" s="1">
        <v>42206</v>
      </c>
      <c r="D390">
        <v>17.829999999999998</v>
      </c>
      <c r="E390" s="1">
        <v>42185</v>
      </c>
      <c r="F390">
        <v>92.257499999999993</v>
      </c>
      <c r="G390" s="1">
        <v>42206</v>
      </c>
      <c r="H390">
        <v>34.97</v>
      </c>
      <c r="I390" s="1">
        <v>42206</v>
      </c>
      <c r="J390">
        <v>19.559999999999999</v>
      </c>
      <c r="K390" s="1">
        <v>42185</v>
      </c>
      <c r="L390">
        <v>95.484999999999999</v>
      </c>
    </row>
    <row r="391" spans="1:12" x14ac:dyDescent="0.25">
      <c r="A391" s="1">
        <v>42207</v>
      </c>
      <c r="B391">
        <v>12.12</v>
      </c>
      <c r="C391" s="1">
        <v>42207</v>
      </c>
      <c r="D391">
        <v>18.05</v>
      </c>
      <c r="E391" s="1">
        <v>42186</v>
      </c>
      <c r="F391">
        <v>90.288399999999996</v>
      </c>
      <c r="G391" s="1">
        <v>42207</v>
      </c>
      <c r="H391">
        <v>37.659999999999997</v>
      </c>
      <c r="I391" s="1">
        <v>42207</v>
      </c>
      <c r="J391">
        <v>19.59</v>
      </c>
      <c r="K391" s="1">
        <v>42186</v>
      </c>
      <c r="L391">
        <v>96.31</v>
      </c>
    </row>
    <row r="392" spans="1:12" x14ac:dyDescent="0.25">
      <c r="A392" s="1">
        <v>42208</v>
      </c>
      <c r="B392">
        <v>12.64</v>
      </c>
      <c r="C392" s="1">
        <v>42208</v>
      </c>
      <c r="D392">
        <v>18.46</v>
      </c>
      <c r="E392" s="1">
        <v>42187</v>
      </c>
      <c r="F392">
        <v>87.961100000000002</v>
      </c>
      <c r="G392" s="1">
        <v>42208</v>
      </c>
      <c r="H392">
        <v>38.46</v>
      </c>
      <c r="I392" s="1">
        <v>42208</v>
      </c>
      <c r="J392">
        <v>19.39</v>
      </c>
      <c r="K392" s="1">
        <v>42187</v>
      </c>
      <c r="L392">
        <v>96.113</v>
      </c>
    </row>
    <row r="393" spans="1:12" x14ac:dyDescent="0.25">
      <c r="A393" s="1">
        <v>42209</v>
      </c>
      <c r="B393">
        <v>13.74</v>
      </c>
      <c r="C393" s="1">
        <v>42209</v>
      </c>
      <c r="D393">
        <v>20.440000000000001</v>
      </c>
      <c r="E393" s="1">
        <v>42188</v>
      </c>
      <c r="F393">
        <v>87.961100000000002</v>
      </c>
      <c r="G393" s="1">
        <v>42209</v>
      </c>
      <c r="H393">
        <v>39</v>
      </c>
      <c r="I393" s="1">
        <v>42209</v>
      </c>
      <c r="J393">
        <v>19.27</v>
      </c>
      <c r="K393" s="1">
        <v>42188</v>
      </c>
      <c r="L393">
        <v>96.113</v>
      </c>
    </row>
    <row r="394" spans="1:12" x14ac:dyDescent="0.25">
      <c r="A394" s="1">
        <v>42212</v>
      </c>
      <c r="B394">
        <v>15.6</v>
      </c>
      <c r="C394" s="1">
        <v>42212</v>
      </c>
      <c r="D394">
        <v>24.7</v>
      </c>
      <c r="E394" s="1">
        <v>42191</v>
      </c>
      <c r="F394">
        <v>86.180400000000006</v>
      </c>
      <c r="G394" s="1">
        <v>42212</v>
      </c>
      <c r="H394">
        <v>41.15</v>
      </c>
      <c r="I394" s="1">
        <v>42212</v>
      </c>
      <c r="J394">
        <v>20.059999999999999</v>
      </c>
      <c r="K394" s="1">
        <v>42191</v>
      </c>
      <c r="L394">
        <v>96.298000000000002</v>
      </c>
    </row>
    <row r="395" spans="1:12" x14ac:dyDescent="0.25">
      <c r="A395" s="1">
        <v>42213</v>
      </c>
      <c r="B395">
        <v>13.44</v>
      </c>
      <c r="C395" s="1">
        <v>42213</v>
      </c>
      <c r="D395">
        <v>21.67</v>
      </c>
      <c r="E395" s="1">
        <v>42192</v>
      </c>
      <c r="F395">
        <v>90.468100000000007</v>
      </c>
      <c r="G395" s="1">
        <v>42213</v>
      </c>
      <c r="H395">
        <v>39.94</v>
      </c>
      <c r="I395" s="1">
        <v>42213</v>
      </c>
      <c r="J395">
        <v>18.399999999999999</v>
      </c>
      <c r="K395" s="1">
        <v>42192</v>
      </c>
      <c r="L395">
        <v>96.864999999999995</v>
      </c>
    </row>
    <row r="396" spans="1:12" x14ac:dyDescent="0.25">
      <c r="A396" s="1">
        <v>42214</v>
      </c>
      <c r="B396">
        <v>12.5</v>
      </c>
      <c r="C396" s="1">
        <v>42214</v>
      </c>
      <c r="D396">
        <v>20.11</v>
      </c>
      <c r="E396" s="1">
        <v>42193</v>
      </c>
      <c r="F396">
        <v>89.427700000000002</v>
      </c>
      <c r="G396" s="1">
        <v>42214</v>
      </c>
      <c r="H396">
        <v>38.590000000000003</v>
      </c>
      <c r="I396" s="1">
        <v>42214</v>
      </c>
      <c r="J396">
        <v>17.22</v>
      </c>
      <c r="K396" s="1">
        <v>42193</v>
      </c>
      <c r="L396">
        <v>96.293999999999997</v>
      </c>
    </row>
    <row r="397" spans="1:12" x14ac:dyDescent="0.25">
      <c r="A397" s="1">
        <v>42215</v>
      </c>
      <c r="B397">
        <v>12.13</v>
      </c>
      <c r="C397" s="1">
        <v>42215</v>
      </c>
      <c r="D397">
        <v>21.16</v>
      </c>
      <c r="E397" s="1">
        <v>42194</v>
      </c>
      <c r="F397">
        <v>89.343800000000002</v>
      </c>
      <c r="G397" s="1">
        <v>42215</v>
      </c>
      <c r="H397">
        <v>37.33</v>
      </c>
      <c r="I397" s="1">
        <v>42215</v>
      </c>
      <c r="J397">
        <v>17.07</v>
      </c>
      <c r="K397" s="1">
        <v>42194</v>
      </c>
      <c r="L397">
        <v>96.605999999999995</v>
      </c>
    </row>
    <row r="398" spans="1:12" x14ac:dyDescent="0.25">
      <c r="A398" s="1">
        <v>42216</v>
      </c>
      <c r="B398">
        <v>12.12</v>
      </c>
      <c r="C398" s="1">
        <v>42216</v>
      </c>
      <c r="D398">
        <v>21.04</v>
      </c>
      <c r="E398" s="1">
        <v>42195</v>
      </c>
      <c r="F398">
        <v>90.230800000000002</v>
      </c>
      <c r="G398" s="1">
        <v>42216</v>
      </c>
      <c r="H398">
        <v>38.82</v>
      </c>
      <c r="I398" s="1">
        <v>42216</v>
      </c>
      <c r="J398">
        <v>16.79</v>
      </c>
      <c r="K398" s="1">
        <v>42195</v>
      </c>
      <c r="L398">
        <v>96.025000000000006</v>
      </c>
    </row>
    <row r="399" spans="1:12" x14ac:dyDescent="0.25">
      <c r="A399" s="1">
        <v>42219</v>
      </c>
      <c r="B399">
        <v>12.56</v>
      </c>
      <c r="C399" s="1">
        <v>42219</v>
      </c>
      <c r="D399">
        <v>23.07</v>
      </c>
      <c r="E399" s="1">
        <v>42198</v>
      </c>
      <c r="F399">
        <v>84.705200000000005</v>
      </c>
      <c r="G399" s="1">
        <v>42219</v>
      </c>
      <c r="H399">
        <v>40.909999999999997</v>
      </c>
      <c r="I399" s="1">
        <v>42219</v>
      </c>
      <c r="J399">
        <v>17.579999999999998</v>
      </c>
      <c r="K399" s="1">
        <v>42198</v>
      </c>
      <c r="L399">
        <v>96.858000000000004</v>
      </c>
    </row>
    <row r="400" spans="1:12" x14ac:dyDescent="0.25">
      <c r="A400" s="1">
        <v>42220</v>
      </c>
      <c r="B400">
        <v>13</v>
      </c>
      <c r="C400" s="1">
        <v>42220</v>
      </c>
      <c r="D400">
        <v>22.6</v>
      </c>
      <c r="E400" s="1">
        <v>42199</v>
      </c>
      <c r="F400">
        <v>80.795100000000005</v>
      </c>
      <c r="G400" s="1">
        <v>42220</v>
      </c>
      <c r="H400">
        <v>40.119999999999997</v>
      </c>
      <c r="I400" s="1">
        <v>42220</v>
      </c>
      <c r="J400">
        <v>17.239999999999998</v>
      </c>
      <c r="K400" s="1">
        <v>42199</v>
      </c>
      <c r="L400">
        <v>96.643000000000001</v>
      </c>
    </row>
    <row r="401" spans="1:12" x14ac:dyDescent="0.25">
      <c r="A401" s="1">
        <v>42221</v>
      </c>
      <c r="B401">
        <v>12.51</v>
      </c>
      <c r="C401" s="1">
        <v>42221</v>
      </c>
      <c r="D401">
        <v>22.15</v>
      </c>
      <c r="E401" s="1">
        <v>42200</v>
      </c>
      <c r="F401">
        <v>79.064499999999995</v>
      </c>
      <c r="G401" s="1">
        <v>42221</v>
      </c>
      <c r="H401">
        <v>40.18</v>
      </c>
      <c r="I401" s="1">
        <v>42221</v>
      </c>
      <c r="J401">
        <v>17.739999999999998</v>
      </c>
      <c r="K401" s="1">
        <v>42200</v>
      </c>
      <c r="L401">
        <v>97.165999999999997</v>
      </c>
    </row>
    <row r="402" spans="1:12" x14ac:dyDescent="0.25">
      <c r="A402" s="1">
        <v>42222</v>
      </c>
      <c r="B402">
        <v>13.77</v>
      </c>
      <c r="C402" s="1">
        <v>42222</v>
      </c>
      <c r="D402">
        <v>23.57</v>
      </c>
      <c r="E402" s="1">
        <v>42201</v>
      </c>
      <c r="F402">
        <v>75.953400000000002</v>
      </c>
      <c r="G402" s="1">
        <v>42222</v>
      </c>
      <c r="H402">
        <v>41.54</v>
      </c>
      <c r="I402" s="1">
        <v>42222</v>
      </c>
      <c r="J402">
        <v>17.25</v>
      </c>
      <c r="K402" s="1">
        <v>42201</v>
      </c>
      <c r="L402">
        <v>97.668000000000006</v>
      </c>
    </row>
    <row r="403" spans="1:12" x14ac:dyDescent="0.25">
      <c r="A403" s="1">
        <v>42223</v>
      </c>
      <c r="B403">
        <v>13.39</v>
      </c>
      <c r="C403" s="1">
        <v>42223</v>
      </c>
      <c r="D403">
        <v>22.67</v>
      </c>
      <c r="E403" s="1">
        <v>42202</v>
      </c>
      <c r="F403">
        <v>74.211600000000004</v>
      </c>
      <c r="G403" s="1">
        <v>42223</v>
      </c>
      <c r="H403">
        <v>41.17</v>
      </c>
      <c r="I403" s="1">
        <v>42223</v>
      </c>
      <c r="J403">
        <v>16.59</v>
      </c>
      <c r="K403" s="1">
        <v>42202</v>
      </c>
      <c r="L403">
        <v>97.861999999999995</v>
      </c>
    </row>
    <row r="404" spans="1:12" x14ac:dyDescent="0.25">
      <c r="A404" s="1">
        <v>42226</v>
      </c>
      <c r="B404">
        <v>12.23</v>
      </c>
      <c r="C404" s="1">
        <v>42226</v>
      </c>
      <c r="D404">
        <v>22.33</v>
      </c>
      <c r="E404" s="1">
        <v>42205</v>
      </c>
      <c r="F404">
        <v>72.841399999999993</v>
      </c>
      <c r="G404" s="1">
        <v>42226</v>
      </c>
      <c r="H404">
        <v>40.99</v>
      </c>
      <c r="I404" s="1">
        <v>42226</v>
      </c>
      <c r="J404">
        <v>16.41</v>
      </c>
      <c r="K404" s="1">
        <v>42205</v>
      </c>
      <c r="L404">
        <v>98.028999999999996</v>
      </c>
    </row>
    <row r="405" spans="1:12" x14ac:dyDescent="0.25">
      <c r="A405" s="1">
        <v>42227</v>
      </c>
      <c r="B405">
        <v>13.71</v>
      </c>
      <c r="C405" s="1">
        <v>42227</v>
      </c>
      <c r="D405">
        <v>25.12</v>
      </c>
      <c r="E405" s="1">
        <v>42206</v>
      </c>
      <c r="F405">
        <v>72.423100000000005</v>
      </c>
      <c r="G405" s="1">
        <v>42227</v>
      </c>
      <c r="H405">
        <v>42.16</v>
      </c>
      <c r="I405" s="1">
        <v>42227</v>
      </c>
      <c r="J405">
        <v>16.53</v>
      </c>
      <c r="K405" s="1">
        <v>42206</v>
      </c>
      <c r="L405">
        <v>97.328000000000003</v>
      </c>
    </row>
    <row r="406" spans="1:12" x14ac:dyDescent="0.25">
      <c r="A406" s="1">
        <v>42228</v>
      </c>
      <c r="B406">
        <v>13.61</v>
      </c>
      <c r="C406" s="1">
        <v>42228</v>
      </c>
      <c r="D406">
        <v>26.61</v>
      </c>
      <c r="E406" s="1">
        <v>42207</v>
      </c>
      <c r="F406">
        <v>72.112300000000005</v>
      </c>
      <c r="G406" s="1">
        <v>42228</v>
      </c>
      <c r="H406">
        <v>42.4</v>
      </c>
      <c r="I406" s="1">
        <v>42228</v>
      </c>
      <c r="J406">
        <v>16.8</v>
      </c>
      <c r="K406" s="1">
        <v>42207</v>
      </c>
      <c r="L406">
        <v>97.597999999999999</v>
      </c>
    </row>
    <row r="407" spans="1:12" x14ac:dyDescent="0.25">
      <c r="A407" s="1">
        <v>42229</v>
      </c>
      <c r="B407">
        <v>13.49</v>
      </c>
      <c r="C407" s="1">
        <v>42229</v>
      </c>
      <c r="D407">
        <v>25.82</v>
      </c>
      <c r="E407" s="1">
        <v>42208</v>
      </c>
      <c r="F407">
        <v>72.625299999999996</v>
      </c>
      <c r="G407" s="1">
        <v>42229</v>
      </c>
      <c r="H407">
        <v>43.23</v>
      </c>
      <c r="I407" s="1">
        <v>42229</v>
      </c>
      <c r="J407">
        <v>15.84</v>
      </c>
      <c r="K407" s="1">
        <v>42208</v>
      </c>
      <c r="L407">
        <v>97.114999999999995</v>
      </c>
    </row>
    <row r="408" spans="1:12" x14ac:dyDescent="0.25">
      <c r="A408" s="1">
        <v>42230</v>
      </c>
      <c r="B408">
        <v>12.83</v>
      </c>
      <c r="C408" s="1">
        <v>42230</v>
      </c>
      <c r="D408">
        <v>24.39</v>
      </c>
      <c r="E408" s="1">
        <v>42209</v>
      </c>
      <c r="F408">
        <v>73.0107</v>
      </c>
      <c r="G408" s="1">
        <v>42230</v>
      </c>
      <c r="H408">
        <v>40.92</v>
      </c>
      <c r="I408" s="1">
        <v>42230</v>
      </c>
      <c r="J408">
        <v>15.59</v>
      </c>
      <c r="K408" s="1">
        <v>42209</v>
      </c>
      <c r="L408">
        <v>97.244</v>
      </c>
    </row>
    <row r="409" spans="1:12" x14ac:dyDescent="0.25">
      <c r="A409" s="1">
        <v>42233</v>
      </c>
      <c r="B409">
        <v>13.02</v>
      </c>
      <c r="C409" s="1">
        <v>42233</v>
      </c>
      <c r="D409">
        <v>25.13</v>
      </c>
      <c r="E409" s="1">
        <v>42212</v>
      </c>
      <c r="F409">
        <v>72.223399999999998</v>
      </c>
      <c r="G409" s="1">
        <v>42233</v>
      </c>
      <c r="H409">
        <v>40.35</v>
      </c>
      <c r="I409" s="1">
        <v>42233</v>
      </c>
      <c r="J409">
        <v>15.4</v>
      </c>
      <c r="K409" s="1">
        <v>42212</v>
      </c>
      <c r="L409">
        <v>96.501999999999995</v>
      </c>
    </row>
    <row r="410" spans="1:12" x14ac:dyDescent="0.25">
      <c r="A410" s="1">
        <v>42234</v>
      </c>
      <c r="B410">
        <v>13.79</v>
      </c>
      <c r="C410" s="1">
        <v>42234</v>
      </c>
      <c r="D410">
        <v>25.67</v>
      </c>
      <c r="E410" s="1">
        <v>42213</v>
      </c>
      <c r="F410">
        <v>71.854100000000003</v>
      </c>
      <c r="G410" s="1">
        <v>42234</v>
      </c>
      <c r="H410">
        <v>39.479999999999997</v>
      </c>
      <c r="I410" s="1">
        <v>42234</v>
      </c>
      <c r="J410">
        <v>15.84</v>
      </c>
      <c r="K410" s="1">
        <v>42213</v>
      </c>
      <c r="L410">
        <v>96.772000000000006</v>
      </c>
    </row>
    <row r="411" spans="1:12" x14ac:dyDescent="0.25">
      <c r="A411" s="1">
        <v>42235</v>
      </c>
      <c r="B411">
        <v>15.25</v>
      </c>
      <c r="C411" s="1">
        <v>42235</v>
      </c>
      <c r="D411">
        <v>27.29</v>
      </c>
      <c r="E411" s="1">
        <v>42214</v>
      </c>
      <c r="F411">
        <v>69.712800000000001</v>
      </c>
      <c r="G411" s="1">
        <v>42235</v>
      </c>
      <c r="H411">
        <v>41.29</v>
      </c>
      <c r="I411" s="1">
        <v>42235</v>
      </c>
      <c r="J411">
        <v>15.96</v>
      </c>
      <c r="K411" s="1">
        <v>42214</v>
      </c>
      <c r="L411">
        <v>96.975999999999999</v>
      </c>
    </row>
    <row r="412" spans="1:12" x14ac:dyDescent="0.25">
      <c r="A412" s="1">
        <v>42236</v>
      </c>
      <c r="B412">
        <v>19.14</v>
      </c>
      <c r="C412" s="1">
        <v>42236</v>
      </c>
      <c r="D412">
        <v>30.02</v>
      </c>
      <c r="E412" s="1">
        <v>42215</v>
      </c>
      <c r="F412">
        <v>71.207700000000003</v>
      </c>
      <c r="G412" s="1">
        <v>42236</v>
      </c>
      <c r="H412">
        <v>42.58</v>
      </c>
      <c r="I412" s="1">
        <v>42236</v>
      </c>
      <c r="J412">
        <v>16.87</v>
      </c>
      <c r="K412" s="1">
        <v>42215</v>
      </c>
      <c r="L412">
        <v>97.56</v>
      </c>
    </row>
    <row r="413" spans="1:12" x14ac:dyDescent="0.25">
      <c r="A413" s="1">
        <v>42237</v>
      </c>
      <c r="B413">
        <v>28.03</v>
      </c>
      <c r="C413" s="1">
        <v>42237</v>
      </c>
      <c r="D413">
        <v>33.299999999999997</v>
      </c>
      <c r="E413" s="1">
        <v>42216</v>
      </c>
      <c r="F413">
        <v>75.751199999999997</v>
      </c>
      <c r="G413" s="1">
        <v>42237</v>
      </c>
      <c r="H413">
        <v>44.66</v>
      </c>
      <c r="I413" s="1">
        <v>42237</v>
      </c>
      <c r="J413">
        <v>18.48</v>
      </c>
      <c r="K413" s="1">
        <v>42216</v>
      </c>
      <c r="L413">
        <v>97.335999999999999</v>
      </c>
    </row>
    <row r="414" spans="1:12" x14ac:dyDescent="0.25">
      <c r="A414" s="1">
        <v>42240</v>
      </c>
      <c r="B414">
        <v>40.74</v>
      </c>
      <c r="C414" s="1">
        <v>42240</v>
      </c>
      <c r="D414">
        <v>55.17</v>
      </c>
      <c r="E414" s="1">
        <v>42219</v>
      </c>
      <c r="F414">
        <v>74.747399999999999</v>
      </c>
      <c r="G414" s="1">
        <v>42240</v>
      </c>
      <c r="H414">
        <v>50.11</v>
      </c>
      <c r="I414" s="1">
        <v>42240</v>
      </c>
      <c r="J414">
        <v>21.26</v>
      </c>
      <c r="K414" s="1">
        <v>42219</v>
      </c>
      <c r="L414">
        <v>97.494</v>
      </c>
    </row>
    <row r="415" spans="1:12" x14ac:dyDescent="0.25">
      <c r="A415" s="1">
        <v>42241</v>
      </c>
      <c r="B415">
        <v>36.020000000000003</v>
      </c>
      <c r="C415" s="1">
        <v>42241</v>
      </c>
      <c r="D415">
        <v>44.65</v>
      </c>
      <c r="E415" s="1">
        <v>42220</v>
      </c>
      <c r="F415">
        <v>80.470799999999997</v>
      </c>
      <c r="G415" s="1">
        <v>42241</v>
      </c>
      <c r="H415">
        <v>49</v>
      </c>
      <c r="I415" s="1">
        <v>42241</v>
      </c>
      <c r="J415">
        <v>20.2</v>
      </c>
      <c r="K415" s="1">
        <v>42220</v>
      </c>
      <c r="L415">
        <v>97.930999999999997</v>
      </c>
    </row>
    <row r="416" spans="1:12" x14ac:dyDescent="0.25">
      <c r="A416" s="1">
        <v>42242</v>
      </c>
      <c r="B416">
        <v>30.32</v>
      </c>
      <c r="C416" s="1">
        <v>42242</v>
      </c>
      <c r="D416">
        <v>36.79</v>
      </c>
      <c r="E416" s="1">
        <v>42221</v>
      </c>
      <c r="F416">
        <v>80.6999</v>
      </c>
      <c r="G416" s="1">
        <v>42242</v>
      </c>
      <c r="H416">
        <v>46.87</v>
      </c>
      <c r="I416" s="1">
        <v>42242</v>
      </c>
      <c r="J416">
        <v>20.03</v>
      </c>
      <c r="K416" s="1">
        <v>42221</v>
      </c>
      <c r="L416">
        <v>97.957999999999998</v>
      </c>
    </row>
    <row r="417" spans="1:12" x14ac:dyDescent="0.25">
      <c r="A417" s="1">
        <v>42243</v>
      </c>
      <c r="B417">
        <v>26.1</v>
      </c>
      <c r="C417" s="1">
        <v>42243</v>
      </c>
      <c r="D417">
        <v>32.619999999999997</v>
      </c>
      <c r="E417" s="1">
        <v>42222</v>
      </c>
      <c r="F417">
        <v>80.315399999999997</v>
      </c>
      <c r="G417" s="1">
        <v>42243</v>
      </c>
      <c r="H417">
        <v>49.03</v>
      </c>
      <c r="I417" s="1">
        <v>42243</v>
      </c>
      <c r="J417">
        <v>18.739999999999998</v>
      </c>
      <c r="K417" s="1">
        <v>42222</v>
      </c>
      <c r="L417">
        <v>97.832999999999998</v>
      </c>
    </row>
    <row r="418" spans="1:12" x14ac:dyDescent="0.25">
      <c r="A418" s="1">
        <v>42244</v>
      </c>
      <c r="B418">
        <v>26.05</v>
      </c>
      <c r="C418" s="1">
        <v>42244</v>
      </c>
      <c r="D418">
        <v>37.18</v>
      </c>
      <c r="E418" s="1">
        <v>42223</v>
      </c>
      <c r="F418">
        <v>76.227800000000002</v>
      </c>
      <c r="G418" s="1">
        <v>42244</v>
      </c>
      <c r="H418">
        <v>51.56</v>
      </c>
      <c r="I418" s="1">
        <v>42244</v>
      </c>
      <c r="J418">
        <v>18.8</v>
      </c>
      <c r="K418" s="1">
        <v>42223</v>
      </c>
      <c r="L418">
        <v>97.563000000000002</v>
      </c>
    </row>
    <row r="419" spans="1:12" x14ac:dyDescent="0.25">
      <c r="A419" s="1">
        <v>42247</v>
      </c>
      <c r="B419">
        <v>28.43</v>
      </c>
      <c r="C419" s="1">
        <v>42247</v>
      </c>
      <c r="D419">
        <v>37.14</v>
      </c>
      <c r="E419" s="1">
        <v>42226</v>
      </c>
      <c r="F419">
        <v>75.281199999999998</v>
      </c>
      <c r="G419" s="1">
        <v>42247</v>
      </c>
      <c r="H419">
        <v>54.37</v>
      </c>
      <c r="I419" s="1">
        <v>42247</v>
      </c>
      <c r="J419">
        <v>19.34</v>
      </c>
      <c r="K419" s="1">
        <v>42226</v>
      </c>
      <c r="L419">
        <v>97.159000000000006</v>
      </c>
    </row>
    <row r="420" spans="1:12" x14ac:dyDescent="0.25">
      <c r="A420" s="1">
        <v>42248</v>
      </c>
      <c r="B420">
        <v>31.4</v>
      </c>
      <c r="C420" s="1">
        <v>42248</v>
      </c>
      <c r="D420">
        <v>42.92</v>
      </c>
      <c r="E420" s="1">
        <v>42227</v>
      </c>
      <c r="F420">
        <v>78.058300000000003</v>
      </c>
      <c r="G420" s="1">
        <v>42248</v>
      </c>
      <c r="H420">
        <v>57.51</v>
      </c>
      <c r="I420" s="1">
        <v>42248</v>
      </c>
      <c r="J420">
        <v>19.649999999999999</v>
      </c>
      <c r="K420" s="1">
        <v>42227</v>
      </c>
      <c r="L420">
        <v>97.29</v>
      </c>
    </row>
    <row r="421" spans="1:12" x14ac:dyDescent="0.25">
      <c r="A421" s="1">
        <v>42249</v>
      </c>
      <c r="B421">
        <v>26.09</v>
      </c>
      <c r="C421" s="1">
        <v>42249</v>
      </c>
      <c r="D421">
        <v>37.92</v>
      </c>
      <c r="E421" s="1">
        <v>42228</v>
      </c>
      <c r="F421">
        <v>81.463499999999996</v>
      </c>
      <c r="G421" s="1">
        <v>42249</v>
      </c>
      <c r="H421">
        <v>53.75</v>
      </c>
      <c r="I421" s="1">
        <v>42249</v>
      </c>
      <c r="J421">
        <v>18.649999999999999</v>
      </c>
      <c r="K421" s="1">
        <v>42228</v>
      </c>
      <c r="L421">
        <v>96.262</v>
      </c>
    </row>
    <row r="422" spans="1:12" x14ac:dyDescent="0.25">
      <c r="A422" s="1">
        <v>42250</v>
      </c>
      <c r="B422">
        <v>25.61</v>
      </c>
      <c r="C422" s="1">
        <v>42250</v>
      </c>
      <c r="D422">
        <v>37.43</v>
      </c>
      <c r="E422" s="1">
        <v>42229</v>
      </c>
      <c r="F422">
        <v>80.003799999999998</v>
      </c>
      <c r="G422" s="1">
        <v>42250</v>
      </c>
      <c r="H422">
        <v>50.44</v>
      </c>
      <c r="I422" s="1">
        <v>42250</v>
      </c>
      <c r="J422">
        <v>18.57</v>
      </c>
      <c r="K422" s="1">
        <v>42229</v>
      </c>
      <c r="L422">
        <v>96.444999999999993</v>
      </c>
    </row>
    <row r="423" spans="1:12" x14ac:dyDescent="0.25">
      <c r="A423" s="1">
        <v>42251</v>
      </c>
      <c r="B423">
        <v>27.8</v>
      </c>
      <c r="C423" s="1">
        <v>42251</v>
      </c>
      <c r="D423">
        <v>41.72</v>
      </c>
      <c r="E423" s="1">
        <v>42230</v>
      </c>
      <c r="F423">
        <v>77.078400000000002</v>
      </c>
      <c r="G423" s="1">
        <v>42251</v>
      </c>
      <c r="H423">
        <v>49.29</v>
      </c>
      <c r="I423" s="1">
        <v>42251</v>
      </c>
      <c r="J423">
        <v>18.62</v>
      </c>
      <c r="K423" s="1">
        <v>42230</v>
      </c>
      <c r="L423">
        <v>96.52</v>
      </c>
    </row>
    <row r="424" spans="1:12" x14ac:dyDescent="0.25">
      <c r="A424" s="1">
        <v>42255</v>
      </c>
      <c r="B424">
        <v>24.9</v>
      </c>
      <c r="C424" s="1">
        <v>42255</v>
      </c>
      <c r="D424">
        <v>37.380000000000003</v>
      </c>
      <c r="E424" s="1">
        <v>42233</v>
      </c>
      <c r="F424">
        <v>76.064099999999996</v>
      </c>
      <c r="G424" s="1">
        <v>42255</v>
      </c>
      <c r="H424">
        <v>50.14</v>
      </c>
      <c r="I424" s="1">
        <v>42255</v>
      </c>
      <c r="J424">
        <v>18.309999999999999</v>
      </c>
      <c r="K424" s="1">
        <v>42233</v>
      </c>
      <c r="L424">
        <v>96.805999999999997</v>
      </c>
    </row>
    <row r="425" spans="1:12" x14ac:dyDescent="0.25">
      <c r="A425" s="1">
        <v>42256</v>
      </c>
      <c r="B425">
        <v>26.23</v>
      </c>
      <c r="C425" s="1">
        <v>42256</v>
      </c>
      <c r="D425">
        <v>35.119999999999997</v>
      </c>
      <c r="E425" s="1">
        <v>42234</v>
      </c>
      <c r="F425">
        <v>82.706800000000001</v>
      </c>
      <c r="G425" s="1">
        <v>42256</v>
      </c>
      <c r="H425">
        <v>49.5</v>
      </c>
      <c r="I425" s="1">
        <v>42256</v>
      </c>
      <c r="J425">
        <v>17.8</v>
      </c>
      <c r="K425" s="1">
        <v>42234</v>
      </c>
      <c r="L425">
        <v>97.04</v>
      </c>
    </row>
    <row r="426" spans="1:12" x14ac:dyDescent="0.25">
      <c r="A426" s="1">
        <v>42257</v>
      </c>
      <c r="B426">
        <v>24.37</v>
      </c>
      <c r="C426" s="1">
        <v>42257</v>
      </c>
      <c r="D426">
        <v>35.61</v>
      </c>
      <c r="E426" s="1">
        <v>42235</v>
      </c>
      <c r="F426">
        <v>81.542599999999993</v>
      </c>
      <c r="G426" s="1">
        <v>42257</v>
      </c>
      <c r="H426">
        <v>50.05</v>
      </c>
      <c r="I426" s="1">
        <v>42257</v>
      </c>
      <c r="J426">
        <v>16.89</v>
      </c>
      <c r="K426" s="1">
        <v>42235</v>
      </c>
      <c r="L426">
        <v>96.358999999999995</v>
      </c>
    </row>
    <row r="427" spans="1:12" x14ac:dyDescent="0.25">
      <c r="A427" s="1">
        <v>42258</v>
      </c>
      <c r="B427">
        <v>23.2</v>
      </c>
      <c r="C427" s="1">
        <v>42258</v>
      </c>
      <c r="D427">
        <v>35.53</v>
      </c>
      <c r="E427" s="1">
        <v>42236</v>
      </c>
      <c r="F427">
        <v>84.590999999999994</v>
      </c>
      <c r="G427" s="1">
        <v>42258</v>
      </c>
      <c r="H427">
        <v>49.63</v>
      </c>
      <c r="I427" s="1">
        <v>42258</v>
      </c>
      <c r="J427">
        <v>17.38</v>
      </c>
      <c r="K427" s="1">
        <v>42236</v>
      </c>
      <c r="L427">
        <v>95.98</v>
      </c>
    </row>
    <row r="428" spans="1:12" x14ac:dyDescent="0.25">
      <c r="A428" s="1">
        <v>42261</v>
      </c>
      <c r="B428">
        <v>24.25</v>
      </c>
      <c r="C428" s="1">
        <v>42261</v>
      </c>
      <c r="D428">
        <v>35.24</v>
      </c>
      <c r="E428" s="1">
        <v>42237</v>
      </c>
      <c r="F428">
        <v>88.520200000000003</v>
      </c>
      <c r="G428" s="1">
        <v>42261</v>
      </c>
      <c r="H428">
        <v>49.81</v>
      </c>
      <c r="I428" s="1">
        <v>42261</v>
      </c>
      <c r="J428">
        <v>17.63</v>
      </c>
      <c r="K428" s="1">
        <v>42237</v>
      </c>
      <c r="L428">
        <v>95.007999999999996</v>
      </c>
    </row>
    <row r="429" spans="1:12" x14ac:dyDescent="0.25">
      <c r="A429" s="1">
        <v>42262</v>
      </c>
      <c r="B429">
        <v>22.54</v>
      </c>
      <c r="C429" s="1">
        <v>42262</v>
      </c>
      <c r="D429">
        <v>33.97</v>
      </c>
      <c r="E429" s="1">
        <v>42240</v>
      </c>
      <c r="F429">
        <v>94.540599999999998</v>
      </c>
      <c r="G429" s="1">
        <v>42262</v>
      </c>
      <c r="H429">
        <v>51.14</v>
      </c>
      <c r="I429" s="1">
        <v>42262</v>
      </c>
      <c r="J429">
        <v>17.690000000000001</v>
      </c>
      <c r="K429" s="1">
        <v>42240</v>
      </c>
      <c r="L429">
        <v>93.331999999999994</v>
      </c>
    </row>
    <row r="430" spans="1:12" x14ac:dyDescent="0.25">
      <c r="A430" s="1">
        <v>42263</v>
      </c>
      <c r="B430">
        <v>21.35</v>
      </c>
      <c r="C430" s="1">
        <v>42263</v>
      </c>
      <c r="D430">
        <v>31.65</v>
      </c>
      <c r="E430" s="1">
        <v>42241</v>
      </c>
      <c r="F430">
        <v>91.089100000000002</v>
      </c>
      <c r="G430" s="1">
        <v>42263</v>
      </c>
      <c r="H430">
        <v>50.24</v>
      </c>
      <c r="I430" s="1">
        <v>42263</v>
      </c>
      <c r="J430">
        <v>18.05</v>
      </c>
      <c r="K430" s="1">
        <v>42241</v>
      </c>
      <c r="L430">
        <v>94.53</v>
      </c>
    </row>
    <row r="431" spans="1:12" x14ac:dyDescent="0.25">
      <c r="A431" s="1">
        <v>42264</v>
      </c>
      <c r="B431">
        <v>21.14</v>
      </c>
      <c r="C431" s="1">
        <v>42264</v>
      </c>
      <c r="D431">
        <v>28.68</v>
      </c>
      <c r="E431" s="1">
        <v>42242</v>
      </c>
      <c r="F431">
        <v>92.013599999999997</v>
      </c>
      <c r="G431" s="1">
        <v>42264</v>
      </c>
      <c r="H431">
        <v>45.34</v>
      </c>
      <c r="I431" s="1">
        <v>42264</v>
      </c>
      <c r="J431">
        <v>16.63</v>
      </c>
      <c r="K431" s="1">
        <v>42242</v>
      </c>
      <c r="L431">
        <v>95.1</v>
      </c>
    </row>
    <row r="432" spans="1:12" x14ac:dyDescent="0.25">
      <c r="A432" s="1">
        <v>42265</v>
      </c>
      <c r="B432">
        <v>22.28</v>
      </c>
      <c r="C432" s="1">
        <v>42265</v>
      </c>
      <c r="D432">
        <v>31.3</v>
      </c>
      <c r="E432" s="1">
        <v>42243</v>
      </c>
      <c r="F432">
        <v>91.405000000000001</v>
      </c>
      <c r="G432" s="1">
        <v>42265</v>
      </c>
      <c r="H432">
        <v>45.84</v>
      </c>
      <c r="I432" s="1">
        <v>42265</v>
      </c>
      <c r="J432">
        <v>16.46</v>
      </c>
      <c r="K432" s="1">
        <v>42243</v>
      </c>
      <c r="L432">
        <v>95.61</v>
      </c>
    </row>
    <row r="433" spans="1:12" x14ac:dyDescent="0.25">
      <c r="A433" s="1">
        <v>42268</v>
      </c>
      <c r="B433">
        <v>20.14</v>
      </c>
      <c r="C433" s="1">
        <v>42268</v>
      </c>
      <c r="D433">
        <v>29.66</v>
      </c>
      <c r="E433" s="1">
        <v>42244</v>
      </c>
      <c r="F433">
        <v>91.078800000000001</v>
      </c>
      <c r="G433" s="1">
        <v>42268</v>
      </c>
      <c r="H433">
        <v>47.51</v>
      </c>
      <c r="I433" s="1">
        <v>42268</v>
      </c>
      <c r="J433">
        <v>16.59</v>
      </c>
      <c r="K433" s="1">
        <v>42244</v>
      </c>
      <c r="L433">
        <v>96.105999999999995</v>
      </c>
    </row>
    <row r="434" spans="1:12" x14ac:dyDescent="0.25">
      <c r="A434" s="1">
        <v>42269</v>
      </c>
      <c r="B434">
        <v>22.44</v>
      </c>
      <c r="C434" s="1">
        <v>42269</v>
      </c>
      <c r="D434">
        <v>31.79</v>
      </c>
      <c r="E434" s="1">
        <v>42247</v>
      </c>
      <c r="F434">
        <v>87.735200000000006</v>
      </c>
      <c r="G434" s="1">
        <v>42269</v>
      </c>
      <c r="H434">
        <v>48.9</v>
      </c>
      <c r="I434" s="1">
        <v>42269</v>
      </c>
      <c r="J434">
        <v>17.350000000000001</v>
      </c>
      <c r="K434" s="1">
        <v>42247</v>
      </c>
      <c r="L434">
        <v>95.823999999999998</v>
      </c>
    </row>
    <row r="435" spans="1:12" x14ac:dyDescent="0.25">
      <c r="A435" s="1">
        <v>42270</v>
      </c>
      <c r="B435">
        <v>22.13</v>
      </c>
      <c r="C435" s="1">
        <v>42270</v>
      </c>
      <c r="D435">
        <v>32.11</v>
      </c>
      <c r="E435" s="1">
        <v>42248</v>
      </c>
      <c r="F435">
        <v>88.675399999999996</v>
      </c>
      <c r="G435" s="1">
        <v>42270</v>
      </c>
      <c r="H435">
        <v>51.12</v>
      </c>
      <c r="I435" s="1">
        <v>42270</v>
      </c>
      <c r="J435">
        <v>17.34</v>
      </c>
      <c r="K435" s="1">
        <v>42248</v>
      </c>
      <c r="L435">
        <v>95.45</v>
      </c>
    </row>
    <row r="436" spans="1:12" x14ac:dyDescent="0.25">
      <c r="A436" s="1">
        <v>42271</v>
      </c>
      <c r="B436">
        <v>23.47</v>
      </c>
      <c r="C436" s="1">
        <v>42271</v>
      </c>
      <c r="D436">
        <v>33.94</v>
      </c>
      <c r="E436" s="1">
        <v>42249</v>
      </c>
      <c r="F436">
        <v>93.082899999999995</v>
      </c>
      <c r="G436" s="1">
        <v>42271</v>
      </c>
      <c r="H436">
        <v>49.44</v>
      </c>
      <c r="I436" s="1">
        <v>42271</v>
      </c>
      <c r="J436">
        <v>19.260000000000002</v>
      </c>
      <c r="K436" s="1">
        <v>42249</v>
      </c>
      <c r="L436">
        <v>95.828000000000003</v>
      </c>
    </row>
    <row r="437" spans="1:12" x14ac:dyDescent="0.25">
      <c r="A437" s="1">
        <v>42272</v>
      </c>
      <c r="B437">
        <v>23.62</v>
      </c>
      <c r="C437" s="1">
        <v>42272</v>
      </c>
      <c r="D437">
        <v>32.81</v>
      </c>
      <c r="E437" s="1">
        <v>42250</v>
      </c>
      <c r="F437">
        <v>91.409000000000006</v>
      </c>
      <c r="G437" s="1">
        <v>42272</v>
      </c>
      <c r="H437">
        <v>47.71</v>
      </c>
      <c r="I437" s="1">
        <v>42272</v>
      </c>
      <c r="J437">
        <v>18.329999999999998</v>
      </c>
      <c r="K437" s="1">
        <v>42250</v>
      </c>
      <c r="L437">
        <v>96.405000000000001</v>
      </c>
    </row>
    <row r="438" spans="1:12" x14ac:dyDescent="0.25">
      <c r="A438" s="1">
        <v>42275</v>
      </c>
      <c r="B438">
        <v>27.63</v>
      </c>
      <c r="C438" s="1">
        <v>42275</v>
      </c>
      <c r="D438">
        <v>36.29</v>
      </c>
      <c r="E438" s="1">
        <v>42251</v>
      </c>
      <c r="F438">
        <v>86.775599999999997</v>
      </c>
      <c r="G438" s="1">
        <v>42275</v>
      </c>
      <c r="H438">
        <v>49.46</v>
      </c>
      <c r="I438" s="1">
        <v>42275</v>
      </c>
      <c r="J438">
        <v>18.28</v>
      </c>
      <c r="K438" s="1">
        <v>42251</v>
      </c>
      <c r="L438">
        <v>96.228999999999999</v>
      </c>
    </row>
    <row r="439" spans="1:12" x14ac:dyDescent="0.25">
      <c r="A439" s="1">
        <v>42276</v>
      </c>
      <c r="B439">
        <v>26.83</v>
      </c>
      <c r="C439" s="1">
        <v>42276</v>
      </c>
      <c r="D439">
        <v>36.11</v>
      </c>
      <c r="E439" s="1">
        <v>42254</v>
      </c>
      <c r="F439">
        <v>86.775599999999997</v>
      </c>
      <c r="G439" s="1">
        <v>42276</v>
      </c>
      <c r="H439">
        <v>49.32</v>
      </c>
      <c r="I439" s="1">
        <v>42276</v>
      </c>
      <c r="J439">
        <v>17.670000000000002</v>
      </c>
      <c r="K439" s="1">
        <v>42254</v>
      </c>
      <c r="L439">
        <v>96.228999999999999</v>
      </c>
    </row>
    <row r="440" spans="1:12" x14ac:dyDescent="0.25">
      <c r="A440" s="1">
        <v>42277</v>
      </c>
      <c r="B440">
        <v>24.5</v>
      </c>
      <c r="C440" s="1">
        <v>42277</v>
      </c>
      <c r="D440">
        <v>33.32</v>
      </c>
      <c r="E440" s="1">
        <v>42255</v>
      </c>
      <c r="F440">
        <v>85.240799999999993</v>
      </c>
      <c r="G440" s="1">
        <v>42277</v>
      </c>
      <c r="H440">
        <v>45.52</v>
      </c>
      <c r="I440" s="1">
        <v>42277</v>
      </c>
      <c r="J440">
        <v>17.47</v>
      </c>
      <c r="K440" s="1">
        <v>42255</v>
      </c>
      <c r="L440">
        <v>95.984999999999999</v>
      </c>
    </row>
    <row r="441" spans="1:12" x14ac:dyDescent="0.25">
      <c r="A441" s="1">
        <v>42278</v>
      </c>
      <c r="B441">
        <v>22.55</v>
      </c>
      <c r="C441" s="1">
        <v>42278</v>
      </c>
      <c r="D441">
        <v>32.020000000000003</v>
      </c>
      <c r="E441" s="1">
        <v>42256</v>
      </c>
      <c r="F441">
        <v>85.056899999999999</v>
      </c>
      <c r="G441" s="1">
        <v>42278</v>
      </c>
      <c r="H441">
        <v>44.61</v>
      </c>
      <c r="I441" s="1">
        <v>42278</v>
      </c>
      <c r="J441">
        <v>16.899999999999999</v>
      </c>
      <c r="K441" s="1">
        <v>42256</v>
      </c>
      <c r="L441">
        <v>96.012</v>
      </c>
    </row>
    <row r="442" spans="1:12" x14ac:dyDescent="0.25">
      <c r="A442" s="1">
        <v>42279</v>
      </c>
      <c r="B442">
        <v>20.94</v>
      </c>
      <c r="C442" s="1">
        <v>42279</v>
      </c>
      <c r="D442">
        <v>30.63</v>
      </c>
      <c r="E442" s="1">
        <v>42257</v>
      </c>
      <c r="F442">
        <v>83.5976</v>
      </c>
      <c r="G442" s="1">
        <v>42279</v>
      </c>
      <c r="H442">
        <v>42.86</v>
      </c>
      <c r="I442" s="1">
        <v>42279</v>
      </c>
      <c r="J442">
        <v>16.71</v>
      </c>
      <c r="K442" s="1">
        <v>42257</v>
      </c>
      <c r="L442">
        <v>95.456000000000003</v>
      </c>
    </row>
    <row r="443" spans="1:12" x14ac:dyDescent="0.25">
      <c r="A443" s="1">
        <v>42282</v>
      </c>
      <c r="B443">
        <v>19.54</v>
      </c>
      <c r="C443" s="1">
        <v>42282</v>
      </c>
      <c r="D443">
        <v>28.59</v>
      </c>
      <c r="E443" s="1">
        <v>42258</v>
      </c>
      <c r="F443">
        <v>83.780500000000004</v>
      </c>
      <c r="G443" s="1">
        <v>42282</v>
      </c>
      <c r="H443">
        <v>43.03</v>
      </c>
      <c r="I443" s="1">
        <v>42282</v>
      </c>
      <c r="J443">
        <v>16.68</v>
      </c>
      <c r="K443" s="1">
        <v>42258</v>
      </c>
      <c r="L443">
        <v>95.194000000000003</v>
      </c>
    </row>
    <row r="444" spans="1:12" x14ac:dyDescent="0.25">
      <c r="A444" s="1">
        <v>42283</v>
      </c>
      <c r="B444">
        <v>19.399999999999999</v>
      </c>
      <c r="C444" s="1">
        <v>42283</v>
      </c>
      <c r="D444">
        <v>28.42</v>
      </c>
      <c r="E444" s="1">
        <v>42261</v>
      </c>
      <c r="F444">
        <v>82.690700000000007</v>
      </c>
      <c r="G444" s="1">
        <v>42283</v>
      </c>
      <c r="H444">
        <v>44.14</v>
      </c>
      <c r="I444" s="1">
        <v>42283</v>
      </c>
      <c r="J444">
        <v>17.54</v>
      </c>
      <c r="K444" s="1">
        <v>42261</v>
      </c>
      <c r="L444">
        <v>95.245999999999995</v>
      </c>
    </row>
    <row r="445" spans="1:12" x14ac:dyDescent="0.25">
      <c r="A445" s="1">
        <v>42284</v>
      </c>
      <c r="B445">
        <v>18.399999999999999</v>
      </c>
      <c r="C445" s="1">
        <v>42284</v>
      </c>
      <c r="D445">
        <v>28.09</v>
      </c>
      <c r="E445" s="1">
        <v>42262</v>
      </c>
      <c r="F445">
        <v>85.015500000000003</v>
      </c>
      <c r="G445" s="1">
        <v>42284</v>
      </c>
      <c r="H445">
        <v>43.26</v>
      </c>
      <c r="I445" s="1">
        <v>42284</v>
      </c>
      <c r="J445">
        <v>17.13</v>
      </c>
      <c r="K445" s="1">
        <v>42262</v>
      </c>
      <c r="L445">
        <v>95.611000000000004</v>
      </c>
    </row>
    <row r="446" spans="1:12" x14ac:dyDescent="0.25">
      <c r="A446" s="1">
        <v>42285</v>
      </c>
      <c r="B446">
        <v>17.420000000000002</v>
      </c>
      <c r="C446" s="1">
        <v>42285</v>
      </c>
      <c r="D446">
        <v>26.97</v>
      </c>
      <c r="E446" s="1">
        <v>42263</v>
      </c>
      <c r="F446">
        <v>84.908699999999996</v>
      </c>
      <c r="G446" s="1">
        <v>42285</v>
      </c>
      <c r="H446">
        <v>43.28</v>
      </c>
      <c r="I446" s="1">
        <v>42285</v>
      </c>
      <c r="J446">
        <v>16.91</v>
      </c>
      <c r="K446" s="1">
        <v>42263</v>
      </c>
      <c r="L446">
        <v>95.42</v>
      </c>
    </row>
    <row r="447" spans="1:12" x14ac:dyDescent="0.25">
      <c r="A447" s="1">
        <v>42286</v>
      </c>
      <c r="B447">
        <v>17.079999999999998</v>
      </c>
      <c r="C447" s="1">
        <v>42286</v>
      </c>
      <c r="D447">
        <v>26.9</v>
      </c>
      <c r="E447" s="1">
        <v>42264</v>
      </c>
      <c r="F447">
        <v>77.696399999999997</v>
      </c>
      <c r="G447" s="1">
        <v>42286</v>
      </c>
      <c r="H447">
        <v>42.8</v>
      </c>
      <c r="I447" s="1">
        <v>42286</v>
      </c>
      <c r="J447">
        <v>16.920000000000002</v>
      </c>
      <c r="K447" s="1">
        <v>42264</v>
      </c>
      <c r="L447">
        <v>94.55</v>
      </c>
    </row>
    <row r="448" spans="1:12" x14ac:dyDescent="0.25">
      <c r="A448" s="1">
        <v>42289</v>
      </c>
      <c r="B448">
        <v>16.170000000000002</v>
      </c>
      <c r="C448" s="1">
        <v>42289</v>
      </c>
      <c r="D448">
        <v>25.81</v>
      </c>
      <c r="E448" s="1">
        <v>42265</v>
      </c>
      <c r="F448">
        <v>75.7821</v>
      </c>
      <c r="G448" s="1">
        <v>42289</v>
      </c>
      <c r="H448">
        <v>44.9</v>
      </c>
      <c r="I448" s="1">
        <v>42289</v>
      </c>
      <c r="J448">
        <v>16.239999999999998</v>
      </c>
      <c r="K448" s="1">
        <v>42265</v>
      </c>
      <c r="L448">
        <v>94.863</v>
      </c>
    </row>
    <row r="449" spans="1:12" x14ac:dyDescent="0.25">
      <c r="A449" s="1">
        <v>42290</v>
      </c>
      <c r="B449">
        <v>17.670000000000002</v>
      </c>
      <c r="C449" s="1">
        <v>42290</v>
      </c>
      <c r="D449">
        <v>27.54</v>
      </c>
      <c r="E449" s="1">
        <v>42268</v>
      </c>
      <c r="F449">
        <v>74.509100000000004</v>
      </c>
      <c r="G449" s="1">
        <v>42290</v>
      </c>
      <c r="H449">
        <v>45.37</v>
      </c>
      <c r="I449" s="1">
        <v>42290</v>
      </c>
      <c r="J449">
        <v>17.14</v>
      </c>
      <c r="K449" s="1">
        <v>42268</v>
      </c>
      <c r="L449">
        <v>95.894000000000005</v>
      </c>
    </row>
    <row r="450" spans="1:12" x14ac:dyDescent="0.25">
      <c r="A450" s="1">
        <v>42291</v>
      </c>
      <c r="B450">
        <v>18.03</v>
      </c>
      <c r="C450" s="1">
        <v>42291</v>
      </c>
      <c r="D450">
        <v>27.2</v>
      </c>
      <c r="E450" s="1">
        <v>42269</v>
      </c>
      <c r="F450">
        <v>75.598799999999997</v>
      </c>
      <c r="G450" s="1">
        <v>42291</v>
      </c>
      <c r="H450">
        <v>42.7</v>
      </c>
      <c r="I450" s="1">
        <v>42291</v>
      </c>
      <c r="J450">
        <v>18.350000000000001</v>
      </c>
      <c r="K450" s="1">
        <v>42269</v>
      </c>
      <c r="L450">
        <v>96.283000000000001</v>
      </c>
    </row>
    <row r="451" spans="1:12" x14ac:dyDescent="0.25">
      <c r="A451" s="1">
        <v>42292</v>
      </c>
      <c r="B451">
        <v>16.05</v>
      </c>
      <c r="C451" s="1">
        <v>42292</v>
      </c>
      <c r="D451">
        <v>24.94</v>
      </c>
      <c r="E451" s="1">
        <v>42270</v>
      </c>
      <c r="F451">
        <v>74.511399999999995</v>
      </c>
      <c r="G451" s="1">
        <v>42292</v>
      </c>
      <c r="H451">
        <v>41.99</v>
      </c>
      <c r="I451" s="1">
        <v>42292</v>
      </c>
      <c r="J451">
        <v>17.899999999999999</v>
      </c>
      <c r="K451" s="1">
        <v>42270</v>
      </c>
      <c r="L451">
        <v>96.067999999999998</v>
      </c>
    </row>
    <row r="452" spans="1:12" x14ac:dyDescent="0.25">
      <c r="A452" s="1">
        <v>42293</v>
      </c>
      <c r="B452">
        <v>15.05</v>
      </c>
      <c r="C452" s="1">
        <v>42293</v>
      </c>
      <c r="D452">
        <v>23.52</v>
      </c>
      <c r="E452" s="1">
        <v>42271</v>
      </c>
      <c r="F452">
        <v>76.366500000000002</v>
      </c>
      <c r="G452" s="1">
        <v>42293</v>
      </c>
      <c r="H452">
        <v>39.58</v>
      </c>
      <c r="I452" s="1">
        <v>42293</v>
      </c>
      <c r="J452">
        <v>16.59</v>
      </c>
      <c r="K452" s="1">
        <v>42271</v>
      </c>
      <c r="L452">
        <v>95.994</v>
      </c>
    </row>
    <row r="453" spans="1:12" x14ac:dyDescent="0.25">
      <c r="A453" s="1">
        <v>42296</v>
      </c>
      <c r="B453">
        <v>14.98</v>
      </c>
      <c r="C453" s="1">
        <v>42296</v>
      </c>
      <c r="D453">
        <v>24.03</v>
      </c>
      <c r="E453" s="1">
        <v>42272</v>
      </c>
      <c r="F453">
        <v>75.859099999999998</v>
      </c>
      <c r="G453" s="1">
        <v>42296</v>
      </c>
      <c r="H453">
        <v>40.74</v>
      </c>
      <c r="I453" s="1">
        <v>42296</v>
      </c>
      <c r="J453">
        <v>16.940000000000001</v>
      </c>
      <c r="K453" s="1">
        <v>42272</v>
      </c>
      <c r="L453">
        <v>96.269000000000005</v>
      </c>
    </row>
    <row r="454" spans="1:12" x14ac:dyDescent="0.25">
      <c r="A454" s="1">
        <v>42297</v>
      </c>
      <c r="B454">
        <v>15.75</v>
      </c>
      <c r="C454" s="1">
        <v>42297</v>
      </c>
      <c r="D454">
        <v>23.95</v>
      </c>
      <c r="E454" s="1">
        <v>42275</v>
      </c>
      <c r="F454">
        <v>76.948499999999996</v>
      </c>
      <c r="G454" s="1">
        <v>42297</v>
      </c>
      <c r="H454">
        <v>41.72</v>
      </c>
      <c r="I454" s="1">
        <v>42297</v>
      </c>
      <c r="J454">
        <v>16.79</v>
      </c>
      <c r="K454" s="1">
        <v>42275</v>
      </c>
      <c r="L454">
        <v>96.034000000000006</v>
      </c>
    </row>
    <row r="455" spans="1:12" x14ac:dyDescent="0.25">
      <c r="A455" s="1">
        <v>42298</v>
      </c>
      <c r="B455">
        <v>16.7</v>
      </c>
      <c r="C455" s="1">
        <v>42298</v>
      </c>
      <c r="D455">
        <v>24.29</v>
      </c>
      <c r="E455" s="1">
        <v>42276</v>
      </c>
      <c r="F455">
        <v>83.345699999999994</v>
      </c>
      <c r="G455" s="1">
        <v>42298</v>
      </c>
      <c r="H455">
        <v>41.77</v>
      </c>
      <c r="I455" s="1">
        <v>42298</v>
      </c>
      <c r="J455">
        <v>15.9</v>
      </c>
      <c r="K455" s="1">
        <v>42276</v>
      </c>
      <c r="L455">
        <v>95.855000000000004</v>
      </c>
    </row>
    <row r="456" spans="1:12" x14ac:dyDescent="0.25">
      <c r="A456" s="1">
        <v>42299</v>
      </c>
      <c r="B456">
        <v>14.45</v>
      </c>
      <c r="C456" s="1">
        <v>42299</v>
      </c>
      <c r="D456">
        <v>22.66</v>
      </c>
      <c r="E456" s="1">
        <v>42277</v>
      </c>
      <c r="F456">
        <v>81.564999999999998</v>
      </c>
      <c r="G456" s="1">
        <v>42299</v>
      </c>
      <c r="H456">
        <v>40.22</v>
      </c>
      <c r="I456" s="1">
        <v>42299</v>
      </c>
      <c r="J456">
        <v>15.59</v>
      </c>
      <c r="K456" s="1">
        <v>42277</v>
      </c>
      <c r="L456">
        <v>96.35</v>
      </c>
    </row>
    <row r="457" spans="1:12" x14ac:dyDescent="0.25">
      <c r="A457" s="1">
        <v>42300</v>
      </c>
      <c r="B457">
        <v>14.46</v>
      </c>
      <c r="C457" s="1">
        <v>42300</v>
      </c>
      <c r="D457">
        <v>22.43</v>
      </c>
      <c r="E457" s="1">
        <v>42278</v>
      </c>
      <c r="F457">
        <v>81.538399999999996</v>
      </c>
      <c r="G457" s="1">
        <v>42300</v>
      </c>
      <c r="H457">
        <v>41.51</v>
      </c>
      <c r="I457" s="1">
        <v>42300</v>
      </c>
      <c r="J457">
        <v>15.59</v>
      </c>
      <c r="K457" s="1">
        <v>42278</v>
      </c>
      <c r="L457">
        <v>96.185000000000002</v>
      </c>
    </row>
    <row r="458" spans="1:12" x14ac:dyDescent="0.25">
      <c r="A458" s="1">
        <v>42303</v>
      </c>
      <c r="B458">
        <v>15.29</v>
      </c>
      <c r="C458" s="1">
        <v>42303</v>
      </c>
      <c r="D458">
        <v>23.77</v>
      </c>
      <c r="E458" s="1">
        <v>42279</v>
      </c>
      <c r="F458">
        <v>78.880600000000001</v>
      </c>
      <c r="G458" s="1">
        <v>42303</v>
      </c>
      <c r="H458">
        <v>42.99</v>
      </c>
      <c r="I458" s="1">
        <v>42303</v>
      </c>
      <c r="J458">
        <v>15.78</v>
      </c>
      <c r="K458" s="1">
        <v>42279</v>
      </c>
      <c r="L458">
        <v>95.83</v>
      </c>
    </row>
    <row r="459" spans="1:12" x14ac:dyDescent="0.25">
      <c r="A459" s="1">
        <v>42304</v>
      </c>
      <c r="B459">
        <v>15.43</v>
      </c>
      <c r="C459" s="1">
        <v>42304</v>
      </c>
      <c r="D459">
        <v>24.34</v>
      </c>
      <c r="E459" s="1">
        <v>42282</v>
      </c>
      <c r="F459">
        <v>77.4709</v>
      </c>
      <c r="G459" s="1">
        <v>42304</v>
      </c>
      <c r="H459">
        <v>44.77</v>
      </c>
      <c r="I459" s="1">
        <v>42304</v>
      </c>
      <c r="J459">
        <v>15.3</v>
      </c>
      <c r="K459" s="1">
        <v>42282</v>
      </c>
      <c r="L459">
        <v>96.105999999999995</v>
      </c>
    </row>
    <row r="460" spans="1:12" x14ac:dyDescent="0.25">
      <c r="A460" s="1">
        <v>42305</v>
      </c>
      <c r="B460">
        <v>14.33</v>
      </c>
      <c r="C460" s="1">
        <v>42305</v>
      </c>
      <c r="D460">
        <v>24.5</v>
      </c>
      <c r="E460" s="1">
        <v>42283</v>
      </c>
      <c r="F460">
        <v>80.254599999999996</v>
      </c>
      <c r="G460" s="1">
        <v>42305</v>
      </c>
      <c r="H460">
        <v>44.29</v>
      </c>
      <c r="I460" s="1">
        <v>42305</v>
      </c>
      <c r="J460">
        <v>15.63</v>
      </c>
      <c r="K460" s="1">
        <v>42283</v>
      </c>
      <c r="L460">
        <v>95.454999999999998</v>
      </c>
    </row>
    <row r="461" spans="1:12" x14ac:dyDescent="0.25">
      <c r="A461" s="1">
        <v>42306</v>
      </c>
      <c r="B461">
        <v>14.61</v>
      </c>
      <c r="C461" s="1">
        <v>42306</v>
      </c>
      <c r="D461">
        <v>24.49</v>
      </c>
      <c r="E461" s="1">
        <v>42284</v>
      </c>
      <c r="F461">
        <v>79.981899999999996</v>
      </c>
      <c r="G461" s="1">
        <v>42306</v>
      </c>
      <c r="H461">
        <v>43.63</v>
      </c>
      <c r="I461" s="1">
        <v>42306</v>
      </c>
      <c r="J461">
        <v>15.77</v>
      </c>
      <c r="K461" s="1">
        <v>42284</v>
      </c>
      <c r="L461">
        <v>95.497</v>
      </c>
    </row>
    <row r="462" spans="1:12" x14ac:dyDescent="0.25">
      <c r="A462" s="1">
        <v>42307</v>
      </c>
      <c r="B462">
        <v>15.07</v>
      </c>
      <c r="C462" s="1">
        <v>42307</v>
      </c>
      <c r="D462">
        <v>22.52</v>
      </c>
      <c r="E462" s="1">
        <v>42285</v>
      </c>
      <c r="F462">
        <v>79.513900000000007</v>
      </c>
      <c r="G462" s="1">
        <v>42307</v>
      </c>
      <c r="H462">
        <v>41.95</v>
      </c>
      <c r="I462" s="1">
        <v>42307</v>
      </c>
      <c r="J462">
        <v>15.39</v>
      </c>
      <c r="K462" s="1">
        <v>42285</v>
      </c>
      <c r="L462">
        <v>95.317999999999998</v>
      </c>
    </row>
    <row r="463" spans="1:12" x14ac:dyDescent="0.25">
      <c r="A463" s="1">
        <v>42310</v>
      </c>
      <c r="B463">
        <v>14.15</v>
      </c>
      <c r="C463" s="1">
        <v>42310</v>
      </c>
      <c r="D463">
        <v>21.37</v>
      </c>
      <c r="E463" s="1">
        <v>42286</v>
      </c>
      <c r="F463">
        <v>78.237200000000001</v>
      </c>
      <c r="G463" s="1">
        <v>42310</v>
      </c>
      <c r="H463">
        <v>41.88</v>
      </c>
      <c r="I463" s="1">
        <v>42310</v>
      </c>
      <c r="J463">
        <v>15.28</v>
      </c>
      <c r="K463" s="1">
        <v>42286</v>
      </c>
      <c r="L463">
        <v>94.813000000000002</v>
      </c>
    </row>
    <row r="464" spans="1:12" x14ac:dyDescent="0.25">
      <c r="A464" s="1">
        <v>42311</v>
      </c>
      <c r="B464">
        <v>14.54</v>
      </c>
      <c r="C464" s="1">
        <v>42311</v>
      </c>
      <c r="D464">
        <v>21.41</v>
      </c>
      <c r="E464" s="1">
        <v>42289</v>
      </c>
      <c r="F464">
        <v>78.237200000000001</v>
      </c>
      <c r="G464" s="1">
        <v>42311</v>
      </c>
      <c r="H464">
        <v>41.27</v>
      </c>
      <c r="I464" s="1">
        <v>42311</v>
      </c>
      <c r="J464">
        <v>17.190000000000001</v>
      </c>
      <c r="K464" s="1">
        <v>42289</v>
      </c>
      <c r="L464">
        <v>94.840999999999994</v>
      </c>
    </row>
    <row r="465" spans="1:12" x14ac:dyDescent="0.25">
      <c r="A465" s="1">
        <v>42312</v>
      </c>
      <c r="B465">
        <v>15.51</v>
      </c>
      <c r="C465" s="1">
        <v>42312</v>
      </c>
      <c r="D465">
        <v>22.12</v>
      </c>
      <c r="E465" s="1">
        <v>42290</v>
      </c>
      <c r="F465">
        <v>76.334400000000002</v>
      </c>
      <c r="G465" s="1">
        <v>42312</v>
      </c>
      <c r="H465">
        <v>41.54</v>
      </c>
      <c r="I465" s="1">
        <v>42312</v>
      </c>
      <c r="J465">
        <v>18.02</v>
      </c>
      <c r="K465" s="1">
        <v>42290</v>
      </c>
      <c r="L465">
        <v>94.759</v>
      </c>
    </row>
    <row r="466" spans="1:12" x14ac:dyDescent="0.25">
      <c r="A466" s="1">
        <v>42313</v>
      </c>
      <c r="B466">
        <v>15.05</v>
      </c>
      <c r="C466" s="1">
        <v>42313</v>
      </c>
      <c r="D466">
        <v>22.29</v>
      </c>
      <c r="E466" s="1">
        <v>42291</v>
      </c>
      <c r="F466">
        <v>74.804400000000001</v>
      </c>
      <c r="G466" s="1">
        <v>42313</v>
      </c>
      <c r="H466">
        <v>39.29</v>
      </c>
      <c r="I466" s="1">
        <v>42313</v>
      </c>
      <c r="J466">
        <v>17.82</v>
      </c>
      <c r="K466" s="1">
        <v>42291</v>
      </c>
      <c r="L466">
        <v>93.930999999999997</v>
      </c>
    </row>
    <row r="467" spans="1:12" x14ac:dyDescent="0.25">
      <c r="A467" s="1">
        <v>42314</v>
      </c>
      <c r="B467">
        <v>14.33</v>
      </c>
      <c r="C467" s="1">
        <v>42314</v>
      </c>
      <c r="D467">
        <v>22.8</v>
      </c>
      <c r="E467" s="1">
        <v>42292</v>
      </c>
      <c r="F467">
        <v>74.608400000000003</v>
      </c>
      <c r="G467" s="1">
        <v>42314</v>
      </c>
      <c r="H467">
        <v>39.85</v>
      </c>
      <c r="I467" s="1">
        <v>42314</v>
      </c>
      <c r="J467">
        <v>17.36</v>
      </c>
      <c r="K467" s="1">
        <v>42292</v>
      </c>
      <c r="L467">
        <v>94.370999999999995</v>
      </c>
    </row>
    <row r="468" spans="1:12" x14ac:dyDescent="0.25">
      <c r="A468" s="1">
        <v>42317</v>
      </c>
      <c r="B468">
        <v>16.52</v>
      </c>
      <c r="C468" s="1">
        <v>42317</v>
      </c>
      <c r="D468">
        <v>24.49</v>
      </c>
      <c r="E468" s="1">
        <v>42293</v>
      </c>
      <c r="F468">
        <v>74.6965</v>
      </c>
      <c r="G468" s="1">
        <v>42317</v>
      </c>
      <c r="H468">
        <v>41.34</v>
      </c>
      <c r="I468" s="1">
        <v>42317</v>
      </c>
      <c r="J468">
        <v>17.55</v>
      </c>
      <c r="K468" s="1">
        <v>42293</v>
      </c>
      <c r="L468">
        <v>94.54</v>
      </c>
    </row>
    <row r="469" spans="1:12" x14ac:dyDescent="0.25">
      <c r="A469" s="1">
        <v>42318</v>
      </c>
      <c r="B469">
        <v>15.29</v>
      </c>
      <c r="C469" s="1">
        <v>42318</v>
      </c>
      <c r="D469">
        <v>24.09</v>
      </c>
      <c r="E469" s="1">
        <v>42296</v>
      </c>
      <c r="F469">
        <v>70.968800000000002</v>
      </c>
      <c r="G469" s="1">
        <v>42318</v>
      </c>
      <c r="H469">
        <v>39.340000000000003</v>
      </c>
      <c r="I469" s="1">
        <v>42318</v>
      </c>
      <c r="J469">
        <v>17.36</v>
      </c>
      <c r="K469" s="1">
        <v>42296</v>
      </c>
      <c r="L469">
        <v>94.927999999999997</v>
      </c>
    </row>
    <row r="470" spans="1:12" x14ac:dyDescent="0.25">
      <c r="A470" s="1">
        <v>42319</v>
      </c>
      <c r="B470">
        <v>16.059999999999999</v>
      </c>
      <c r="C470" s="1">
        <v>42319</v>
      </c>
      <c r="D470">
        <v>23.75</v>
      </c>
      <c r="E470" s="1">
        <v>42297</v>
      </c>
      <c r="F470">
        <v>71.108599999999996</v>
      </c>
      <c r="G470" s="1">
        <v>42319</v>
      </c>
      <c r="H470">
        <v>41.92</v>
      </c>
      <c r="I470" s="1">
        <v>42319</v>
      </c>
      <c r="J470">
        <v>17.89</v>
      </c>
      <c r="K470" s="1">
        <v>42297</v>
      </c>
      <c r="L470">
        <v>94.912999999999997</v>
      </c>
    </row>
    <row r="471" spans="1:12" x14ac:dyDescent="0.25">
      <c r="A471" s="1">
        <v>42320</v>
      </c>
      <c r="B471">
        <v>18.37</v>
      </c>
      <c r="C471" s="1">
        <v>42320</v>
      </c>
      <c r="D471">
        <v>24.62</v>
      </c>
      <c r="E471" s="1">
        <v>42298</v>
      </c>
      <c r="F471">
        <v>69.669899999999998</v>
      </c>
      <c r="G471" s="1">
        <v>42320</v>
      </c>
      <c r="H471">
        <v>43.93</v>
      </c>
      <c r="I471" s="1">
        <v>42320</v>
      </c>
      <c r="J471">
        <v>18.47</v>
      </c>
      <c r="K471" s="1">
        <v>42298</v>
      </c>
      <c r="L471">
        <v>95.034999999999997</v>
      </c>
    </row>
    <row r="472" spans="1:12" x14ac:dyDescent="0.25">
      <c r="A472" s="1">
        <v>42321</v>
      </c>
      <c r="B472">
        <v>20.079999999999998</v>
      </c>
      <c r="C472" s="1">
        <v>42321</v>
      </c>
      <c r="D472">
        <v>25.92</v>
      </c>
      <c r="E472" s="1">
        <v>42299</v>
      </c>
      <c r="F472">
        <v>69.973600000000005</v>
      </c>
      <c r="G472" s="1">
        <v>42321</v>
      </c>
      <c r="H472">
        <v>46.26</v>
      </c>
      <c r="I472" s="1">
        <v>42321</v>
      </c>
      <c r="J472">
        <v>18.29</v>
      </c>
      <c r="K472" s="1">
        <v>42299</v>
      </c>
      <c r="L472">
        <v>96.378</v>
      </c>
    </row>
    <row r="473" spans="1:12" x14ac:dyDescent="0.25">
      <c r="A473" s="1">
        <v>42324</v>
      </c>
      <c r="B473">
        <v>18.16</v>
      </c>
      <c r="C473" s="1">
        <v>42324</v>
      </c>
      <c r="D473">
        <v>24.15</v>
      </c>
      <c r="E473" s="1">
        <v>42300</v>
      </c>
      <c r="F473">
        <v>70.808499999999995</v>
      </c>
      <c r="G473" s="1">
        <v>42324</v>
      </c>
      <c r="H473">
        <v>47.44</v>
      </c>
      <c r="I473" s="1">
        <v>42324</v>
      </c>
      <c r="J473">
        <v>18.5</v>
      </c>
      <c r="K473" s="1">
        <v>42300</v>
      </c>
      <c r="L473">
        <v>97.126999999999995</v>
      </c>
    </row>
    <row r="474" spans="1:12" x14ac:dyDescent="0.25">
      <c r="A474" s="1">
        <v>42325</v>
      </c>
      <c r="B474">
        <v>18.84</v>
      </c>
      <c r="C474" s="1">
        <v>42325</v>
      </c>
      <c r="D474">
        <v>24</v>
      </c>
      <c r="E474" s="1">
        <v>42303</v>
      </c>
      <c r="F474">
        <v>69.678600000000003</v>
      </c>
      <c r="G474" s="1">
        <v>42325</v>
      </c>
      <c r="H474">
        <v>46.63</v>
      </c>
      <c r="I474" s="1">
        <v>42325</v>
      </c>
      <c r="J474">
        <v>20.170000000000002</v>
      </c>
      <c r="K474" s="1">
        <v>42303</v>
      </c>
      <c r="L474">
        <v>96.861000000000004</v>
      </c>
    </row>
    <row r="475" spans="1:12" x14ac:dyDescent="0.25">
      <c r="A475" s="1">
        <v>42326</v>
      </c>
      <c r="B475">
        <v>16.850000000000001</v>
      </c>
      <c r="C475" s="1">
        <v>42326</v>
      </c>
      <c r="D475">
        <v>22.49</v>
      </c>
      <c r="E475" s="1">
        <v>42304</v>
      </c>
      <c r="F475">
        <v>69.802599999999998</v>
      </c>
      <c r="G475" s="1">
        <v>42326</v>
      </c>
      <c r="H475">
        <v>43.53</v>
      </c>
      <c r="I475" s="1">
        <v>42326</v>
      </c>
      <c r="J475">
        <v>19.399999999999999</v>
      </c>
      <c r="K475" s="1">
        <v>42304</v>
      </c>
      <c r="L475">
        <v>96.906000000000006</v>
      </c>
    </row>
    <row r="476" spans="1:12" x14ac:dyDescent="0.25">
      <c r="A476" s="1">
        <v>42327</v>
      </c>
      <c r="B476">
        <v>16.989999999999998</v>
      </c>
      <c r="C476" s="1">
        <v>42327</v>
      </c>
      <c r="D476">
        <v>22.54</v>
      </c>
      <c r="E476" s="1">
        <v>42305</v>
      </c>
      <c r="F476">
        <v>70.266599999999997</v>
      </c>
      <c r="G476" s="1">
        <v>42327</v>
      </c>
      <c r="H476">
        <v>43.75</v>
      </c>
      <c r="I476" s="1">
        <v>42327</v>
      </c>
      <c r="J476">
        <v>18.04</v>
      </c>
      <c r="K476" s="1">
        <v>42305</v>
      </c>
      <c r="L476">
        <v>97.781999999999996</v>
      </c>
    </row>
    <row r="477" spans="1:12" x14ac:dyDescent="0.25">
      <c r="A477" s="1">
        <v>42328</v>
      </c>
      <c r="B477">
        <v>15.47</v>
      </c>
      <c r="C477" s="1">
        <v>42328</v>
      </c>
      <c r="D477">
        <v>21.13</v>
      </c>
      <c r="E477" s="1">
        <v>42306</v>
      </c>
      <c r="F477">
        <v>73.122</v>
      </c>
      <c r="G477" s="1">
        <v>42328</v>
      </c>
      <c r="H477">
        <v>44.93</v>
      </c>
      <c r="I477" s="1">
        <v>42328</v>
      </c>
      <c r="J477">
        <v>17.260000000000002</v>
      </c>
      <c r="K477" s="1">
        <v>42306</v>
      </c>
      <c r="L477">
        <v>97.281999999999996</v>
      </c>
    </row>
    <row r="478" spans="1:12" x14ac:dyDescent="0.25">
      <c r="A478" s="1">
        <v>42331</v>
      </c>
      <c r="B478">
        <v>15.62</v>
      </c>
      <c r="C478" s="1">
        <v>42331</v>
      </c>
      <c r="D478">
        <v>21.49</v>
      </c>
      <c r="E478" s="1">
        <v>42307</v>
      </c>
      <c r="F478">
        <v>73.0792</v>
      </c>
      <c r="G478" s="1">
        <v>42331</v>
      </c>
      <c r="H478">
        <v>45.84</v>
      </c>
      <c r="I478" s="1">
        <v>42331</v>
      </c>
      <c r="J478">
        <v>17.7</v>
      </c>
      <c r="K478" s="1">
        <v>42307</v>
      </c>
      <c r="L478">
        <v>96.945999999999998</v>
      </c>
    </row>
    <row r="479" spans="1:12" x14ac:dyDescent="0.25">
      <c r="A479" s="1">
        <v>42332</v>
      </c>
      <c r="B479">
        <v>15.93</v>
      </c>
      <c r="C479" s="1">
        <v>42332</v>
      </c>
      <c r="D479">
        <v>21.62</v>
      </c>
      <c r="E479" s="1">
        <v>42310</v>
      </c>
      <c r="F479">
        <v>73.208600000000004</v>
      </c>
      <c r="G479" s="1">
        <v>42332</v>
      </c>
      <c r="H479">
        <v>47.17</v>
      </c>
      <c r="I479" s="1">
        <v>42332</v>
      </c>
      <c r="J479">
        <v>16.72</v>
      </c>
      <c r="K479" s="1">
        <v>42310</v>
      </c>
      <c r="L479">
        <v>96.927999999999997</v>
      </c>
    </row>
    <row r="480" spans="1:12" x14ac:dyDescent="0.25">
      <c r="A480" s="1">
        <v>42333</v>
      </c>
      <c r="B480">
        <v>15.19</v>
      </c>
      <c r="C480" s="1">
        <v>42333</v>
      </c>
      <c r="D480">
        <v>21.95</v>
      </c>
      <c r="E480" s="1">
        <v>42311</v>
      </c>
      <c r="F480">
        <v>73.296199999999999</v>
      </c>
      <c r="G480" s="1">
        <v>42333</v>
      </c>
      <c r="H480">
        <v>48.46</v>
      </c>
      <c r="I480" s="1">
        <v>42333</v>
      </c>
      <c r="J480">
        <v>16.39</v>
      </c>
      <c r="K480" s="1">
        <v>42311</v>
      </c>
      <c r="L480">
        <v>97.158000000000001</v>
      </c>
    </row>
    <row r="481" spans="1:12" x14ac:dyDescent="0.25">
      <c r="A481" s="1">
        <v>42335</v>
      </c>
      <c r="B481">
        <v>15.12</v>
      </c>
      <c r="C481" s="1">
        <v>42335</v>
      </c>
      <c r="D481">
        <v>23.44</v>
      </c>
      <c r="E481" s="1">
        <v>42312</v>
      </c>
      <c r="F481">
        <v>77.587500000000006</v>
      </c>
      <c r="G481" s="1">
        <v>42335</v>
      </c>
      <c r="H481">
        <v>48.28</v>
      </c>
      <c r="I481" s="1">
        <v>42335</v>
      </c>
      <c r="J481">
        <v>17.16</v>
      </c>
      <c r="K481" s="1">
        <v>42312</v>
      </c>
      <c r="L481">
        <v>97.95</v>
      </c>
    </row>
    <row r="482" spans="1:12" x14ac:dyDescent="0.25">
      <c r="A482" s="1">
        <v>42338</v>
      </c>
      <c r="B482">
        <v>16.13</v>
      </c>
      <c r="C482" s="1">
        <v>42338</v>
      </c>
      <c r="D482">
        <v>24.25</v>
      </c>
      <c r="E482" s="1">
        <v>42313</v>
      </c>
      <c r="F482">
        <v>76.727999999999994</v>
      </c>
      <c r="G482" s="1">
        <v>42338</v>
      </c>
      <c r="H482">
        <v>48.14</v>
      </c>
      <c r="I482" s="1">
        <v>42338</v>
      </c>
      <c r="J482">
        <v>16.91</v>
      </c>
      <c r="K482" s="1">
        <v>42313</v>
      </c>
      <c r="L482">
        <v>97.936000000000007</v>
      </c>
    </row>
    <row r="483" spans="1:12" x14ac:dyDescent="0.25">
      <c r="A483" s="1">
        <v>42339</v>
      </c>
      <c r="B483">
        <v>14.67</v>
      </c>
      <c r="C483" s="1">
        <v>42339</v>
      </c>
      <c r="D483">
        <v>23.71</v>
      </c>
      <c r="E483" s="1">
        <v>42314</v>
      </c>
      <c r="F483">
        <v>74.254199999999997</v>
      </c>
      <c r="G483" s="1">
        <v>42339</v>
      </c>
      <c r="H483">
        <v>49.28</v>
      </c>
      <c r="I483" s="1">
        <v>42339</v>
      </c>
      <c r="J483">
        <v>16.62</v>
      </c>
      <c r="K483" s="1">
        <v>42314</v>
      </c>
      <c r="L483">
        <v>99.168000000000006</v>
      </c>
    </row>
    <row r="484" spans="1:12" x14ac:dyDescent="0.25">
      <c r="A484" s="1">
        <v>42340</v>
      </c>
      <c r="B484">
        <v>15.91</v>
      </c>
      <c r="C484" s="1">
        <v>42340</v>
      </c>
      <c r="D484">
        <v>24.22</v>
      </c>
      <c r="E484" s="1">
        <v>42317</v>
      </c>
      <c r="F484">
        <v>71.779499999999999</v>
      </c>
      <c r="G484" s="1">
        <v>42340</v>
      </c>
      <c r="H484">
        <v>51.96</v>
      </c>
      <c r="I484" s="1">
        <v>42340</v>
      </c>
      <c r="J484">
        <v>17.36</v>
      </c>
      <c r="K484" s="1">
        <v>42317</v>
      </c>
      <c r="L484">
        <v>98.978999999999999</v>
      </c>
    </row>
    <row r="485" spans="1:12" x14ac:dyDescent="0.25">
      <c r="A485" s="1">
        <v>42341</v>
      </c>
      <c r="B485">
        <v>18.11</v>
      </c>
      <c r="C485" s="1">
        <v>42341</v>
      </c>
      <c r="D485">
        <v>24.53</v>
      </c>
      <c r="E485" s="1">
        <v>42318</v>
      </c>
      <c r="F485">
        <v>70.477199999999996</v>
      </c>
      <c r="G485" s="1">
        <v>42341</v>
      </c>
      <c r="H485">
        <v>50.65</v>
      </c>
      <c r="I485" s="1">
        <v>42341</v>
      </c>
      <c r="J485">
        <v>17.760000000000002</v>
      </c>
      <c r="K485" s="1">
        <v>42318</v>
      </c>
      <c r="L485">
        <v>99.293000000000006</v>
      </c>
    </row>
    <row r="486" spans="1:12" x14ac:dyDescent="0.25">
      <c r="A486" s="1">
        <v>42342</v>
      </c>
      <c r="B486">
        <v>14.81</v>
      </c>
      <c r="C486" s="1">
        <v>42342</v>
      </c>
      <c r="D486">
        <v>22.94</v>
      </c>
      <c r="E486" s="1">
        <v>42319</v>
      </c>
      <c r="F486">
        <v>70.477199999999996</v>
      </c>
      <c r="G486" s="1">
        <v>42342</v>
      </c>
      <c r="H486">
        <v>45.44</v>
      </c>
      <c r="I486" s="1">
        <v>42342</v>
      </c>
      <c r="J486">
        <v>15.96</v>
      </c>
      <c r="K486" s="1">
        <v>42319</v>
      </c>
      <c r="L486">
        <v>99.013000000000005</v>
      </c>
    </row>
    <row r="487" spans="1:12" x14ac:dyDescent="0.25">
      <c r="A487" s="1">
        <v>42345</v>
      </c>
      <c r="B487">
        <v>15.84</v>
      </c>
      <c r="C487" s="1">
        <v>42345</v>
      </c>
      <c r="D487">
        <v>24.26</v>
      </c>
      <c r="E487" s="1">
        <v>42320</v>
      </c>
      <c r="F487">
        <v>69.451700000000002</v>
      </c>
      <c r="G487" s="1">
        <v>42345</v>
      </c>
      <c r="H487">
        <v>49</v>
      </c>
      <c r="I487" s="1">
        <v>42345</v>
      </c>
      <c r="J487">
        <v>16.23</v>
      </c>
      <c r="K487" s="1">
        <v>42320</v>
      </c>
      <c r="L487">
        <v>98.649000000000001</v>
      </c>
    </row>
    <row r="488" spans="1:12" x14ac:dyDescent="0.25">
      <c r="A488" s="1">
        <v>42346</v>
      </c>
      <c r="B488">
        <v>17.600000000000001</v>
      </c>
      <c r="C488" s="1">
        <v>42346</v>
      </c>
      <c r="D488">
        <v>26.37</v>
      </c>
      <c r="E488" s="1">
        <v>42321</v>
      </c>
      <c r="F488">
        <v>68.3001</v>
      </c>
      <c r="G488" s="1">
        <v>42346</v>
      </c>
      <c r="H488">
        <v>50.34</v>
      </c>
      <c r="I488" s="1">
        <v>42346</v>
      </c>
      <c r="J488">
        <v>16.12</v>
      </c>
      <c r="K488" s="1">
        <v>42321</v>
      </c>
      <c r="L488">
        <v>98.998000000000005</v>
      </c>
    </row>
    <row r="489" spans="1:12" x14ac:dyDescent="0.25">
      <c r="A489" s="1">
        <v>42347</v>
      </c>
      <c r="B489">
        <v>19.61</v>
      </c>
      <c r="C489" s="1">
        <v>42347</v>
      </c>
      <c r="D489">
        <v>27.6</v>
      </c>
      <c r="E489" s="1">
        <v>42324</v>
      </c>
      <c r="F489">
        <v>67.686300000000003</v>
      </c>
      <c r="G489" s="1">
        <v>42347</v>
      </c>
      <c r="H489">
        <v>51.53</v>
      </c>
      <c r="I489" s="1">
        <v>42347</v>
      </c>
      <c r="J489">
        <v>17.39</v>
      </c>
      <c r="K489" s="1">
        <v>42324</v>
      </c>
      <c r="L489">
        <v>99.441999999999993</v>
      </c>
    </row>
    <row r="490" spans="1:12" x14ac:dyDescent="0.25">
      <c r="A490" s="1">
        <v>42348</v>
      </c>
      <c r="B490">
        <v>19.34</v>
      </c>
      <c r="C490" s="1">
        <v>42348</v>
      </c>
      <c r="D490">
        <v>26.25</v>
      </c>
      <c r="E490" s="1">
        <v>42325</v>
      </c>
      <c r="F490">
        <v>72.332300000000004</v>
      </c>
      <c r="G490" s="1">
        <v>42348</v>
      </c>
      <c r="H490">
        <v>51.23</v>
      </c>
      <c r="I490" s="1">
        <v>42348</v>
      </c>
      <c r="J490">
        <v>17.07</v>
      </c>
      <c r="K490" s="1">
        <v>42325</v>
      </c>
      <c r="L490">
        <v>99.631</v>
      </c>
    </row>
    <row r="491" spans="1:12" x14ac:dyDescent="0.25">
      <c r="A491" s="1">
        <v>42349</v>
      </c>
      <c r="B491">
        <v>24.39</v>
      </c>
      <c r="C491" s="1">
        <v>42349</v>
      </c>
      <c r="D491">
        <v>30.43</v>
      </c>
      <c r="E491" s="1">
        <v>42326</v>
      </c>
      <c r="F491">
        <v>71.650300000000001</v>
      </c>
      <c r="G491" s="1">
        <v>42349</v>
      </c>
      <c r="H491">
        <v>54.29</v>
      </c>
      <c r="I491" s="1">
        <v>42349</v>
      </c>
      <c r="J491">
        <v>18.16</v>
      </c>
      <c r="K491" s="1">
        <v>42326</v>
      </c>
      <c r="L491">
        <v>99.652000000000001</v>
      </c>
    </row>
    <row r="492" spans="1:12" x14ac:dyDescent="0.25">
      <c r="A492" s="1">
        <v>42352</v>
      </c>
      <c r="B492">
        <v>22.73</v>
      </c>
      <c r="C492" s="1">
        <v>42352</v>
      </c>
      <c r="D492">
        <v>29.37</v>
      </c>
      <c r="E492" s="1">
        <v>42327</v>
      </c>
      <c r="F492">
        <v>70.535300000000007</v>
      </c>
      <c r="G492" s="1">
        <v>42352</v>
      </c>
      <c r="H492">
        <v>55.36</v>
      </c>
      <c r="I492" s="1">
        <v>42352</v>
      </c>
      <c r="J492">
        <v>19.05</v>
      </c>
      <c r="K492" s="1">
        <v>42327</v>
      </c>
      <c r="L492">
        <v>98.989000000000004</v>
      </c>
    </row>
    <row r="493" spans="1:12" x14ac:dyDescent="0.25">
      <c r="A493" s="1">
        <v>42353</v>
      </c>
      <c r="B493">
        <v>20.95</v>
      </c>
      <c r="C493" s="1">
        <v>42353</v>
      </c>
      <c r="D493">
        <v>28.09</v>
      </c>
      <c r="E493" s="1">
        <v>42328</v>
      </c>
      <c r="F493">
        <v>70.5107</v>
      </c>
      <c r="G493" s="1">
        <v>42353</v>
      </c>
      <c r="H493">
        <v>50.03</v>
      </c>
      <c r="I493" s="1">
        <v>42353</v>
      </c>
      <c r="J493">
        <v>18.09</v>
      </c>
      <c r="K493" s="1">
        <v>42328</v>
      </c>
      <c r="L493">
        <v>99.564999999999998</v>
      </c>
    </row>
    <row r="494" spans="1:12" x14ac:dyDescent="0.25">
      <c r="A494" s="1">
        <v>42354</v>
      </c>
      <c r="B494">
        <v>17.86</v>
      </c>
      <c r="C494" s="1">
        <v>42354</v>
      </c>
      <c r="D494">
        <v>24.84</v>
      </c>
      <c r="E494" s="1">
        <v>42331</v>
      </c>
      <c r="F494">
        <v>70.803100000000001</v>
      </c>
      <c r="G494" s="1">
        <v>42354</v>
      </c>
      <c r="H494">
        <v>47.64</v>
      </c>
      <c r="I494" s="1">
        <v>42354</v>
      </c>
      <c r="J494">
        <v>15.41</v>
      </c>
      <c r="K494" s="1">
        <v>42331</v>
      </c>
      <c r="L494">
        <v>99.802999999999997</v>
      </c>
    </row>
    <row r="495" spans="1:12" x14ac:dyDescent="0.25">
      <c r="A495" s="1">
        <v>42355</v>
      </c>
      <c r="B495">
        <v>18.940000000000001</v>
      </c>
      <c r="C495" s="1">
        <v>42355</v>
      </c>
      <c r="D495">
        <v>24.19</v>
      </c>
      <c r="E495" s="1">
        <v>42332</v>
      </c>
      <c r="F495">
        <v>70.881100000000004</v>
      </c>
      <c r="G495" s="1">
        <v>42355</v>
      </c>
      <c r="H495">
        <v>47.45</v>
      </c>
      <c r="I495" s="1">
        <v>42355</v>
      </c>
      <c r="J495">
        <v>16.059999999999999</v>
      </c>
      <c r="K495" s="1">
        <v>42332</v>
      </c>
      <c r="L495">
        <v>99.527000000000001</v>
      </c>
    </row>
    <row r="496" spans="1:12" x14ac:dyDescent="0.25">
      <c r="A496" s="1">
        <v>42356</v>
      </c>
      <c r="B496">
        <v>20.7</v>
      </c>
      <c r="C496" s="1">
        <v>42356</v>
      </c>
      <c r="D496">
        <v>25.04</v>
      </c>
      <c r="E496" s="1">
        <v>42333</v>
      </c>
      <c r="F496">
        <v>70.044399999999996</v>
      </c>
      <c r="G496" s="1">
        <v>42356</v>
      </c>
      <c r="H496">
        <v>49.43</v>
      </c>
      <c r="I496" s="1">
        <v>42356</v>
      </c>
      <c r="J496">
        <v>15.06</v>
      </c>
      <c r="K496" s="1">
        <v>42333</v>
      </c>
      <c r="L496">
        <v>99.795000000000002</v>
      </c>
    </row>
    <row r="497" spans="1:12" x14ac:dyDescent="0.25">
      <c r="A497" s="1">
        <v>42359</v>
      </c>
      <c r="B497">
        <v>18.7</v>
      </c>
      <c r="C497" s="1">
        <v>42359</v>
      </c>
      <c r="D497">
        <v>24.34</v>
      </c>
      <c r="E497" s="1">
        <v>42334</v>
      </c>
      <c r="F497">
        <v>70.044399999999996</v>
      </c>
      <c r="G497" s="1">
        <v>42359</v>
      </c>
      <c r="H497">
        <v>49.18</v>
      </c>
      <c r="I497" s="1">
        <v>42359</v>
      </c>
      <c r="J497">
        <v>15.32</v>
      </c>
      <c r="K497" s="1">
        <v>42334</v>
      </c>
      <c r="L497">
        <v>99.795000000000002</v>
      </c>
    </row>
    <row r="498" spans="1:12" x14ac:dyDescent="0.25">
      <c r="A498" s="1">
        <v>42360</v>
      </c>
      <c r="B498">
        <v>16.600000000000001</v>
      </c>
      <c r="C498" s="1">
        <v>42360</v>
      </c>
      <c r="D498">
        <v>23.2</v>
      </c>
      <c r="E498" s="1">
        <v>42335</v>
      </c>
      <c r="F498">
        <v>69.608599999999996</v>
      </c>
      <c r="G498" s="1">
        <v>42360</v>
      </c>
      <c r="H498">
        <v>48.84</v>
      </c>
      <c r="I498" s="1">
        <v>42360</v>
      </c>
      <c r="J498">
        <v>15.17</v>
      </c>
      <c r="K498" s="1">
        <v>42335</v>
      </c>
      <c r="L498">
        <v>100.02</v>
      </c>
    </row>
    <row r="499" spans="1:12" x14ac:dyDescent="0.25">
      <c r="A499" s="1">
        <v>42361</v>
      </c>
      <c r="B499">
        <v>15.57</v>
      </c>
      <c r="C499" s="1">
        <v>42361</v>
      </c>
      <c r="D499">
        <v>22.49</v>
      </c>
      <c r="E499" s="1">
        <v>42338</v>
      </c>
      <c r="F499">
        <v>69.895200000000003</v>
      </c>
      <c r="G499" s="1">
        <v>42361</v>
      </c>
      <c r="H499">
        <v>47.39</v>
      </c>
      <c r="I499" s="1">
        <v>42361</v>
      </c>
      <c r="J499">
        <v>14.94</v>
      </c>
      <c r="K499" s="1">
        <v>42338</v>
      </c>
      <c r="L499">
        <v>100.17</v>
      </c>
    </row>
    <row r="500" spans="1:12" x14ac:dyDescent="0.25">
      <c r="A500" s="1">
        <v>42362</v>
      </c>
      <c r="B500">
        <v>15.74</v>
      </c>
      <c r="C500" s="1">
        <v>42362</v>
      </c>
      <c r="D500">
        <v>22.06</v>
      </c>
      <c r="E500" s="1">
        <v>42339</v>
      </c>
      <c r="F500">
        <v>70.976200000000006</v>
      </c>
      <c r="G500" s="1">
        <v>42362</v>
      </c>
      <c r="H500">
        <v>44.81</v>
      </c>
      <c r="I500" s="1">
        <v>42362</v>
      </c>
      <c r="J500">
        <v>15.02</v>
      </c>
      <c r="K500" s="1">
        <v>42339</v>
      </c>
      <c r="L500">
        <v>99.795000000000002</v>
      </c>
    </row>
    <row r="501" spans="1:12" x14ac:dyDescent="0.25">
      <c r="A501" s="1">
        <v>42366</v>
      </c>
      <c r="B501">
        <v>16.91</v>
      </c>
      <c r="C501" s="1">
        <v>42366</v>
      </c>
      <c r="D501">
        <v>23.61</v>
      </c>
      <c r="E501" s="1">
        <v>42340</v>
      </c>
      <c r="F501">
        <v>72.311000000000007</v>
      </c>
      <c r="G501" s="1">
        <v>42366</v>
      </c>
      <c r="H501">
        <v>47</v>
      </c>
      <c r="I501" s="1">
        <v>42366</v>
      </c>
      <c r="J501">
        <v>16.059999999999999</v>
      </c>
      <c r="K501" s="1">
        <v>42340</v>
      </c>
      <c r="L501">
        <v>99.992999999999995</v>
      </c>
    </row>
    <row r="502" spans="1:12" x14ac:dyDescent="0.25">
      <c r="A502" s="1">
        <v>42367</v>
      </c>
      <c r="B502">
        <v>16.079999999999998</v>
      </c>
      <c r="C502" s="1">
        <v>42367</v>
      </c>
      <c r="D502">
        <v>22.85</v>
      </c>
      <c r="E502" s="1">
        <v>42341</v>
      </c>
      <c r="F502">
        <v>74.560500000000005</v>
      </c>
      <c r="G502" s="1">
        <v>42367</v>
      </c>
      <c r="H502">
        <v>45.27</v>
      </c>
      <c r="I502" s="1">
        <v>42367</v>
      </c>
      <c r="J502">
        <v>15.22</v>
      </c>
      <c r="K502" s="1">
        <v>42341</v>
      </c>
      <c r="L502">
        <v>97.620999999999995</v>
      </c>
    </row>
    <row r="503" spans="1:12" x14ac:dyDescent="0.25">
      <c r="A503" s="1">
        <v>42368</v>
      </c>
      <c r="B503">
        <v>17.29</v>
      </c>
      <c r="C503" s="1">
        <v>42368</v>
      </c>
      <c r="D503">
        <v>23.43</v>
      </c>
      <c r="E503" s="1">
        <v>42342</v>
      </c>
      <c r="F503">
        <v>71.263999999999996</v>
      </c>
      <c r="G503" s="1">
        <v>42368</v>
      </c>
      <c r="H503">
        <v>46.01</v>
      </c>
      <c r="I503" s="1">
        <v>42368</v>
      </c>
      <c r="J503">
        <v>15.25</v>
      </c>
      <c r="K503" s="1">
        <v>42342</v>
      </c>
      <c r="L503">
        <v>98.353999999999999</v>
      </c>
    </row>
    <row r="504" spans="1:12" x14ac:dyDescent="0.25">
      <c r="A504" s="1">
        <v>42369</v>
      </c>
      <c r="B504">
        <v>18.21</v>
      </c>
      <c r="C504" s="1">
        <v>42369</v>
      </c>
      <c r="D504">
        <v>22.91</v>
      </c>
      <c r="E504" s="1">
        <v>42345</v>
      </c>
      <c r="F504">
        <v>70.560400000000001</v>
      </c>
      <c r="G504" s="1">
        <v>42369</v>
      </c>
      <c r="H504">
        <v>46.57</v>
      </c>
      <c r="I504" s="1">
        <v>42369</v>
      </c>
      <c r="J504">
        <v>14.99</v>
      </c>
      <c r="K504" s="1">
        <v>42345</v>
      </c>
      <c r="L504">
        <v>98.655000000000001</v>
      </c>
    </row>
    <row r="505" spans="1:12" x14ac:dyDescent="0.25">
      <c r="A505" s="1">
        <v>42373</v>
      </c>
      <c r="B505">
        <v>20.7</v>
      </c>
      <c r="C505" s="1">
        <v>42373</v>
      </c>
      <c r="D505">
        <v>26.53</v>
      </c>
      <c r="E505" s="1">
        <v>42346</v>
      </c>
      <c r="F505">
        <v>72.712100000000007</v>
      </c>
      <c r="G505" s="1">
        <v>42373</v>
      </c>
      <c r="H505">
        <v>49.79</v>
      </c>
      <c r="I505" s="1">
        <v>42373</v>
      </c>
      <c r="J505">
        <v>16.07</v>
      </c>
      <c r="K505" s="1">
        <v>42346</v>
      </c>
      <c r="L505">
        <v>98.474000000000004</v>
      </c>
    </row>
    <row r="506" spans="1:12" x14ac:dyDescent="0.25">
      <c r="A506" s="1">
        <v>42374</v>
      </c>
      <c r="B506">
        <v>19.34</v>
      </c>
      <c r="C506" s="1">
        <v>42374</v>
      </c>
      <c r="D506">
        <v>25.28</v>
      </c>
      <c r="E506" s="1">
        <v>42347</v>
      </c>
      <c r="F506">
        <v>72.399299999999997</v>
      </c>
      <c r="G506" s="1">
        <v>42374</v>
      </c>
      <c r="H506">
        <v>49.68</v>
      </c>
      <c r="I506" s="1">
        <v>42374</v>
      </c>
      <c r="J506">
        <v>15.2</v>
      </c>
      <c r="K506" s="1">
        <v>42347</v>
      </c>
      <c r="L506">
        <v>97.344999999999999</v>
      </c>
    </row>
    <row r="507" spans="1:12" x14ac:dyDescent="0.25">
      <c r="A507" s="1">
        <v>42375</v>
      </c>
      <c r="B507">
        <v>20.59</v>
      </c>
      <c r="C507" s="1">
        <v>42375</v>
      </c>
      <c r="D507">
        <v>26.34</v>
      </c>
      <c r="E507" s="1">
        <v>42348</v>
      </c>
      <c r="F507">
        <v>72.3172</v>
      </c>
      <c r="G507" s="1">
        <v>42375</v>
      </c>
      <c r="H507">
        <v>52.36</v>
      </c>
      <c r="I507" s="1">
        <v>42375</v>
      </c>
      <c r="J507">
        <v>16.3</v>
      </c>
      <c r="K507" s="1">
        <v>42348</v>
      </c>
      <c r="L507">
        <v>97.938999999999993</v>
      </c>
    </row>
    <row r="508" spans="1:12" x14ac:dyDescent="0.25">
      <c r="A508" s="1">
        <v>42376</v>
      </c>
      <c r="B508">
        <v>24.99</v>
      </c>
      <c r="C508" s="1">
        <v>42376</v>
      </c>
      <c r="D508">
        <v>32.590000000000003</v>
      </c>
      <c r="E508" s="1">
        <v>42349</v>
      </c>
      <c r="F508">
        <v>74.996600000000001</v>
      </c>
      <c r="G508" s="1">
        <v>42376</v>
      </c>
      <c r="H508">
        <v>56.15</v>
      </c>
      <c r="I508" s="1">
        <v>42376</v>
      </c>
      <c r="J508">
        <v>17.420000000000002</v>
      </c>
      <c r="K508" s="1">
        <v>42349</v>
      </c>
      <c r="L508">
        <v>97.564999999999998</v>
      </c>
    </row>
    <row r="509" spans="1:12" x14ac:dyDescent="0.25">
      <c r="A509" s="1">
        <v>42377</v>
      </c>
      <c r="B509">
        <v>27.01</v>
      </c>
      <c r="C509" s="1">
        <v>42377</v>
      </c>
      <c r="D509">
        <v>34.56</v>
      </c>
      <c r="E509" s="1">
        <v>42352</v>
      </c>
      <c r="F509">
        <v>78.247799999999998</v>
      </c>
      <c r="G509" s="1">
        <v>42377</v>
      </c>
      <c r="H509">
        <v>56.1</v>
      </c>
      <c r="I509" s="1">
        <v>42377</v>
      </c>
      <c r="J509">
        <v>17.62</v>
      </c>
      <c r="K509" s="1">
        <v>42352</v>
      </c>
      <c r="L509">
        <v>97.603999999999999</v>
      </c>
    </row>
    <row r="510" spans="1:12" x14ac:dyDescent="0.25">
      <c r="A510" s="1">
        <v>42380</v>
      </c>
      <c r="B510">
        <v>24.3</v>
      </c>
      <c r="C510" s="1">
        <v>42380</v>
      </c>
      <c r="D510">
        <v>32.33</v>
      </c>
      <c r="E510" s="1">
        <v>42353</v>
      </c>
      <c r="F510">
        <v>79.570400000000006</v>
      </c>
      <c r="G510" s="1">
        <v>42380</v>
      </c>
      <c r="H510">
        <v>62.98</v>
      </c>
      <c r="I510" s="1">
        <v>42380</v>
      </c>
      <c r="J510">
        <v>16.43</v>
      </c>
      <c r="K510" s="1">
        <v>42353</v>
      </c>
      <c r="L510">
        <v>98.216999999999999</v>
      </c>
    </row>
    <row r="511" spans="1:12" x14ac:dyDescent="0.25">
      <c r="A511" s="1">
        <v>42381</v>
      </c>
      <c r="B511">
        <v>22.47</v>
      </c>
      <c r="C511" s="1">
        <v>42381</v>
      </c>
      <c r="D511">
        <v>29.97</v>
      </c>
      <c r="E511" s="1">
        <v>42354</v>
      </c>
      <c r="F511">
        <v>70.213700000000003</v>
      </c>
      <c r="G511" s="1">
        <v>42381</v>
      </c>
      <c r="H511">
        <v>65.27</v>
      </c>
      <c r="I511" s="1">
        <v>42381</v>
      </c>
      <c r="J511">
        <v>16.61</v>
      </c>
      <c r="K511" s="1">
        <v>42354</v>
      </c>
      <c r="L511">
        <v>97.870999999999995</v>
      </c>
    </row>
    <row r="512" spans="1:12" x14ac:dyDescent="0.25">
      <c r="A512" s="1">
        <v>42382</v>
      </c>
      <c r="B512">
        <v>25.22</v>
      </c>
      <c r="C512" s="1">
        <v>42382</v>
      </c>
      <c r="D512">
        <v>30.87</v>
      </c>
      <c r="E512" s="1">
        <v>42355</v>
      </c>
      <c r="F512">
        <v>67.668400000000005</v>
      </c>
      <c r="G512" s="1">
        <v>42382</v>
      </c>
      <c r="H512">
        <v>60.67</v>
      </c>
      <c r="I512" s="1">
        <v>42382</v>
      </c>
      <c r="J512">
        <v>16.989999999999998</v>
      </c>
      <c r="K512" s="1">
        <v>42355</v>
      </c>
      <c r="L512">
        <v>99.27</v>
      </c>
    </row>
    <row r="513" spans="1:12" x14ac:dyDescent="0.25">
      <c r="A513" s="1">
        <v>42383</v>
      </c>
      <c r="B513">
        <v>23.95</v>
      </c>
      <c r="C513" s="1">
        <v>42383</v>
      </c>
      <c r="D513">
        <v>30.07</v>
      </c>
      <c r="E513" s="1">
        <v>42356</v>
      </c>
      <c r="F513">
        <v>67.812100000000001</v>
      </c>
      <c r="G513" s="1">
        <v>42383</v>
      </c>
      <c r="H513">
        <v>57.56</v>
      </c>
      <c r="I513" s="1">
        <v>42383</v>
      </c>
      <c r="J513">
        <v>16.16</v>
      </c>
      <c r="K513" s="1">
        <v>42356</v>
      </c>
      <c r="L513">
        <v>98.703000000000003</v>
      </c>
    </row>
    <row r="514" spans="1:12" x14ac:dyDescent="0.25">
      <c r="A514" s="1">
        <v>42384</v>
      </c>
      <c r="B514">
        <v>27.02</v>
      </c>
      <c r="C514" s="1">
        <v>42384</v>
      </c>
      <c r="D514">
        <v>35.24</v>
      </c>
      <c r="E514" s="1">
        <v>42359</v>
      </c>
      <c r="F514">
        <v>66.369900000000001</v>
      </c>
      <c r="G514" s="1">
        <v>42384</v>
      </c>
      <c r="H514">
        <v>62.09</v>
      </c>
      <c r="I514" s="1">
        <v>42384</v>
      </c>
      <c r="J514">
        <v>17.420000000000002</v>
      </c>
      <c r="K514" s="1">
        <v>42359</v>
      </c>
      <c r="L514">
        <v>98.363</v>
      </c>
    </row>
    <row r="515" spans="1:12" x14ac:dyDescent="0.25">
      <c r="A515" s="1">
        <v>42388</v>
      </c>
      <c r="B515">
        <v>26.05</v>
      </c>
      <c r="C515" s="1">
        <v>42388</v>
      </c>
      <c r="D515">
        <v>33.54</v>
      </c>
      <c r="E515" s="1">
        <v>42360</v>
      </c>
      <c r="F515">
        <v>66.895700000000005</v>
      </c>
      <c r="G515" s="1">
        <v>42388</v>
      </c>
      <c r="H515">
        <v>64.040000000000006</v>
      </c>
      <c r="I515" s="1">
        <v>42388</v>
      </c>
      <c r="J515">
        <v>16.170000000000002</v>
      </c>
      <c r="K515" s="1">
        <v>42360</v>
      </c>
      <c r="L515">
        <v>98.234999999999999</v>
      </c>
    </row>
    <row r="516" spans="1:12" x14ac:dyDescent="0.25">
      <c r="A516" s="1">
        <v>42389</v>
      </c>
      <c r="B516">
        <v>27.59</v>
      </c>
      <c r="C516" s="1">
        <v>42389</v>
      </c>
      <c r="D516">
        <v>36.409999999999997</v>
      </c>
      <c r="E516" s="1">
        <v>42361</v>
      </c>
      <c r="F516">
        <v>66.020099999999999</v>
      </c>
      <c r="G516" s="1">
        <v>42389</v>
      </c>
      <c r="H516">
        <v>67.930000000000007</v>
      </c>
      <c r="I516" s="1">
        <v>42389</v>
      </c>
      <c r="J516">
        <v>16.559999999999999</v>
      </c>
      <c r="K516" s="1">
        <v>42361</v>
      </c>
      <c r="L516">
        <v>98.340999999999994</v>
      </c>
    </row>
    <row r="517" spans="1:12" x14ac:dyDescent="0.25">
      <c r="A517" s="1">
        <v>42390</v>
      </c>
      <c r="B517">
        <v>26.69</v>
      </c>
      <c r="C517" s="1">
        <v>42390</v>
      </c>
      <c r="D517">
        <v>35.67</v>
      </c>
      <c r="E517" s="1">
        <v>42362</v>
      </c>
      <c r="F517">
        <v>65.465500000000006</v>
      </c>
      <c r="G517" s="1">
        <v>42390</v>
      </c>
      <c r="H517">
        <v>65.790000000000006</v>
      </c>
      <c r="I517" s="1">
        <v>42390</v>
      </c>
      <c r="J517">
        <v>16.77</v>
      </c>
      <c r="K517" s="1">
        <v>42362</v>
      </c>
      <c r="L517">
        <v>97.983999999999995</v>
      </c>
    </row>
    <row r="518" spans="1:12" x14ac:dyDescent="0.25">
      <c r="A518" s="1">
        <v>42391</v>
      </c>
      <c r="B518">
        <v>22.34</v>
      </c>
      <c r="C518" s="1">
        <v>42391</v>
      </c>
      <c r="D518">
        <v>31.69</v>
      </c>
      <c r="E518" s="1">
        <v>42363</v>
      </c>
      <c r="F518">
        <v>65.465500000000006</v>
      </c>
      <c r="G518" s="1">
        <v>42391</v>
      </c>
      <c r="H518">
        <v>61.86</v>
      </c>
      <c r="I518" s="1">
        <v>42391</v>
      </c>
      <c r="J518">
        <v>15.91</v>
      </c>
      <c r="K518" s="1">
        <v>42363</v>
      </c>
      <c r="L518">
        <v>97.846999999999994</v>
      </c>
    </row>
    <row r="519" spans="1:12" x14ac:dyDescent="0.25">
      <c r="A519" s="1">
        <v>42394</v>
      </c>
      <c r="B519">
        <v>24.15</v>
      </c>
      <c r="C519" s="1">
        <v>42394</v>
      </c>
      <c r="D519">
        <v>32.56</v>
      </c>
      <c r="E519" s="1">
        <v>42366</v>
      </c>
      <c r="F519">
        <v>67.210300000000004</v>
      </c>
      <c r="G519" s="1">
        <v>42394</v>
      </c>
      <c r="H519">
        <v>65.739999999999995</v>
      </c>
      <c r="I519" s="1">
        <v>42394</v>
      </c>
      <c r="J519">
        <v>17.13</v>
      </c>
      <c r="K519" s="1">
        <v>42366</v>
      </c>
      <c r="L519">
        <v>97.918999999999997</v>
      </c>
    </row>
    <row r="520" spans="1:12" x14ac:dyDescent="0.25">
      <c r="A520" s="1">
        <v>42395</v>
      </c>
      <c r="B520">
        <v>22.5</v>
      </c>
      <c r="C520" s="1">
        <v>42395</v>
      </c>
      <c r="D520">
        <v>31.59</v>
      </c>
      <c r="E520" s="1">
        <v>42367</v>
      </c>
      <c r="F520">
        <v>67.247699999999995</v>
      </c>
      <c r="G520" s="1">
        <v>42395</v>
      </c>
      <c r="H520">
        <v>65.89</v>
      </c>
      <c r="I520" s="1">
        <v>42395</v>
      </c>
      <c r="J520">
        <v>17.260000000000002</v>
      </c>
      <c r="K520" s="1">
        <v>42367</v>
      </c>
      <c r="L520">
        <v>98.100999999999999</v>
      </c>
    </row>
    <row r="521" spans="1:12" x14ac:dyDescent="0.25">
      <c r="A521" s="1">
        <v>42396</v>
      </c>
      <c r="B521">
        <v>23.11</v>
      </c>
      <c r="C521" s="1">
        <v>42396</v>
      </c>
      <c r="D521">
        <v>30.56</v>
      </c>
      <c r="E521" s="1">
        <v>42368</v>
      </c>
      <c r="F521">
        <v>67.345600000000005</v>
      </c>
      <c r="G521" s="1">
        <v>42396</v>
      </c>
      <c r="H521">
        <v>65.62</v>
      </c>
      <c r="I521" s="1">
        <v>42396</v>
      </c>
      <c r="J521">
        <v>16.71</v>
      </c>
      <c r="K521" s="1">
        <v>42368</v>
      </c>
      <c r="L521">
        <v>98.266000000000005</v>
      </c>
    </row>
    <row r="522" spans="1:12" x14ac:dyDescent="0.25">
      <c r="A522" s="1">
        <v>42397</v>
      </c>
      <c r="B522">
        <v>22.42</v>
      </c>
      <c r="C522" s="1">
        <v>42397</v>
      </c>
      <c r="D522">
        <v>30.18</v>
      </c>
      <c r="E522" s="1">
        <v>42369</v>
      </c>
      <c r="F522">
        <v>67.847300000000004</v>
      </c>
      <c r="G522" s="1">
        <v>42397</v>
      </c>
      <c r="H522">
        <v>65.989999999999995</v>
      </c>
      <c r="I522" s="1">
        <v>42397</v>
      </c>
      <c r="J522">
        <v>15.41</v>
      </c>
      <c r="K522" s="1">
        <v>42369</v>
      </c>
      <c r="L522">
        <v>98.631</v>
      </c>
    </row>
    <row r="523" spans="1:12" x14ac:dyDescent="0.25">
      <c r="A523" s="1">
        <v>42398</v>
      </c>
      <c r="B523">
        <v>20.2</v>
      </c>
      <c r="C523" s="1">
        <v>42398</v>
      </c>
      <c r="D523">
        <v>28.41</v>
      </c>
      <c r="E523" s="1">
        <v>42370</v>
      </c>
      <c r="F523">
        <v>67.847300000000004</v>
      </c>
      <c r="G523" s="1">
        <v>42398</v>
      </c>
      <c r="H523">
        <v>61.86</v>
      </c>
      <c r="I523" s="1">
        <v>42398</v>
      </c>
      <c r="J523">
        <v>15.73</v>
      </c>
      <c r="K523" s="1">
        <v>42370</v>
      </c>
      <c r="L523">
        <v>98.683000000000007</v>
      </c>
    </row>
    <row r="524" spans="1:12" x14ac:dyDescent="0.25">
      <c r="A524" s="1">
        <v>42401</v>
      </c>
      <c r="B524">
        <v>19.98</v>
      </c>
      <c r="C524" s="1">
        <v>42401</v>
      </c>
      <c r="D524">
        <v>29.22</v>
      </c>
      <c r="E524" s="1">
        <v>42373</v>
      </c>
      <c r="F524">
        <v>68.837699999999998</v>
      </c>
      <c r="G524" s="1">
        <v>42401</v>
      </c>
      <c r="H524">
        <v>66.63</v>
      </c>
      <c r="I524" s="1">
        <v>42401</v>
      </c>
      <c r="J524">
        <v>16.809999999999999</v>
      </c>
      <c r="K524" s="1">
        <v>42373</v>
      </c>
      <c r="L524">
        <v>98.869</v>
      </c>
    </row>
    <row r="525" spans="1:12" x14ac:dyDescent="0.25">
      <c r="A525" s="1">
        <v>42402</v>
      </c>
      <c r="B525">
        <v>21.98</v>
      </c>
      <c r="C525" s="1">
        <v>42402</v>
      </c>
      <c r="D525">
        <v>31.73</v>
      </c>
      <c r="E525" s="1">
        <v>42374</v>
      </c>
      <c r="F525">
        <v>71.422200000000004</v>
      </c>
      <c r="G525" s="1">
        <v>42402</v>
      </c>
      <c r="H525">
        <v>68.59</v>
      </c>
      <c r="I525" s="1">
        <v>42402</v>
      </c>
      <c r="J525">
        <v>16.2</v>
      </c>
      <c r="K525" s="1">
        <v>42374</v>
      </c>
      <c r="L525">
        <v>99.403999999999996</v>
      </c>
    </row>
    <row r="526" spans="1:12" x14ac:dyDescent="0.25">
      <c r="A526" s="1">
        <v>42403</v>
      </c>
      <c r="B526">
        <v>21.65</v>
      </c>
      <c r="C526" s="1">
        <v>42403</v>
      </c>
      <c r="D526">
        <v>31.59</v>
      </c>
      <c r="E526" s="1">
        <v>42375</v>
      </c>
      <c r="F526">
        <v>71.684299999999993</v>
      </c>
      <c r="G526" s="1">
        <v>42403</v>
      </c>
      <c r="H526">
        <v>67.709999999999994</v>
      </c>
      <c r="I526" s="1">
        <v>42403</v>
      </c>
      <c r="J526">
        <v>17.84</v>
      </c>
      <c r="K526" s="1">
        <v>42375</v>
      </c>
      <c r="L526">
        <v>99.180999999999997</v>
      </c>
    </row>
    <row r="527" spans="1:12" x14ac:dyDescent="0.25">
      <c r="A527" s="1">
        <v>42404</v>
      </c>
      <c r="B527">
        <v>21.84</v>
      </c>
      <c r="C527" s="1">
        <v>42404</v>
      </c>
      <c r="D527">
        <v>31.56</v>
      </c>
      <c r="E527" s="1">
        <v>42376</v>
      </c>
      <c r="F527">
        <v>74.211200000000005</v>
      </c>
      <c r="G527" s="1">
        <v>42404</v>
      </c>
      <c r="H527">
        <v>66.78</v>
      </c>
      <c r="I527" s="1">
        <v>42404</v>
      </c>
      <c r="J527">
        <v>17.39</v>
      </c>
      <c r="K527" s="1">
        <v>42376</v>
      </c>
      <c r="L527">
        <v>98.218999999999994</v>
      </c>
    </row>
    <row r="528" spans="1:12" x14ac:dyDescent="0.25">
      <c r="A528" s="1">
        <v>42405</v>
      </c>
      <c r="B528">
        <v>23.38</v>
      </c>
      <c r="C528" s="1">
        <v>42405</v>
      </c>
      <c r="D528">
        <v>32.79</v>
      </c>
      <c r="E528" s="1">
        <v>42377</v>
      </c>
      <c r="F528">
        <v>71.007300000000001</v>
      </c>
      <c r="G528" s="1">
        <v>42405</v>
      </c>
      <c r="H528">
        <v>66.67</v>
      </c>
      <c r="I528" s="1">
        <v>42405</v>
      </c>
      <c r="J528">
        <v>19.579999999999998</v>
      </c>
      <c r="K528" s="1">
        <v>42377</v>
      </c>
      <c r="L528">
        <v>98.54</v>
      </c>
    </row>
    <row r="529" spans="1:12" x14ac:dyDescent="0.25">
      <c r="A529" s="1">
        <v>42408</v>
      </c>
      <c r="B529">
        <v>26</v>
      </c>
      <c r="C529" s="1">
        <v>42408</v>
      </c>
      <c r="D529">
        <v>35.99</v>
      </c>
      <c r="E529" s="1">
        <v>42380</v>
      </c>
      <c r="F529">
        <v>71.019300000000001</v>
      </c>
      <c r="G529" s="1">
        <v>42408</v>
      </c>
      <c r="H529">
        <v>68.38</v>
      </c>
      <c r="I529" s="1">
        <v>42408</v>
      </c>
      <c r="J529">
        <v>20.38</v>
      </c>
      <c r="K529" s="1">
        <v>42380</v>
      </c>
      <c r="L529">
        <v>98.724999999999994</v>
      </c>
    </row>
    <row r="530" spans="1:12" x14ac:dyDescent="0.25">
      <c r="A530" s="1">
        <v>42409</v>
      </c>
      <c r="B530">
        <v>26.54</v>
      </c>
      <c r="C530" s="1">
        <v>42409</v>
      </c>
      <c r="D530">
        <v>37.44</v>
      </c>
      <c r="E530" s="1">
        <v>42381</v>
      </c>
      <c r="F530">
        <v>71.963999999999999</v>
      </c>
      <c r="G530" s="1">
        <v>42409</v>
      </c>
      <c r="H530">
        <v>72.290000000000006</v>
      </c>
      <c r="I530" s="1">
        <v>42409</v>
      </c>
      <c r="J530">
        <v>21.72</v>
      </c>
      <c r="K530" s="1">
        <v>42381</v>
      </c>
      <c r="L530">
        <v>98.974000000000004</v>
      </c>
    </row>
    <row r="531" spans="1:12" x14ac:dyDescent="0.25">
      <c r="A531" s="1">
        <v>42410</v>
      </c>
      <c r="B531">
        <v>26.29</v>
      </c>
      <c r="C531" s="1">
        <v>42410</v>
      </c>
      <c r="D531">
        <v>36.22</v>
      </c>
      <c r="E531" s="1">
        <v>42382</v>
      </c>
      <c r="F531">
        <v>74.459900000000005</v>
      </c>
      <c r="G531" s="1">
        <v>42410</v>
      </c>
      <c r="H531">
        <v>72.5</v>
      </c>
      <c r="I531" s="1">
        <v>42410</v>
      </c>
      <c r="J531">
        <v>21.36</v>
      </c>
      <c r="K531" s="1">
        <v>42382</v>
      </c>
      <c r="L531">
        <v>98.933000000000007</v>
      </c>
    </row>
    <row r="532" spans="1:12" x14ac:dyDescent="0.25">
      <c r="A532" s="1">
        <v>42411</v>
      </c>
      <c r="B532">
        <v>28.14</v>
      </c>
      <c r="C532" s="1">
        <v>42411</v>
      </c>
      <c r="D532">
        <v>39.31</v>
      </c>
      <c r="E532" s="1">
        <v>42383</v>
      </c>
      <c r="F532">
        <v>73.614599999999996</v>
      </c>
      <c r="G532" s="1">
        <v>42411</v>
      </c>
      <c r="H532">
        <v>77.790000000000006</v>
      </c>
      <c r="I532" s="1">
        <v>42411</v>
      </c>
      <c r="J532">
        <v>28.37</v>
      </c>
      <c r="K532" s="1">
        <v>42383</v>
      </c>
      <c r="L532">
        <v>99.088999999999999</v>
      </c>
    </row>
    <row r="533" spans="1:12" x14ac:dyDescent="0.25">
      <c r="A533" s="1">
        <v>42412</v>
      </c>
      <c r="B533">
        <v>25.4</v>
      </c>
      <c r="C533" s="1">
        <v>42412</v>
      </c>
      <c r="D533">
        <v>36.89</v>
      </c>
      <c r="E533" s="1">
        <v>42384</v>
      </c>
      <c r="F533">
        <v>78.063599999999994</v>
      </c>
      <c r="G533" s="1">
        <v>42412</v>
      </c>
      <c r="H533">
        <v>78.97</v>
      </c>
      <c r="I533" s="1">
        <v>42412</v>
      </c>
      <c r="J533">
        <v>24.1</v>
      </c>
      <c r="K533" s="1">
        <v>42384</v>
      </c>
      <c r="L533">
        <v>98.956000000000003</v>
      </c>
    </row>
    <row r="534" spans="1:12" x14ac:dyDescent="0.25">
      <c r="A534" s="1">
        <v>42416</v>
      </c>
      <c r="B534">
        <v>24.11</v>
      </c>
      <c r="C534" s="1">
        <v>42416</v>
      </c>
      <c r="D534">
        <v>34.29</v>
      </c>
      <c r="E534" s="1">
        <v>42387</v>
      </c>
      <c r="F534">
        <v>78.063599999999994</v>
      </c>
      <c r="G534" s="1">
        <v>42416</v>
      </c>
      <c r="H534">
        <v>71.53</v>
      </c>
      <c r="I534" s="1">
        <v>42416</v>
      </c>
      <c r="J534">
        <v>24.84</v>
      </c>
      <c r="K534" s="1">
        <v>42387</v>
      </c>
      <c r="L534">
        <v>98.956000000000003</v>
      </c>
    </row>
    <row r="535" spans="1:12" x14ac:dyDescent="0.25">
      <c r="A535" s="1">
        <v>42417</v>
      </c>
      <c r="B535">
        <v>22.31</v>
      </c>
      <c r="C535" s="1">
        <v>42417</v>
      </c>
      <c r="D535">
        <v>32.69</v>
      </c>
      <c r="E535" s="1">
        <v>42388</v>
      </c>
      <c r="F535">
        <v>77.315799999999996</v>
      </c>
      <c r="G535" s="1">
        <v>42417</v>
      </c>
      <c r="H535">
        <v>69.47</v>
      </c>
      <c r="I535" s="1">
        <v>42417</v>
      </c>
      <c r="J535">
        <v>24.53</v>
      </c>
      <c r="K535" s="1">
        <v>42388</v>
      </c>
      <c r="L535">
        <v>98.991</v>
      </c>
    </row>
    <row r="536" spans="1:12" x14ac:dyDescent="0.25">
      <c r="A536" s="1">
        <v>42418</v>
      </c>
      <c r="B536">
        <v>21.64</v>
      </c>
      <c r="C536" s="1">
        <v>42418</v>
      </c>
      <c r="D536">
        <v>32.15</v>
      </c>
      <c r="E536" s="1">
        <v>42389</v>
      </c>
      <c r="F536">
        <v>81.819800000000001</v>
      </c>
      <c r="G536" s="1">
        <v>42418</v>
      </c>
      <c r="H536">
        <v>67.489999999999995</v>
      </c>
      <c r="I536" s="1">
        <v>42418</v>
      </c>
      <c r="J536">
        <v>26.37</v>
      </c>
      <c r="K536" s="1">
        <v>42389</v>
      </c>
      <c r="L536">
        <v>99.090999999999994</v>
      </c>
    </row>
    <row r="537" spans="1:12" x14ac:dyDescent="0.25">
      <c r="A537" s="1">
        <v>42419</v>
      </c>
      <c r="B537">
        <v>20.53</v>
      </c>
      <c r="C537" s="1">
        <v>42419</v>
      </c>
      <c r="D537">
        <v>30.9</v>
      </c>
      <c r="E537" s="1">
        <v>42390</v>
      </c>
      <c r="F537">
        <v>80.725800000000007</v>
      </c>
      <c r="G537" s="1">
        <v>42419</v>
      </c>
      <c r="H537">
        <v>62.46</v>
      </c>
      <c r="I537" s="1">
        <v>42419</v>
      </c>
      <c r="J537">
        <v>24.88</v>
      </c>
      <c r="K537" s="1">
        <v>42390</v>
      </c>
      <c r="L537">
        <v>99.055999999999997</v>
      </c>
    </row>
    <row r="538" spans="1:12" x14ac:dyDescent="0.25">
      <c r="A538" s="1">
        <v>42422</v>
      </c>
      <c r="B538">
        <v>19.38</v>
      </c>
      <c r="C538" s="1">
        <v>42422</v>
      </c>
      <c r="D538">
        <v>28.66</v>
      </c>
      <c r="E538" s="1">
        <v>42391</v>
      </c>
      <c r="F538">
        <v>77.348600000000005</v>
      </c>
      <c r="G538" s="1">
        <v>42422</v>
      </c>
      <c r="H538">
        <v>62.84</v>
      </c>
      <c r="I538" s="1">
        <v>42422</v>
      </c>
      <c r="J538">
        <v>23.31</v>
      </c>
      <c r="K538" s="1">
        <v>42391</v>
      </c>
      <c r="L538">
        <v>99.573999999999998</v>
      </c>
    </row>
    <row r="539" spans="1:12" x14ac:dyDescent="0.25">
      <c r="A539" s="1">
        <v>42423</v>
      </c>
      <c r="B539">
        <v>20.98</v>
      </c>
      <c r="C539" s="1">
        <v>42423</v>
      </c>
      <c r="D539">
        <v>29.49</v>
      </c>
      <c r="E539" s="1">
        <v>42394</v>
      </c>
      <c r="F539">
        <v>75.413899999999998</v>
      </c>
      <c r="G539" s="1">
        <v>42423</v>
      </c>
      <c r="H539">
        <v>65.03</v>
      </c>
      <c r="I539" s="1">
        <v>42423</v>
      </c>
      <c r="J539">
        <v>23.69</v>
      </c>
      <c r="K539" s="1">
        <v>42394</v>
      </c>
      <c r="L539">
        <v>99.36</v>
      </c>
    </row>
    <row r="540" spans="1:12" x14ac:dyDescent="0.25">
      <c r="A540" s="1">
        <v>42424</v>
      </c>
      <c r="B540">
        <v>20.72</v>
      </c>
      <c r="C540" s="1">
        <v>42424</v>
      </c>
      <c r="D540">
        <v>29.87</v>
      </c>
      <c r="E540" s="1">
        <v>42395</v>
      </c>
      <c r="F540">
        <v>75.155699999999996</v>
      </c>
      <c r="G540" s="1">
        <v>42424</v>
      </c>
      <c r="H540">
        <v>66.09</v>
      </c>
      <c r="I540" s="1">
        <v>42424</v>
      </c>
      <c r="J540">
        <v>24.24</v>
      </c>
      <c r="K540" s="1">
        <v>42395</v>
      </c>
      <c r="L540">
        <v>99.087000000000003</v>
      </c>
    </row>
    <row r="541" spans="1:12" x14ac:dyDescent="0.25">
      <c r="A541" s="1">
        <v>42425</v>
      </c>
      <c r="B541">
        <v>19.11</v>
      </c>
      <c r="C541" s="1">
        <v>42425</v>
      </c>
      <c r="D541">
        <v>29.18</v>
      </c>
      <c r="E541" s="1">
        <v>42396</v>
      </c>
      <c r="F541">
        <v>71.936099999999996</v>
      </c>
      <c r="G541" s="1">
        <v>42425</v>
      </c>
      <c r="H541">
        <v>63.74</v>
      </c>
      <c r="I541" s="1">
        <v>42425</v>
      </c>
      <c r="J541">
        <v>23.36</v>
      </c>
      <c r="K541" s="1">
        <v>42396</v>
      </c>
      <c r="L541">
        <v>98.902000000000001</v>
      </c>
    </row>
    <row r="542" spans="1:12" x14ac:dyDescent="0.25">
      <c r="A542" s="1">
        <v>42426</v>
      </c>
      <c r="B542">
        <v>19.809999999999999</v>
      </c>
      <c r="C542" s="1">
        <v>42426</v>
      </c>
      <c r="D542">
        <v>29.84</v>
      </c>
      <c r="E542" s="1">
        <v>42397</v>
      </c>
      <c r="F542">
        <v>70.982299999999995</v>
      </c>
      <c r="G542" s="1">
        <v>42426</v>
      </c>
      <c r="H542">
        <v>59.96</v>
      </c>
      <c r="I542" s="1">
        <v>42426</v>
      </c>
      <c r="J542">
        <v>21.67</v>
      </c>
      <c r="K542" s="1">
        <v>42397</v>
      </c>
      <c r="L542">
        <v>98.51</v>
      </c>
    </row>
    <row r="543" spans="1:12" x14ac:dyDescent="0.25">
      <c r="A543" s="1">
        <v>42429</v>
      </c>
      <c r="B543">
        <v>20.55</v>
      </c>
      <c r="C543" s="1">
        <v>42429</v>
      </c>
      <c r="D543">
        <v>28.76</v>
      </c>
      <c r="E543" s="1">
        <v>42398</v>
      </c>
      <c r="F543">
        <v>74.003900000000002</v>
      </c>
      <c r="G543" s="1">
        <v>42429</v>
      </c>
      <c r="H543">
        <v>60.01</v>
      </c>
      <c r="I543" s="1">
        <v>42429</v>
      </c>
      <c r="J543">
        <v>22.59</v>
      </c>
      <c r="K543" s="1">
        <v>42398</v>
      </c>
      <c r="L543">
        <v>99.605999999999995</v>
      </c>
    </row>
    <row r="544" spans="1:12" x14ac:dyDescent="0.25">
      <c r="A544" s="1">
        <v>42430</v>
      </c>
      <c r="B544">
        <v>17.7</v>
      </c>
      <c r="C544" s="1">
        <v>42430</v>
      </c>
      <c r="D544">
        <v>26.66</v>
      </c>
      <c r="E544" s="1">
        <v>42401</v>
      </c>
      <c r="F544">
        <v>73.458299999999994</v>
      </c>
      <c r="G544" s="1">
        <v>42430</v>
      </c>
      <c r="H544">
        <v>56.84</v>
      </c>
      <c r="I544" s="1">
        <v>42430</v>
      </c>
      <c r="J544">
        <v>21.97</v>
      </c>
      <c r="K544" s="1">
        <v>42401</v>
      </c>
      <c r="L544">
        <v>99.009</v>
      </c>
    </row>
    <row r="545" spans="1:12" x14ac:dyDescent="0.25">
      <c r="A545" s="1">
        <v>42431</v>
      </c>
      <c r="B545">
        <v>17.09</v>
      </c>
      <c r="C545" s="1">
        <v>42431</v>
      </c>
      <c r="D545">
        <v>25.32</v>
      </c>
      <c r="E545" s="1">
        <v>42402</v>
      </c>
      <c r="F545">
        <v>77.493300000000005</v>
      </c>
      <c r="G545" s="1">
        <v>42431</v>
      </c>
      <c r="H545">
        <v>53.37</v>
      </c>
      <c r="I545" s="1">
        <v>42431</v>
      </c>
      <c r="J545">
        <v>22</v>
      </c>
      <c r="K545" s="1">
        <v>42402</v>
      </c>
      <c r="L545">
        <v>98.872</v>
      </c>
    </row>
    <row r="546" spans="1:12" x14ac:dyDescent="0.25">
      <c r="A546" s="1">
        <v>42432</v>
      </c>
      <c r="B546">
        <v>16.7</v>
      </c>
      <c r="C546" s="1">
        <v>42432</v>
      </c>
      <c r="D546">
        <v>24.66</v>
      </c>
      <c r="E546" s="1">
        <v>42403</v>
      </c>
      <c r="F546">
        <v>79.621700000000004</v>
      </c>
      <c r="G546" s="1">
        <v>42432</v>
      </c>
      <c r="H546">
        <v>52.57</v>
      </c>
      <c r="I546" s="1">
        <v>42432</v>
      </c>
      <c r="J546">
        <v>23.51</v>
      </c>
      <c r="K546" s="1">
        <v>42403</v>
      </c>
      <c r="L546">
        <v>97.287999999999997</v>
      </c>
    </row>
    <row r="547" spans="1:12" x14ac:dyDescent="0.25">
      <c r="A547" s="1">
        <v>42433</v>
      </c>
      <c r="B547">
        <v>16.86</v>
      </c>
      <c r="C547" s="1">
        <v>42433</v>
      </c>
      <c r="D547">
        <v>25.24</v>
      </c>
      <c r="E547" s="1">
        <v>42404</v>
      </c>
      <c r="F547">
        <v>83.76</v>
      </c>
      <c r="G547" s="1">
        <v>42433</v>
      </c>
      <c r="H547">
        <v>51.89</v>
      </c>
      <c r="I547" s="1">
        <v>42433</v>
      </c>
      <c r="J547">
        <v>22.31</v>
      </c>
      <c r="K547" s="1">
        <v>42404</v>
      </c>
      <c r="L547">
        <v>96.474000000000004</v>
      </c>
    </row>
    <row r="548" spans="1:12" x14ac:dyDescent="0.25">
      <c r="A548" s="1">
        <v>42436</v>
      </c>
      <c r="B548">
        <v>17.350000000000001</v>
      </c>
      <c r="C548" s="1">
        <v>42436</v>
      </c>
      <c r="D548">
        <v>25.82</v>
      </c>
      <c r="E548" s="1">
        <v>42405</v>
      </c>
      <c r="F548">
        <v>81.669499999999999</v>
      </c>
      <c r="G548" s="1">
        <v>42436</v>
      </c>
      <c r="H548">
        <v>52.8</v>
      </c>
      <c r="I548" s="1">
        <v>42436</v>
      </c>
      <c r="J548">
        <v>22.08</v>
      </c>
      <c r="K548" s="1">
        <v>42405</v>
      </c>
      <c r="L548">
        <v>97.031000000000006</v>
      </c>
    </row>
    <row r="549" spans="1:12" x14ac:dyDescent="0.25">
      <c r="A549" s="1">
        <v>42437</v>
      </c>
      <c r="B549">
        <v>18.670000000000002</v>
      </c>
      <c r="C549" s="1">
        <v>42437</v>
      </c>
      <c r="D549">
        <v>27.34</v>
      </c>
      <c r="E549" s="1">
        <v>42408</v>
      </c>
      <c r="F549">
        <v>89.270600000000002</v>
      </c>
      <c r="G549" s="1">
        <v>42437</v>
      </c>
      <c r="H549">
        <v>54.04</v>
      </c>
      <c r="I549" s="1">
        <v>42437</v>
      </c>
      <c r="J549">
        <v>23.07</v>
      </c>
      <c r="K549" s="1">
        <v>42408</v>
      </c>
      <c r="L549">
        <v>96.57</v>
      </c>
    </row>
    <row r="550" spans="1:12" x14ac:dyDescent="0.25">
      <c r="A550" s="1">
        <v>42438</v>
      </c>
      <c r="B550">
        <v>18.34</v>
      </c>
      <c r="C550" s="1">
        <v>42438</v>
      </c>
      <c r="D550">
        <v>26.77</v>
      </c>
      <c r="E550" s="1">
        <v>42409</v>
      </c>
      <c r="F550">
        <v>91.605999999999995</v>
      </c>
      <c r="G550" s="1">
        <v>42438</v>
      </c>
      <c r="H550">
        <v>51.74</v>
      </c>
      <c r="I550" s="1">
        <v>42438</v>
      </c>
      <c r="J550">
        <v>22.31</v>
      </c>
      <c r="K550" s="1">
        <v>42409</v>
      </c>
      <c r="L550">
        <v>96.070999999999998</v>
      </c>
    </row>
    <row r="551" spans="1:12" x14ac:dyDescent="0.25">
      <c r="A551" s="1">
        <v>42439</v>
      </c>
      <c r="B551">
        <v>18.05</v>
      </c>
      <c r="C551" s="1">
        <v>42439</v>
      </c>
      <c r="D551">
        <v>25.64</v>
      </c>
      <c r="E551" s="1">
        <v>42410</v>
      </c>
      <c r="F551">
        <v>86.315399999999997</v>
      </c>
      <c r="G551" s="1">
        <v>42439</v>
      </c>
      <c r="H551">
        <v>51.98</v>
      </c>
      <c r="I551" s="1">
        <v>42439</v>
      </c>
      <c r="J551">
        <v>23.14</v>
      </c>
      <c r="K551" s="1">
        <v>42410</v>
      </c>
      <c r="L551">
        <v>95.888000000000005</v>
      </c>
    </row>
    <row r="552" spans="1:12" x14ac:dyDescent="0.25">
      <c r="A552" s="1">
        <v>42440</v>
      </c>
      <c r="B552">
        <v>16.5</v>
      </c>
      <c r="C552" s="1">
        <v>42440</v>
      </c>
      <c r="D552">
        <v>24.03</v>
      </c>
      <c r="E552" s="1">
        <v>42411</v>
      </c>
      <c r="F552">
        <v>97.944900000000004</v>
      </c>
      <c r="G552" s="1">
        <v>42440</v>
      </c>
      <c r="H552">
        <v>50.25</v>
      </c>
      <c r="I552" s="1">
        <v>42440</v>
      </c>
      <c r="J552">
        <v>21.9</v>
      </c>
      <c r="K552" s="1">
        <v>42411</v>
      </c>
      <c r="L552">
        <v>95.561999999999998</v>
      </c>
    </row>
    <row r="553" spans="1:12" x14ac:dyDescent="0.25">
      <c r="A553" s="1">
        <v>42443</v>
      </c>
      <c r="B553">
        <v>16.920000000000002</v>
      </c>
      <c r="C553" s="1">
        <v>42443</v>
      </c>
      <c r="D553">
        <v>24.75</v>
      </c>
      <c r="E553" s="1">
        <v>42412</v>
      </c>
      <c r="F553">
        <v>93.715999999999994</v>
      </c>
      <c r="G553" s="1">
        <v>42443</v>
      </c>
      <c r="H553">
        <v>50.17</v>
      </c>
      <c r="I553" s="1">
        <v>42443</v>
      </c>
      <c r="J553">
        <v>21.14</v>
      </c>
      <c r="K553" s="1">
        <v>42412</v>
      </c>
      <c r="L553">
        <v>95.94</v>
      </c>
    </row>
    <row r="554" spans="1:12" x14ac:dyDescent="0.25">
      <c r="A554" s="1">
        <v>42444</v>
      </c>
      <c r="B554">
        <v>16.84</v>
      </c>
      <c r="C554" s="1">
        <v>42444</v>
      </c>
      <c r="D554">
        <v>25.78</v>
      </c>
      <c r="E554" s="1">
        <v>42415</v>
      </c>
      <c r="F554">
        <v>93.715999999999994</v>
      </c>
      <c r="G554" s="1">
        <v>42444</v>
      </c>
      <c r="H554">
        <v>48.98</v>
      </c>
      <c r="I554" s="1">
        <v>42444</v>
      </c>
      <c r="J554">
        <v>19.7</v>
      </c>
      <c r="K554" s="1">
        <v>42415</v>
      </c>
      <c r="L554">
        <v>95.94</v>
      </c>
    </row>
    <row r="555" spans="1:12" x14ac:dyDescent="0.25">
      <c r="A555" s="1">
        <v>42445</v>
      </c>
      <c r="B555">
        <v>14.99</v>
      </c>
      <c r="C555" s="1">
        <v>42445</v>
      </c>
      <c r="D555">
        <v>24.02</v>
      </c>
      <c r="E555" s="1">
        <v>42416</v>
      </c>
      <c r="F555">
        <v>86.824299999999994</v>
      </c>
      <c r="G555" s="1">
        <v>42445</v>
      </c>
      <c r="H555">
        <v>43.98</v>
      </c>
      <c r="I555" s="1">
        <v>42445</v>
      </c>
      <c r="J555">
        <v>20.03</v>
      </c>
      <c r="K555" s="1">
        <v>42416</v>
      </c>
      <c r="L555">
        <v>96.867999999999995</v>
      </c>
    </row>
    <row r="556" spans="1:12" x14ac:dyDescent="0.25">
      <c r="A556" s="1">
        <v>42446</v>
      </c>
      <c r="B556">
        <v>14.44</v>
      </c>
      <c r="C556" s="1">
        <v>42446</v>
      </c>
      <c r="D556">
        <v>24.07</v>
      </c>
      <c r="E556" s="1">
        <v>42417</v>
      </c>
      <c r="F556">
        <v>84.786299999999997</v>
      </c>
      <c r="G556" s="1">
        <v>42446</v>
      </c>
      <c r="H556">
        <v>46.22</v>
      </c>
      <c r="I556" s="1">
        <v>42446</v>
      </c>
      <c r="J556">
        <v>18.989999999999998</v>
      </c>
      <c r="K556" s="1">
        <v>42417</v>
      </c>
      <c r="L556">
        <v>96.786000000000001</v>
      </c>
    </row>
    <row r="557" spans="1:12" x14ac:dyDescent="0.25">
      <c r="A557" s="1">
        <v>42447</v>
      </c>
      <c r="B557">
        <v>14.02</v>
      </c>
      <c r="C557" s="1">
        <v>42447</v>
      </c>
      <c r="D557">
        <v>23.39</v>
      </c>
      <c r="E557" s="1">
        <v>42418</v>
      </c>
      <c r="F557">
        <v>86.122299999999996</v>
      </c>
      <c r="G557" s="1">
        <v>42447</v>
      </c>
      <c r="H557">
        <v>44.98</v>
      </c>
      <c r="I557" s="1">
        <v>42447</v>
      </c>
      <c r="J557">
        <v>18.149999999999999</v>
      </c>
      <c r="K557" s="1">
        <v>42418</v>
      </c>
      <c r="L557">
        <v>96.950999999999993</v>
      </c>
    </row>
    <row r="558" spans="1:12" x14ac:dyDescent="0.25">
      <c r="A558" s="1">
        <v>42450</v>
      </c>
      <c r="B558">
        <v>13.79</v>
      </c>
      <c r="C558" s="1">
        <v>42450</v>
      </c>
      <c r="D558">
        <v>23.49</v>
      </c>
      <c r="E558" s="1">
        <v>42419</v>
      </c>
      <c r="F558">
        <v>90.099000000000004</v>
      </c>
      <c r="G558" s="1">
        <v>42450</v>
      </c>
      <c r="H558">
        <v>45.09</v>
      </c>
      <c r="I558" s="1">
        <v>42450</v>
      </c>
      <c r="J558">
        <v>17.399999999999999</v>
      </c>
      <c r="K558" s="1">
        <v>42419</v>
      </c>
      <c r="L558">
        <v>96.6</v>
      </c>
    </row>
    <row r="559" spans="1:12" x14ac:dyDescent="0.25">
      <c r="A559" s="1">
        <v>42451</v>
      </c>
      <c r="B559">
        <v>14.17</v>
      </c>
      <c r="C559" s="1">
        <v>42451</v>
      </c>
      <c r="D559">
        <v>22.96</v>
      </c>
      <c r="E559" s="1">
        <v>42422</v>
      </c>
      <c r="F559">
        <v>85.145600000000002</v>
      </c>
      <c r="G559" s="1">
        <v>42451</v>
      </c>
      <c r="H559">
        <v>44.12</v>
      </c>
      <c r="I559" s="1">
        <v>42451</v>
      </c>
      <c r="J559">
        <v>17.62</v>
      </c>
      <c r="K559" s="1">
        <v>42422</v>
      </c>
      <c r="L559">
        <v>97.379000000000005</v>
      </c>
    </row>
    <row r="560" spans="1:12" x14ac:dyDescent="0.25">
      <c r="A560" s="1">
        <v>42452</v>
      </c>
      <c r="B560">
        <v>14.94</v>
      </c>
      <c r="C560" s="1">
        <v>42452</v>
      </c>
      <c r="D560">
        <v>23.78</v>
      </c>
      <c r="E560" s="1">
        <v>42423</v>
      </c>
      <c r="F560">
        <v>83.9756</v>
      </c>
      <c r="G560" s="1">
        <v>42452</v>
      </c>
      <c r="H560">
        <v>44.58</v>
      </c>
      <c r="I560" s="1">
        <v>42452</v>
      </c>
      <c r="J560">
        <v>18</v>
      </c>
      <c r="K560" s="1">
        <v>42423</v>
      </c>
      <c r="L560">
        <v>97.480999999999995</v>
      </c>
    </row>
    <row r="561" spans="1:12" x14ac:dyDescent="0.25">
      <c r="A561" s="1">
        <v>42453</v>
      </c>
      <c r="B561">
        <v>14.74</v>
      </c>
      <c r="C561" s="1">
        <v>42453</v>
      </c>
      <c r="D561">
        <v>23.58</v>
      </c>
      <c r="E561" s="1">
        <v>42424</v>
      </c>
      <c r="F561">
        <v>85.091200000000001</v>
      </c>
      <c r="G561" s="1">
        <v>42453</v>
      </c>
      <c r="H561">
        <v>44.96</v>
      </c>
      <c r="I561" s="1">
        <v>42453</v>
      </c>
      <c r="J561">
        <v>18.09</v>
      </c>
      <c r="K561" s="1">
        <v>42424</v>
      </c>
      <c r="L561">
        <v>97.457999999999998</v>
      </c>
    </row>
    <row r="562" spans="1:12" x14ac:dyDescent="0.25">
      <c r="A562" s="1">
        <v>42457</v>
      </c>
      <c r="B562">
        <v>15.24</v>
      </c>
      <c r="C562" s="1">
        <v>42457</v>
      </c>
      <c r="D562">
        <v>24.36</v>
      </c>
      <c r="E562" s="1">
        <v>42425</v>
      </c>
      <c r="F562">
        <v>84.440799999999996</v>
      </c>
      <c r="G562" s="1">
        <v>42457</v>
      </c>
      <c r="H562">
        <v>45.98</v>
      </c>
      <c r="I562" s="1">
        <v>42457</v>
      </c>
      <c r="J562">
        <v>17.53</v>
      </c>
      <c r="K562" s="1">
        <v>42425</v>
      </c>
      <c r="L562">
        <v>97.287000000000006</v>
      </c>
    </row>
    <row r="563" spans="1:12" x14ac:dyDescent="0.25">
      <c r="A563" s="1">
        <v>42458</v>
      </c>
      <c r="B563">
        <v>13.82</v>
      </c>
      <c r="C563" s="1">
        <v>42458</v>
      </c>
      <c r="D563">
        <v>24.13</v>
      </c>
      <c r="E563" s="1">
        <v>42426</v>
      </c>
      <c r="F563">
        <v>82.542400000000001</v>
      </c>
      <c r="G563" s="1">
        <v>42458</v>
      </c>
      <c r="H563">
        <v>46.63</v>
      </c>
      <c r="I563" s="1">
        <v>42458</v>
      </c>
      <c r="J563">
        <v>19.52</v>
      </c>
      <c r="K563" s="1">
        <v>42426</v>
      </c>
      <c r="L563">
        <v>98.147999999999996</v>
      </c>
    </row>
    <row r="564" spans="1:12" x14ac:dyDescent="0.25">
      <c r="A564" s="1">
        <v>42459</v>
      </c>
      <c r="B564">
        <v>13.56</v>
      </c>
      <c r="C564" s="1">
        <v>42459</v>
      </c>
      <c r="D564">
        <v>23.38</v>
      </c>
      <c r="E564" s="1">
        <v>42429</v>
      </c>
      <c r="F564">
        <v>83.385599999999997</v>
      </c>
      <c r="G564" s="1">
        <v>42459</v>
      </c>
      <c r="H564">
        <v>46.38</v>
      </c>
      <c r="I564" s="1">
        <v>42459</v>
      </c>
      <c r="J564">
        <v>18.579999999999998</v>
      </c>
      <c r="K564" s="1">
        <v>42429</v>
      </c>
      <c r="L564">
        <v>98.210999999999999</v>
      </c>
    </row>
    <row r="565" spans="1:12" x14ac:dyDescent="0.25">
      <c r="A565" s="1">
        <v>42460</v>
      </c>
      <c r="B565">
        <v>13.95</v>
      </c>
      <c r="C565" s="1">
        <v>42460</v>
      </c>
      <c r="D565">
        <v>22.73</v>
      </c>
      <c r="E565" s="1">
        <v>42430</v>
      </c>
      <c r="F565">
        <v>84.216099999999997</v>
      </c>
      <c r="G565" s="1">
        <v>42460</v>
      </c>
      <c r="H565">
        <v>45.91</v>
      </c>
      <c r="I565" s="1">
        <v>42460</v>
      </c>
      <c r="J565">
        <v>18.45</v>
      </c>
      <c r="K565" s="1">
        <v>42430</v>
      </c>
      <c r="L565">
        <v>98.352000000000004</v>
      </c>
    </row>
    <row r="566" spans="1:12" x14ac:dyDescent="0.25">
      <c r="A566" s="1">
        <v>42461</v>
      </c>
      <c r="B566">
        <v>13.1</v>
      </c>
      <c r="C566" s="1">
        <v>42461</v>
      </c>
      <c r="D566">
        <v>22.67</v>
      </c>
      <c r="E566" s="1">
        <v>42431</v>
      </c>
      <c r="F566">
        <v>83.654799999999994</v>
      </c>
      <c r="G566" s="1">
        <v>42461</v>
      </c>
      <c r="H566">
        <v>47.76</v>
      </c>
      <c r="I566" s="1">
        <v>42461</v>
      </c>
      <c r="J566">
        <v>18.04</v>
      </c>
      <c r="K566" s="1">
        <v>42431</v>
      </c>
      <c r="L566">
        <v>98.213999999999999</v>
      </c>
    </row>
    <row r="567" spans="1:12" x14ac:dyDescent="0.25">
      <c r="A567" s="1">
        <v>42464</v>
      </c>
      <c r="B567">
        <v>14.12</v>
      </c>
      <c r="C567" s="1">
        <v>42464</v>
      </c>
      <c r="D567">
        <v>23.13</v>
      </c>
      <c r="E567" s="1">
        <v>42432</v>
      </c>
      <c r="F567">
        <v>81.715900000000005</v>
      </c>
      <c r="G567" s="1">
        <v>42464</v>
      </c>
      <c r="H567">
        <v>50.89</v>
      </c>
      <c r="I567" s="1">
        <v>42464</v>
      </c>
      <c r="J567">
        <v>17.95</v>
      </c>
      <c r="K567" s="1">
        <v>42432</v>
      </c>
      <c r="L567">
        <v>97.591999999999999</v>
      </c>
    </row>
    <row r="568" spans="1:12" x14ac:dyDescent="0.25">
      <c r="A568" s="1">
        <v>42465</v>
      </c>
      <c r="B568">
        <v>15.42</v>
      </c>
      <c r="C568" s="1">
        <v>42465</v>
      </c>
      <c r="D568">
        <v>24.08</v>
      </c>
      <c r="E568" s="1">
        <v>42433</v>
      </c>
      <c r="F568">
        <v>78.010000000000005</v>
      </c>
      <c r="G568" s="1">
        <v>42465</v>
      </c>
      <c r="H568">
        <v>50.16</v>
      </c>
      <c r="I568" s="1">
        <v>42465</v>
      </c>
      <c r="J568">
        <v>18.16</v>
      </c>
      <c r="K568" s="1">
        <v>42433</v>
      </c>
      <c r="L568">
        <v>97.34</v>
      </c>
    </row>
    <row r="569" spans="1:12" x14ac:dyDescent="0.25">
      <c r="A569" s="1">
        <v>42466</v>
      </c>
      <c r="B569">
        <v>14.09</v>
      </c>
      <c r="C569" s="1">
        <v>42466</v>
      </c>
      <c r="D569">
        <v>22.9</v>
      </c>
      <c r="E569" s="1">
        <v>42436</v>
      </c>
      <c r="F569">
        <v>77.825400000000002</v>
      </c>
      <c r="G569" s="1">
        <v>42466</v>
      </c>
      <c r="H569">
        <v>46.16</v>
      </c>
      <c r="I569" s="1">
        <v>42466</v>
      </c>
      <c r="J569">
        <v>17.82</v>
      </c>
      <c r="K569" s="1">
        <v>42436</v>
      </c>
      <c r="L569">
        <v>97.070999999999998</v>
      </c>
    </row>
    <row r="570" spans="1:12" x14ac:dyDescent="0.25">
      <c r="A570" s="1">
        <v>42467</v>
      </c>
      <c r="B570">
        <v>16.16</v>
      </c>
      <c r="C570" s="1">
        <v>42467</v>
      </c>
      <c r="D570">
        <v>24.69</v>
      </c>
      <c r="E570" s="1">
        <v>42437</v>
      </c>
      <c r="F570">
        <v>80.715199999999996</v>
      </c>
      <c r="G570" s="1">
        <v>42467</v>
      </c>
      <c r="H570">
        <v>46.5</v>
      </c>
      <c r="I570" s="1">
        <v>42467</v>
      </c>
      <c r="J570">
        <v>19.32</v>
      </c>
      <c r="K570" s="1">
        <v>42437</v>
      </c>
      <c r="L570">
        <v>97.209000000000003</v>
      </c>
    </row>
    <row r="571" spans="1:12" x14ac:dyDescent="0.25">
      <c r="A571" s="1">
        <v>42468</v>
      </c>
      <c r="B571">
        <v>15.36</v>
      </c>
      <c r="C571" s="1">
        <v>42468</v>
      </c>
      <c r="D571">
        <v>23.43</v>
      </c>
      <c r="E571" s="1">
        <v>42438</v>
      </c>
      <c r="F571">
        <v>80.355900000000005</v>
      </c>
      <c r="G571" s="1">
        <v>42468</v>
      </c>
      <c r="H571">
        <v>47.42</v>
      </c>
      <c r="I571" s="1">
        <v>42468</v>
      </c>
      <c r="J571">
        <v>18.739999999999998</v>
      </c>
      <c r="K571" s="1">
        <v>42438</v>
      </c>
      <c r="L571">
        <v>97.173000000000002</v>
      </c>
    </row>
    <row r="572" spans="1:12" x14ac:dyDescent="0.25">
      <c r="A572" s="1">
        <v>42471</v>
      </c>
      <c r="B572">
        <v>16.260000000000002</v>
      </c>
      <c r="C572" s="1">
        <v>42471</v>
      </c>
      <c r="D572">
        <v>22.59</v>
      </c>
      <c r="E572" s="1">
        <v>42439</v>
      </c>
      <c r="F572">
        <v>80.850300000000004</v>
      </c>
      <c r="G572" s="1">
        <v>42471</v>
      </c>
      <c r="H572">
        <v>49.04</v>
      </c>
      <c r="I572" s="1">
        <v>42471</v>
      </c>
      <c r="J572">
        <v>19.579999999999998</v>
      </c>
      <c r="K572" s="1">
        <v>42439</v>
      </c>
      <c r="L572">
        <v>96.066000000000003</v>
      </c>
    </row>
    <row r="573" spans="1:12" x14ac:dyDescent="0.25">
      <c r="A573" s="1">
        <v>42472</v>
      </c>
      <c r="B573">
        <v>14.85</v>
      </c>
      <c r="C573" s="1">
        <v>42472</v>
      </c>
      <c r="D573">
        <v>22.64</v>
      </c>
      <c r="E573" s="1">
        <v>42440</v>
      </c>
      <c r="F573">
        <v>81.422300000000007</v>
      </c>
      <c r="G573" s="1">
        <v>42472</v>
      </c>
      <c r="H573">
        <v>48.78</v>
      </c>
      <c r="I573" s="1">
        <v>42472</v>
      </c>
      <c r="J573">
        <v>19.09</v>
      </c>
      <c r="K573" s="1">
        <v>42440</v>
      </c>
      <c r="L573">
        <v>96.171999999999997</v>
      </c>
    </row>
    <row r="574" spans="1:12" x14ac:dyDescent="0.25">
      <c r="A574" s="1">
        <v>42473</v>
      </c>
      <c r="B574">
        <v>13.84</v>
      </c>
      <c r="C574" s="1">
        <v>42473</v>
      </c>
      <c r="D574">
        <v>22.93</v>
      </c>
      <c r="E574" s="1">
        <v>42443</v>
      </c>
      <c r="F574">
        <v>79.116600000000005</v>
      </c>
      <c r="G574" s="1">
        <v>42473</v>
      </c>
      <c r="H574">
        <v>48.79</v>
      </c>
      <c r="I574" s="1">
        <v>42473</v>
      </c>
      <c r="J574">
        <v>17.96</v>
      </c>
      <c r="K574" s="1">
        <v>42443</v>
      </c>
      <c r="L574">
        <v>96.623999999999995</v>
      </c>
    </row>
    <row r="575" spans="1:12" x14ac:dyDescent="0.25">
      <c r="A575" s="1">
        <v>42474</v>
      </c>
      <c r="B575">
        <v>13.72</v>
      </c>
      <c r="C575" s="1">
        <v>42474</v>
      </c>
      <c r="D575">
        <v>22.59</v>
      </c>
      <c r="E575" s="1">
        <v>42444</v>
      </c>
      <c r="F575">
        <v>78.472099999999998</v>
      </c>
      <c r="G575" s="1">
        <v>42474</v>
      </c>
      <c r="H575">
        <v>46.37</v>
      </c>
      <c r="I575" s="1">
        <v>42474</v>
      </c>
      <c r="J575">
        <v>17.829999999999998</v>
      </c>
      <c r="K575" s="1">
        <v>42444</v>
      </c>
      <c r="L575">
        <v>96.632999999999996</v>
      </c>
    </row>
    <row r="576" spans="1:12" x14ac:dyDescent="0.25">
      <c r="A576" s="1">
        <v>42475</v>
      </c>
      <c r="B576">
        <v>13.62</v>
      </c>
      <c r="C576" s="1">
        <v>42475</v>
      </c>
      <c r="D576">
        <v>21.93</v>
      </c>
      <c r="E576" s="1">
        <v>42445</v>
      </c>
      <c r="F576">
        <v>74.159099999999995</v>
      </c>
      <c r="G576" s="1">
        <v>42475</v>
      </c>
      <c r="H576">
        <v>51.27</v>
      </c>
      <c r="I576" s="1">
        <v>42475</v>
      </c>
      <c r="J576">
        <v>17.41</v>
      </c>
      <c r="K576" s="1">
        <v>42445</v>
      </c>
      <c r="L576">
        <v>95.89</v>
      </c>
    </row>
    <row r="577" spans="1:12" x14ac:dyDescent="0.25">
      <c r="A577" s="1">
        <v>42478</v>
      </c>
      <c r="B577">
        <v>13.35</v>
      </c>
      <c r="C577" s="1">
        <v>42478</v>
      </c>
      <c r="D577">
        <v>21.49</v>
      </c>
      <c r="E577" s="1">
        <v>42446</v>
      </c>
      <c r="F577">
        <v>72.414299999999997</v>
      </c>
      <c r="G577" s="1">
        <v>42478</v>
      </c>
      <c r="H577">
        <v>46.45</v>
      </c>
      <c r="I577" s="1">
        <v>42478</v>
      </c>
      <c r="J577">
        <v>17.3</v>
      </c>
      <c r="K577" s="1">
        <v>42446</v>
      </c>
      <c r="L577">
        <v>94.76</v>
      </c>
    </row>
    <row r="578" spans="1:12" x14ac:dyDescent="0.25">
      <c r="A578" s="1">
        <v>42479</v>
      </c>
      <c r="B578">
        <v>13.24</v>
      </c>
      <c r="C578" s="1">
        <v>42479</v>
      </c>
      <c r="D578">
        <v>20.93</v>
      </c>
      <c r="E578" s="1">
        <v>42447</v>
      </c>
      <c r="F578">
        <v>71.263099999999994</v>
      </c>
      <c r="G578" s="1">
        <v>42479</v>
      </c>
      <c r="H578">
        <v>43.93</v>
      </c>
      <c r="I578" s="1">
        <v>42479</v>
      </c>
      <c r="J578">
        <v>17.420000000000002</v>
      </c>
      <c r="K578" s="1">
        <v>42447</v>
      </c>
      <c r="L578">
        <v>95.085999999999999</v>
      </c>
    </row>
    <row r="579" spans="1:12" x14ac:dyDescent="0.25">
      <c r="A579" s="1">
        <v>42480</v>
      </c>
      <c r="B579">
        <v>13.28</v>
      </c>
      <c r="C579" s="1">
        <v>42480</v>
      </c>
      <c r="D579">
        <v>21.63</v>
      </c>
      <c r="E579" s="1">
        <v>42450</v>
      </c>
      <c r="F579">
        <v>70.826899999999995</v>
      </c>
      <c r="G579" s="1">
        <v>42480</v>
      </c>
      <c r="H579">
        <v>43.67</v>
      </c>
      <c r="I579" s="1">
        <v>42480</v>
      </c>
      <c r="J579">
        <v>16.690000000000001</v>
      </c>
      <c r="K579" s="1">
        <v>42450</v>
      </c>
      <c r="L579">
        <v>95.287999999999997</v>
      </c>
    </row>
    <row r="580" spans="1:12" x14ac:dyDescent="0.25">
      <c r="A580" s="1">
        <v>42481</v>
      </c>
      <c r="B580">
        <v>13.95</v>
      </c>
      <c r="C580" s="1">
        <v>42481</v>
      </c>
      <c r="D580">
        <v>21.68</v>
      </c>
      <c r="E580" s="1">
        <v>42451</v>
      </c>
      <c r="F580">
        <v>71.122</v>
      </c>
      <c r="G580" s="1">
        <v>42481</v>
      </c>
      <c r="H580">
        <v>43.76</v>
      </c>
      <c r="I580" s="1">
        <v>42481</v>
      </c>
      <c r="J580">
        <v>17.899999999999999</v>
      </c>
      <c r="K580" s="1">
        <v>42451</v>
      </c>
      <c r="L580">
        <v>95.647999999999996</v>
      </c>
    </row>
    <row r="581" spans="1:12" x14ac:dyDescent="0.25">
      <c r="A581" s="1">
        <v>42482</v>
      </c>
      <c r="B581">
        <v>13.22</v>
      </c>
      <c r="C581" s="1">
        <v>42482</v>
      </c>
      <c r="D581">
        <v>22.07</v>
      </c>
      <c r="E581" s="1">
        <v>42452</v>
      </c>
      <c r="F581">
        <v>71.080600000000004</v>
      </c>
      <c r="G581" s="1">
        <v>42482</v>
      </c>
      <c r="H581">
        <v>41.97</v>
      </c>
      <c r="I581" s="1">
        <v>42482</v>
      </c>
      <c r="J581">
        <v>17.21</v>
      </c>
      <c r="K581" s="1">
        <v>42452</v>
      </c>
      <c r="L581">
        <v>96.046000000000006</v>
      </c>
    </row>
    <row r="582" spans="1:12" x14ac:dyDescent="0.25">
      <c r="A582" s="1">
        <v>42485</v>
      </c>
      <c r="B582">
        <v>14.08</v>
      </c>
      <c r="C582" s="1">
        <v>42485</v>
      </c>
      <c r="D582">
        <v>22.57</v>
      </c>
      <c r="E582" s="1">
        <v>42453</v>
      </c>
      <c r="F582">
        <v>72.677599999999998</v>
      </c>
      <c r="G582" s="1">
        <v>42485</v>
      </c>
      <c r="H582">
        <v>44.24</v>
      </c>
      <c r="I582" s="1">
        <v>42485</v>
      </c>
      <c r="J582">
        <v>17.66</v>
      </c>
      <c r="K582" s="1">
        <v>42453</v>
      </c>
      <c r="L582">
        <v>96.141999999999996</v>
      </c>
    </row>
    <row r="583" spans="1:12" x14ac:dyDescent="0.25">
      <c r="A583" s="1">
        <v>42486</v>
      </c>
      <c r="B583">
        <v>13.96</v>
      </c>
      <c r="C583" s="1">
        <v>42486</v>
      </c>
      <c r="D583">
        <v>22.15</v>
      </c>
      <c r="E583" s="1">
        <v>42454</v>
      </c>
      <c r="F583">
        <v>72.677599999999998</v>
      </c>
      <c r="G583" s="1">
        <v>42486</v>
      </c>
      <c r="H583">
        <v>43.51</v>
      </c>
      <c r="I583" s="1">
        <v>42486</v>
      </c>
      <c r="J583">
        <v>17.43</v>
      </c>
      <c r="K583" s="1">
        <v>42454</v>
      </c>
      <c r="L583">
        <v>96.272999999999996</v>
      </c>
    </row>
    <row r="584" spans="1:12" x14ac:dyDescent="0.25">
      <c r="A584" s="1">
        <v>42487</v>
      </c>
      <c r="B584">
        <v>13.77</v>
      </c>
      <c r="C584" s="1">
        <v>42487</v>
      </c>
      <c r="D584">
        <v>21.44</v>
      </c>
      <c r="E584" s="1">
        <v>42457</v>
      </c>
      <c r="F584">
        <v>74.691999999999993</v>
      </c>
      <c r="G584" s="1">
        <v>42487</v>
      </c>
      <c r="H584">
        <v>43.64</v>
      </c>
      <c r="I584" s="1">
        <v>42487</v>
      </c>
      <c r="J584">
        <v>16.43</v>
      </c>
      <c r="K584" s="1">
        <v>42457</v>
      </c>
      <c r="L584">
        <v>95.942999999999998</v>
      </c>
    </row>
    <row r="585" spans="1:12" x14ac:dyDescent="0.25">
      <c r="A585" s="1">
        <v>42488</v>
      </c>
      <c r="B585">
        <v>15.22</v>
      </c>
      <c r="C585" s="1">
        <v>42488</v>
      </c>
      <c r="D585">
        <v>22.14</v>
      </c>
      <c r="E585" s="1">
        <v>42458</v>
      </c>
      <c r="F585">
        <v>72.656400000000005</v>
      </c>
      <c r="G585" s="1">
        <v>42488</v>
      </c>
      <c r="H585">
        <v>42.84</v>
      </c>
      <c r="I585" s="1">
        <v>42488</v>
      </c>
      <c r="J585">
        <v>17.899999999999999</v>
      </c>
      <c r="K585" s="1">
        <v>42458</v>
      </c>
      <c r="L585">
        <v>95.16</v>
      </c>
    </row>
    <row r="586" spans="1:12" x14ac:dyDescent="0.25">
      <c r="A586" s="1">
        <v>42489</v>
      </c>
      <c r="B586">
        <v>15.7</v>
      </c>
      <c r="C586" s="1">
        <v>42489</v>
      </c>
      <c r="D586">
        <v>22.87</v>
      </c>
      <c r="E586" s="1">
        <v>42459</v>
      </c>
      <c r="F586">
        <v>70.543099999999995</v>
      </c>
      <c r="G586" s="1">
        <v>42489</v>
      </c>
      <c r="H586">
        <v>42.52</v>
      </c>
      <c r="I586" s="1">
        <v>42489</v>
      </c>
      <c r="J586">
        <v>20.23</v>
      </c>
      <c r="K586" s="1">
        <v>42459</v>
      </c>
      <c r="L586">
        <v>94.840999999999994</v>
      </c>
    </row>
    <row r="587" spans="1:12" x14ac:dyDescent="0.25">
      <c r="A587" s="1">
        <v>42492</v>
      </c>
      <c r="B587">
        <v>14.68</v>
      </c>
      <c r="C587" s="1">
        <v>42492</v>
      </c>
      <c r="D587">
        <v>23.36</v>
      </c>
      <c r="E587" s="1">
        <v>42460</v>
      </c>
      <c r="F587">
        <v>68.802700000000002</v>
      </c>
      <c r="G587" s="1">
        <v>42492</v>
      </c>
      <c r="H587">
        <v>45.15</v>
      </c>
      <c r="I587" s="1">
        <v>42492</v>
      </c>
      <c r="J587">
        <v>19.29</v>
      </c>
      <c r="K587" s="1">
        <v>42460</v>
      </c>
      <c r="L587">
        <v>94.585999999999999</v>
      </c>
    </row>
    <row r="588" spans="1:12" x14ac:dyDescent="0.25">
      <c r="A588" s="1">
        <v>42493</v>
      </c>
      <c r="B588">
        <v>15.6</v>
      </c>
      <c r="C588" s="1">
        <v>42493</v>
      </c>
      <c r="D588">
        <v>25.04</v>
      </c>
      <c r="E588" s="1">
        <v>42461</v>
      </c>
      <c r="F588">
        <v>66.997</v>
      </c>
      <c r="G588" s="1">
        <v>42493</v>
      </c>
      <c r="H588">
        <v>45.78</v>
      </c>
      <c r="I588" s="1">
        <v>42493</v>
      </c>
      <c r="J588">
        <v>18.7</v>
      </c>
      <c r="K588" s="1">
        <v>42461</v>
      </c>
      <c r="L588">
        <v>94.619</v>
      </c>
    </row>
    <row r="589" spans="1:12" x14ac:dyDescent="0.25">
      <c r="A589" s="1">
        <v>42494</v>
      </c>
      <c r="B589">
        <v>16.05</v>
      </c>
      <c r="C589" s="1">
        <v>42494</v>
      </c>
      <c r="D589">
        <v>25.92</v>
      </c>
      <c r="E589" s="1">
        <v>42464</v>
      </c>
      <c r="F589">
        <v>65.360600000000005</v>
      </c>
      <c r="G589" s="1">
        <v>42494</v>
      </c>
      <c r="H589">
        <v>44.76</v>
      </c>
      <c r="I589" s="1">
        <v>42494</v>
      </c>
      <c r="J589">
        <v>19.47</v>
      </c>
      <c r="K589" s="1">
        <v>42464</v>
      </c>
      <c r="L589">
        <v>94.51</v>
      </c>
    </row>
    <row r="590" spans="1:12" x14ac:dyDescent="0.25">
      <c r="A590" s="1">
        <v>42495</v>
      </c>
      <c r="B590">
        <v>15.91</v>
      </c>
      <c r="C590" s="1">
        <v>42495</v>
      </c>
      <c r="D590">
        <v>25.1</v>
      </c>
      <c r="E590" s="1">
        <v>42465</v>
      </c>
      <c r="F590">
        <v>68.311899999999994</v>
      </c>
      <c r="G590" s="1">
        <v>42495</v>
      </c>
      <c r="H590">
        <v>44.82</v>
      </c>
      <c r="I590" s="1">
        <v>42495</v>
      </c>
      <c r="J590">
        <v>18.46</v>
      </c>
      <c r="K590" s="1">
        <v>42465</v>
      </c>
      <c r="L590">
        <v>94.631</v>
      </c>
    </row>
    <row r="591" spans="1:12" x14ac:dyDescent="0.25">
      <c r="A591" s="1">
        <v>42496</v>
      </c>
      <c r="B591">
        <v>14.72</v>
      </c>
      <c r="C591" s="1">
        <v>42496</v>
      </c>
      <c r="D591">
        <v>24.24</v>
      </c>
      <c r="E591" s="1">
        <v>42466</v>
      </c>
      <c r="F591">
        <v>69.707999999999998</v>
      </c>
      <c r="G591" s="1">
        <v>42496</v>
      </c>
      <c r="H591">
        <v>42.47</v>
      </c>
      <c r="I591" s="1">
        <v>42496</v>
      </c>
      <c r="J591">
        <v>18.649999999999999</v>
      </c>
      <c r="K591" s="1">
        <v>42466</v>
      </c>
      <c r="L591">
        <v>94.43</v>
      </c>
    </row>
    <row r="592" spans="1:12" x14ac:dyDescent="0.25">
      <c r="A592" s="1">
        <v>42499</v>
      </c>
      <c r="B592">
        <v>14.57</v>
      </c>
      <c r="C592" s="1">
        <v>42499</v>
      </c>
      <c r="D592">
        <v>26.07</v>
      </c>
      <c r="E592" s="1">
        <v>42467</v>
      </c>
      <c r="F592">
        <v>71.094800000000006</v>
      </c>
      <c r="G592" s="1">
        <v>42499</v>
      </c>
      <c r="H592">
        <v>44.14</v>
      </c>
      <c r="I592" s="1">
        <v>42499</v>
      </c>
      <c r="J592">
        <v>18.649999999999999</v>
      </c>
      <c r="K592" s="1">
        <v>42467</v>
      </c>
      <c r="L592">
        <v>94.481999999999999</v>
      </c>
    </row>
    <row r="593" spans="1:12" x14ac:dyDescent="0.25">
      <c r="A593" s="1">
        <v>42500</v>
      </c>
      <c r="B593">
        <v>13.63</v>
      </c>
      <c r="C593" s="1">
        <v>42500</v>
      </c>
      <c r="D593">
        <v>24.05</v>
      </c>
      <c r="E593" s="1">
        <v>42468</v>
      </c>
      <c r="F593">
        <v>70.879900000000006</v>
      </c>
      <c r="G593" s="1">
        <v>42500</v>
      </c>
      <c r="H593">
        <v>42.28</v>
      </c>
      <c r="I593" s="1">
        <v>42500</v>
      </c>
      <c r="J593">
        <v>18.04</v>
      </c>
      <c r="K593" s="1">
        <v>42468</v>
      </c>
      <c r="L593">
        <v>94.234999999999999</v>
      </c>
    </row>
    <row r="594" spans="1:12" x14ac:dyDescent="0.25">
      <c r="A594" s="1">
        <v>42501</v>
      </c>
      <c r="B594">
        <v>14.69</v>
      </c>
      <c r="C594" s="1">
        <v>42501</v>
      </c>
      <c r="D594">
        <v>23.66</v>
      </c>
      <c r="E594" s="1">
        <v>42471</v>
      </c>
      <c r="F594">
        <v>69.7667</v>
      </c>
      <c r="G594" s="1">
        <v>42501</v>
      </c>
      <c r="H594">
        <v>42.02</v>
      </c>
      <c r="I594" s="1">
        <v>42501</v>
      </c>
      <c r="J594">
        <v>18.350000000000001</v>
      </c>
      <c r="K594" s="1">
        <v>42471</v>
      </c>
      <c r="L594">
        <v>93.95</v>
      </c>
    </row>
    <row r="595" spans="1:12" x14ac:dyDescent="0.25">
      <c r="A595" s="1">
        <v>42502</v>
      </c>
      <c r="B595">
        <v>14.41</v>
      </c>
      <c r="C595" s="1">
        <v>42502</v>
      </c>
      <c r="D595">
        <v>23.24</v>
      </c>
      <c r="E595" s="1">
        <v>42472</v>
      </c>
      <c r="F595">
        <v>68.776700000000005</v>
      </c>
      <c r="G595" s="1">
        <v>42502</v>
      </c>
      <c r="H595">
        <v>41.5</v>
      </c>
      <c r="I595" s="1">
        <v>42502</v>
      </c>
      <c r="J595">
        <v>17.84</v>
      </c>
      <c r="K595" s="1">
        <v>42472</v>
      </c>
      <c r="L595">
        <v>93.959000000000003</v>
      </c>
    </row>
    <row r="596" spans="1:12" x14ac:dyDescent="0.25">
      <c r="A596" s="1">
        <v>42503</v>
      </c>
      <c r="B596">
        <v>15.04</v>
      </c>
      <c r="C596" s="1">
        <v>42503</v>
      </c>
      <c r="D596">
        <v>24.59</v>
      </c>
      <c r="E596" s="1">
        <v>42473</v>
      </c>
      <c r="F596">
        <v>67.484999999999999</v>
      </c>
      <c r="G596" s="1">
        <v>42503</v>
      </c>
      <c r="H596">
        <v>41.57</v>
      </c>
      <c r="I596" s="1">
        <v>42503</v>
      </c>
      <c r="J596">
        <v>18.29</v>
      </c>
      <c r="K596" s="1">
        <v>42473</v>
      </c>
      <c r="L596">
        <v>94.744</v>
      </c>
    </row>
    <row r="597" spans="1:12" x14ac:dyDescent="0.25">
      <c r="A597" s="1">
        <v>42506</v>
      </c>
      <c r="B597">
        <v>14.68</v>
      </c>
      <c r="C597" s="1">
        <v>42506</v>
      </c>
      <c r="D597">
        <v>23.85</v>
      </c>
      <c r="E597" s="1">
        <v>42474</v>
      </c>
      <c r="F597">
        <v>67.52</v>
      </c>
      <c r="G597" s="1">
        <v>42506</v>
      </c>
      <c r="H597">
        <v>42.03</v>
      </c>
      <c r="I597" s="1">
        <v>42506</v>
      </c>
      <c r="J597">
        <v>18.489999999999998</v>
      </c>
      <c r="K597" s="1">
        <v>42474</v>
      </c>
      <c r="L597">
        <v>94.902000000000001</v>
      </c>
    </row>
    <row r="598" spans="1:12" x14ac:dyDescent="0.25">
      <c r="A598" s="1">
        <v>42507</v>
      </c>
      <c r="B598">
        <v>15.57</v>
      </c>
      <c r="C598" s="1">
        <v>42507</v>
      </c>
      <c r="D598">
        <v>24.17</v>
      </c>
      <c r="E598" s="1">
        <v>42475</v>
      </c>
      <c r="F598">
        <v>66.485299999999995</v>
      </c>
      <c r="G598" s="1">
        <v>42507</v>
      </c>
      <c r="H598">
        <v>42.75</v>
      </c>
      <c r="I598" s="1">
        <v>42507</v>
      </c>
      <c r="J598">
        <v>18.170000000000002</v>
      </c>
      <c r="K598" s="1">
        <v>42475</v>
      </c>
      <c r="L598">
        <v>94.695999999999998</v>
      </c>
    </row>
    <row r="599" spans="1:12" x14ac:dyDescent="0.25">
      <c r="A599" s="1">
        <v>42508</v>
      </c>
      <c r="B599">
        <v>15.95</v>
      </c>
      <c r="C599" s="1">
        <v>42508</v>
      </c>
      <c r="D599">
        <v>25.36</v>
      </c>
      <c r="E599" s="1">
        <v>42478</v>
      </c>
      <c r="F599">
        <v>66.339799999999997</v>
      </c>
      <c r="G599" s="1">
        <v>42508</v>
      </c>
      <c r="H599">
        <v>42.87</v>
      </c>
      <c r="I599" s="1">
        <v>42508</v>
      </c>
      <c r="J599">
        <v>18.2</v>
      </c>
      <c r="K599" s="1">
        <v>42478</v>
      </c>
      <c r="L599">
        <v>94.49</v>
      </c>
    </row>
    <row r="600" spans="1:12" x14ac:dyDescent="0.25">
      <c r="A600" s="1">
        <v>42509</v>
      </c>
      <c r="B600">
        <v>16.329999999999998</v>
      </c>
      <c r="C600" s="1">
        <v>42509</v>
      </c>
      <c r="D600">
        <v>25.85</v>
      </c>
      <c r="E600" s="1">
        <v>42479</v>
      </c>
      <c r="F600">
        <v>66.439800000000005</v>
      </c>
      <c r="G600" s="1">
        <v>42509</v>
      </c>
      <c r="H600">
        <v>42.4</v>
      </c>
      <c r="I600" s="1">
        <v>42509</v>
      </c>
      <c r="J600">
        <v>17.850000000000001</v>
      </c>
      <c r="K600" s="1">
        <v>42479</v>
      </c>
      <c r="L600">
        <v>93.975999999999999</v>
      </c>
    </row>
    <row r="601" spans="1:12" x14ac:dyDescent="0.25">
      <c r="A601" s="1">
        <v>42510</v>
      </c>
      <c r="B601">
        <v>15.2</v>
      </c>
      <c r="C601" s="1">
        <v>42510</v>
      </c>
      <c r="D601">
        <v>23.6</v>
      </c>
      <c r="E601" s="1">
        <v>42480</v>
      </c>
      <c r="F601">
        <v>67.768900000000002</v>
      </c>
      <c r="G601" s="1">
        <v>42510</v>
      </c>
      <c r="H601">
        <v>40.17</v>
      </c>
      <c r="I601" s="1">
        <v>42510</v>
      </c>
      <c r="J601">
        <v>17</v>
      </c>
      <c r="K601" s="1">
        <v>42480</v>
      </c>
      <c r="L601">
        <v>94.492000000000004</v>
      </c>
    </row>
    <row r="602" spans="1:12" x14ac:dyDescent="0.25">
      <c r="A602" s="1">
        <v>42513</v>
      </c>
      <c r="B602">
        <v>15.82</v>
      </c>
      <c r="C602" s="1">
        <v>42513</v>
      </c>
      <c r="D602">
        <v>23.11</v>
      </c>
      <c r="E602" s="1">
        <v>42481</v>
      </c>
      <c r="F602">
        <v>68.598200000000006</v>
      </c>
      <c r="G602" s="1">
        <v>42513</v>
      </c>
      <c r="H602">
        <v>39.44</v>
      </c>
      <c r="I602" s="1">
        <v>42513</v>
      </c>
      <c r="J602">
        <v>16.8</v>
      </c>
      <c r="K602" s="1">
        <v>42481</v>
      </c>
      <c r="L602">
        <v>94.599000000000004</v>
      </c>
    </row>
    <row r="603" spans="1:12" x14ac:dyDescent="0.25">
      <c r="A603" s="1">
        <v>42514</v>
      </c>
      <c r="B603">
        <v>14.42</v>
      </c>
      <c r="C603" s="1">
        <v>42514</v>
      </c>
      <c r="D603">
        <v>22.72</v>
      </c>
      <c r="E603" s="1">
        <v>42482</v>
      </c>
      <c r="F603">
        <v>67.780699999999996</v>
      </c>
      <c r="G603" s="1">
        <v>42514</v>
      </c>
      <c r="H603">
        <v>38.020000000000003</v>
      </c>
      <c r="I603" s="1">
        <v>42514</v>
      </c>
      <c r="J603">
        <v>16.66</v>
      </c>
      <c r="K603" s="1">
        <v>42482</v>
      </c>
      <c r="L603">
        <v>95.116</v>
      </c>
    </row>
    <row r="604" spans="1:12" x14ac:dyDescent="0.25">
      <c r="A604" s="1">
        <v>42515</v>
      </c>
      <c r="B604">
        <v>13.9</v>
      </c>
      <c r="C604" s="1">
        <v>42515</v>
      </c>
      <c r="D604">
        <v>22.07</v>
      </c>
      <c r="E604" s="1">
        <v>42485</v>
      </c>
      <c r="F604">
        <v>67.885199999999998</v>
      </c>
      <c r="G604" s="1">
        <v>42515</v>
      </c>
      <c r="H604">
        <v>35.94</v>
      </c>
      <c r="I604" s="1">
        <v>42515</v>
      </c>
      <c r="J604">
        <v>15.98</v>
      </c>
      <c r="K604" s="1">
        <v>42485</v>
      </c>
      <c r="L604">
        <v>94.841999999999999</v>
      </c>
    </row>
    <row r="605" spans="1:12" x14ac:dyDescent="0.25">
      <c r="A605" s="1">
        <v>42516</v>
      </c>
      <c r="B605">
        <v>13.43</v>
      </c>
      <c r="C605" s="1">
        <v>42516</v>
      </c>
      <c r="D605">
        <v>21.61</v>
      </c>
      <c r="E605" s="1">
        <v>42486</v>
      </c>
      <c r="F605">
        <v>67.153099999999995</v>
      </c>
      <c r="G605" s="1">
        <v>42516</v>
      </c>
      <c r="H605">
        <v>36.56</v>
      </c>
      <c r="I605" s="1">
        <v>42516</v>
      </c>
      <c r="J605">
        <v>15.29</v>
      </c>
      <c r="K605" s="1">
        <v>42486</v>
      </c>
      <c r="L605">
        <v>94.572999999999993</v>
      </c>
    </row>
    <row r="606" spans="1:12" x14ac:dyDescent="0.25">
      <c r="A606" s="1">
        <v>42517</v>
      </c>
      <c r="B606">
        <v>13.12</v>
      </c>
      <c r="C606" s="1">
        <v>42517</v>
      </c>
      <c r="D606">
        <v>21.26</v>
      </c>
      <c r="E606" s="1">
        <v>42487</v>
      </c>
      <c r="F606">
        <v>64.740499999999997</v>
      </c>
      <c r="G606" s="1">
        <v>42517</v>
      </c>
      <c r="H606">
        <v>35.97</v>
      </c>
      <c r="I606" s="1">
        <v>42517</v>
      </c>
      <c r="J606">
        <v>15.39</v>
      </c>
      <c r="K606" s="1">
        <v>42487</v>
      </c>
      <c r="L606">
        <v>94.387</v>
      </c>
    </row>
    <row r="607" spans="1:12" x14ac:dyDescent="0.25">
      <c r="A607" s="1">
        <v>42521</v>
      </c>
      <c r="B607">
        <v>14.19</v>
      </c>
      <c r="C607" s="1">
        <v>42521</v>
      </c>
      <c r="D607">
        <v>22.45</v>
      </c>
      <c r="E607" s="1">
        <v>42488</v>
      </c>
      <c r="F607">
        <v>64.644300000000001</v>
      </c>
      <c r="G607" s="1">
        <v>42521</v>
      </c>
      <c r="H607">
        <v>38.08</v>
      </c>
      <c r="I607" s="1">
        <v>42521</v>
      </c>
      <c r="J607">
        <v>15.83</v>
      </c>
      <c r="K607" s="1">
        <v>42488</v>
      </c>
      <c r="L607">
        <v>93.760999999999996</v>
      </c>
    </row>
    <row r="608" spans="1:12" x14ac:dyDescent="0.25">
      <c r="A608" s="1">
        <v>42522</v>
      </c>
      <c r="B608">
        <v>14.2</v>
      </c>
      <c r="C608" s="1">
        <v>42522</v>
      </c>
      <c r="D608">
        <v>21.97</v>
      </c>
      <c r="E608" s="1">
        <v>42489</v>
      </c>
      <c r="F608">
        <v>64.921000000000006</v>
      </c>
      <c r="G608" s="1">
        <v>42522</v>
      </c>
      <c r="H608">
        <v>40</v>
      </c>
      <c r="I608" s="1">
        <v>42522</v>
      </c>
      <c r="J608">
        <v>15.92</v>
      </c>
      <c r="K608" s="1">
        <v>42489</v>
      </c>
      <c r="L608">
        <v>93.081999999999994</v>
      </c>
    </row>
    <row r="609" spans="1:12" x14ac:dyDescent="0.25">
      <c r="A609" s="1">
        <v>42523</v>
      </c>
      <c r="B609">
        <v>13.63</v>
      </c>
      <c r="C609" s="1">
        <v>42523</v>
      </c>
      <c r="D609">
        <v>20.91</v>
      </c>
      <c r="E609" s="1">
        <v>42492</v>
      </c>
      <c r="F609">
        <v>64.680800000000005</v>
      </c>
      <c r="G609" s="1">
        <v>42523</v>
      </c>
      <c r="H609">
        <v>36.64</v>
      </c>
      <c r="I609" s="1">
        <v>42523</v>
      </c>
      <c r="J609">
        <v>16.05</v>
      </c>
      <c r="K609" s="1">
        <v>42492</v>
      </c>
      <c r="L609">
        <v>92.626000000000005</v>
      </c>
    </row>
    <row r="610" spans="1:12" x14ac:dyDescent="0.25">
      <c r="A610" s="1">
        <v>42524</v>
      </c>
      <c r="B610">
        <v>13.47</v>
      </c>
      <c r="C610" s="1">
        <v>42524</v>
      </c>
      <c r="D610">
        <v>20.440000000000001</v>
      </c>
      <c r="E610" s="1">
        <v>42493</v>
      </c>
      <c r="F610">
        <v>68.413300000000007</v>
      </c>
      <c r="G610" s="1">
        <v>42524</v>
      </c>
      <c r="H610">
        <v>34.81</v>
      </c>
      <c r="I610" s="1">
        <v>42524</v>
      </c>
      <c r="J610">
        <v>17.45</v>
      </c>
      <c r="K610" s="1">
        <v>42493</v>
      </c>
      <c r="L610">
        <v>92.944000000000003</v>
      </c>
    </row>
    <row r="611" spans="1:12" x14ac:dyDescent="0.25">
      <c r="A611" s="1">
        <v>42527</v>
      </c>
      <c r="B611">
        <v>13.65</v>
      </c>
      <c r="C611" s="1">
        <v>42527</v>
      </c>
      <c r="D611">
        <v>20.83</v>
      </c>
      <c r="E611" s="1">
        <v>42494</v>
      </c>
      <c r="F611">
        <v>68.119299999999996</v>
      </c>
      <c r="G611" s="1">
        <v>42527</v>
      </c>
      <c r="H611">
        <v>35.61</v>
      </c>
      <c r="I611" s="1">
        <v>42527</v>
      </c>
      <c r="J611">
        <v>17.760000000000002</v>
      </c>
      <c r="K611" s="1">
        <v>42494</v>
      </c>
      <c r="L611">
        <v>93.179000000000002</v>
      </c>
    </row>
    <row r="612" spans="1:12" x14ac:dyDescent="0.25">
      <c r="A612" s="1">
        <v>42528</v>
      </c>
      <c r="B612">
        <v>14.05</v>
      </c>
      <c r="C612" s="1">
        <v>42528</v>
      </c>
      <c r="D612">
        <v>20.56</v>
      </c>
      <c r="E612" s="1">
        <v>42495</v>
      </c>
      <c r="F612">
        <v>68.667400000000001</v>
      </c>
      <c r="G612" s="1">
        <v>42528</v>
      </c>
      <c r="H612">
        <v>36.19</v>
      </c>
      <c r="I612" s="1">
        <v>42528</v>
      </c>
      <c r="J612">
        <v>17.29</v>
      </c>
      <c r="K612" s="1">
        <v>42495</v>
      </c>
      <c r="L612">
        <v>93.78</v>
      </c>
    </row>
    <row r="613" spans="1:12" x14ac:dyDescent="0.25">
      <c r="A613" s="1">
        <v>42529</v>
      </c>
      <c r="B613">
        <v>14.08</v>
      </c>
      <c r="C613" s="1">
        <v>42529</v>
      </c>
      <c r="D613">
        <v>20.190000000000001</v>
      </c>
      <c r="E613" s="1">
        <v>42496</v>
      </c>
      <c r="F613">
        <v>65.153800000000004</v>
      </c>
      <c r="G613" s="1">
        <v>42529</v>
      </c>
      <c r="H613">
        <v>35.17</v>
      </c>
      <c r="I613" s="1">
        <v>42529</v>
      </c>
      <c r="J613">
        <v>18.760000000000002</v>
      </c>
      <c r="K613" s="1">
        <v>42496</v>
      </c>
      <c r="L613">
        <v>93.888000000000005</v>
      </c>
    </row>
    <row r="614" spans="1:12" x14ac:dyDescent="0.25">
      <c r="A614" s="1">
        <v>42530</v>
      </c>
      <c r="B614">
        <v>14.64</v>
      </c>
      <c r="C614" s="1">
        <v>42530</v>
      </c>
      <c r="D614">
        <v>20.98</v>
      </c>
      <c r="E614" s="1">
        <v>42499</v>
      </c>
      <c r="F614">
        <v>64.119</v>
      </c>
      <c r="G614" s="1">
        <v>42530</v>
      </c>
      <c r="H614">
        <v>35.9</v>
      </c>
      <c r="I614" s="1">
        <v>42530</v>
      </c>
      <c r="J614">
        <v>20.28</v>
      </c>
      <c r="K614" s="1">
        <v>42499</v>
      </c>
      <c r="L614">
        <v>94.128</v>
      </c>
    </row>
    <row r="615" spans="1:12" x14ac:dyDescent="0.25">
      <c r="A615" s="1">
        <v>42531</v>
      </c>
      <c r="B615">
        <v>17.03</v>
      </c>
      <c r="C615" s="1">
        <v>42531</v>
      </c>
      <c r="D615">
        <v>24.22</v>
      </c>
      <c r="E615" s="1">
        <v>42500</v>
      </c>
      <c r="F615">
        <v>63.9664</v>
      </c>
      <c r="G615" s="1">
        <v>42531</v>
      </c>
      <c r="H615">
        <v>39.950000000000003</v>
      </c>
      <c r="I615" s="1">
        <v>42531</v>
      </c>
      <c r="J615">
        <v>20.52</v>
      </c>
      <c r="K615" s="1">
        <v>42500</v>
      </c>
      <c r="L615">
        <v>94.29</v>
      </c>
    </row>
    <row r="616" spans="1:12" x14ac:dyDescent="0.25">
      <c r="A616" s="1">
        <v>42534</v>
      </c>
      <c r="B616">
        <v>20.97</v>
      </c>
      <c r="C616" s="1">
        <v>42534</v>
      </c>
      <c r="D616">
        <v>28.29</v>
      </c>
      <c r="E616" s="1">
        <v>42501</v>
      </c>
      <c r="F616">
        <v>63.888800000000003</v>
      </c>
      <c r="G616" s="1">
        <v>42534</v>
      </c>
      <c r="H616">
        <v>42.72</v>
      </c>
      <c r="I616" s="1">
        <v>42534</v>
      </c>
      <c r="J616">
        <v>21.11</v>
      </c>
      <c r="K616" s="1">
        <v>42501</v>
      </c>
      <c r="L616">
        <v>93.822999999999993</v>
      </c>
    </row>
    <row r="617" spans="1:12" x14ac:dyDescent="0.25">
      <c r="A617" s="1">
        <v>42535</v>
      </c>
      <c r="B617">
        <v>20.5</v>
      </c>
      <c r="C617" s="1">
        <v>42535</v>
      </c>
      <c r="D617">
        <v>28.29</v>
      </c>
      <c r="E617" s="1">
        <v>42502</v>
      </c>
      <c r="F617">
        <v>63.918500000000002</v>
      </c>
      <c r="G617" s="1">
        <v>42535</v>
      </c>
      <c r="H617">
        <v>43.07</v>
      </c>
      <c r="I617" s="1">
        <v>42535</v>
      </c>
      <c r="J617">
        <v>20.63</v>
      </c>
      <c r="K617" s="1">
        <v>42502</v>
      </c>
      <c r="L617">
        <v>94.15</v>
      </c>
    </row>
    <row r="618" spans="1:12" x14ac:dyDescent="0.25">
      <c r="A618" s="1">
        <v>42536</v>
      </c>
      <c r="B618">
        <v>20.14</v>
      </c>
      <c r="C618" s="1">
        <v>42536</v>
      </c>
      <c r="D618">
        <v>27.27</v>
      </c>
      <c r="E618" s="1">
        <v>42503</v>
      </c>
      <c r="F618">
        <v>64.066000000000003</v>
      </c>
      <c r="G618" s="1">
        <v>42536</v>
      </c>
      <c r="H618">
        <v>42.58</v>
      </c>
      <c r="I618" s="1">
        <v>42536</v>
      </c>
      <c r="J618">
        <v>20.68</v>
      </c>
      <c r="K618" s="1">
        <v>42503</v>
      </c>
      <c r="L618">
        <v>94.608000000000004</v>
      </c>
    </row>
    <row r="619" spans="1:12" x14ac:dyDescent="0.25">
      <c r="A619" s="1">
        <v>42537</v>
      </c>
      <c r="B619">
        <v>19.37</v>
      </c>
      <c r="C619" s="1">
        <v>42537</v>
      </c>
      <c r="D619">
        <v>27.28</v>
      </c>
      <c r="E619" s="1">
        <v>42506</v>
      </c>
      <c r="F619">
        <v>66.939599999999999</v>
      </c>
      <c r="G619" s="1">
        <v>42537</v>
      </c>
      <c r="H619">
        <v>44.49</v>
      </c>
      <c r="I619" s="1">
        <v>42537</v>
      </c>
      <c r="J619">
        <v>21.95</v>
      </c>
      <c r="K619" s="1">
        <v>42506</v>
      </c>
      <c r="L619">
        <v>94.572000000000003</v>
      </c>
    </row>
    <row r="620" spans="1:12" x14ac:dyDescent="0.25">
      <c r="A620" s="1">
        <v>42538</v>
      </c>
      <c r="B620">
        <v>19.41</v>
      </c>
      <c r="C620" s="1">
        <v>42538</v>
      </c>
      <c r="D620">
        <v>27.22</v>
      </c>
      <c r="E620" s="1">
        <v>42507</v>
      </c>
      <c r="F620">
        <v>67.119500000000002</v>
      </c>
      <c r="G620" s="1">
        <v>42538</v>
      </c>
      <c r="H620">
        <v>41.35</v>
      </c>
      <c r="I620" s="1">
        <v>42538</v>
      </c>
      <c r="J620">
        <v>22.52</v>
      </c>
      <c r="K620" s="1">
        <v>42507</v>
      </c>
      <c r="L620">
        <v>94.548000000000002</v>
      </c>
    </row>
    <row r="621" spans="1:12" x14ac:dyDescent="0.25">
      <c r="A621" s="1">
        <v>42541</v>
      </c>
      <c r="B621">
        <v>18.37</v>
      </c>
      <c r="C621" s="1">
        <v>42541</v>
      </c>
      <c r="D621">
        <v>26.74</v>
      </c>
      <c r="E621" s="1">
        <v>42508</v>
      </c>
      <c r="F621">
        <v>69.847899999999996</v>
      </c>
      <c r="G621" s="1">
        <v>42541</v>
      </c>
      <c r="H621">
        <v>38.99</v>
      </c>
      <c r="I621" s="1">
        <v>42541</v>
      </c>
      <c r="J621">
        <v>21.01</v>
      </c>
      <c r="K621" s="1">
        <v>42508</v>
      </c>
      <c r="L621">
        <v>95.08</v>
      </c>
    </row>
    <row r="622" spans="1:12" x14ac:dyDescent="0.25">
      <c r="A622" s="1">
        <v>42542</v>
      </c>
      <c r="B622">
        <v>18.48</v>
      </c>
      <c r="C622" s="1">
        <v>42542</v>
      </c>
      <c r="D622">
        <v>26.28</v>
      </c>
      <c r="E622" s="1">
        <v>42509</v>
      </c>
      <c r="F622">
        <v>70.555400000000006</v>
      </c>
      <c r="G622" s="1">
        <v>42542</v>
      </c>
      <c r="H622">
        <v>40.369999999999997</v>
      </c>
      <c r="I622" s="1">
        <v>42542</v>
      </c>
      <c r="J622">
        <v>20.65</v>
      </c>
      <c r="K622" s="1">
        <v>42509</v>
      </c>
      <c r="L622">
        <v>95.287000000000006</v>
      </c>
    </row>
    <row r="623" spans="1:12" x14ac:dyDescent="0.25">
      <c r="A623" s="1">
        <v>42543</v>
      </c>
      <c r="B623">
        <v>21.17</v>
      </c>
      <c r="C623" s="1">
        <v>42543</v>
      </c>
      <c r="D623">
        <v>29.67</v>
      </c>
      <c r="E623" s="1">
        <v>42510</v>
      </c>
      <c r="F623">
        <v>68.5137</v>
      </c>
      <c r="G623" s="1">
        <v>42543</v>
      </c>
      <c r="H623">
        <v>43.25</v>
      </c>
      <c r="I623" s="1">
        <v>42543</v>
      </c>
      <c r="J623">
        <v>22.25</v>
      </c>
      <c r="K623" s="1">
        <v>42510</v>
      </c>
      <c r="L623">
        <v>95.334000000000003</v>
      </c>
    </row>
    <row r="624" spans="1:12" x14ac:dyDescent="0.25">
      <c r="A624" s="1">
        <v>42544</v>
      </c>
      <c r="B624">
        <v>17.25</v>
      </c>
      <c r="C624" s="1">
        <v>42544</v>
      </c>
      <c r="D624">
        <v>25.68</v>
      </c>
      <c r="E624" s="1">
        <v>42513</v>
      </c>
      <c r="F624">
        <v>67.784300000000002</v>
      </c>
      <c r="G624" s="1">
        <v>42544</v>
      </c>
      <c r="H624">
        <v>40.1</v>
      </c>
      <c r="I624" s="1">
        <v>42544</v>
      </c>
      <c r="J624">
        <v>20.100000000000001</v>
      </c>
      <c r="K624" s="1">
        <v>42513</v>
      </c>
      <c r="L624">
        <v>95.230999999999995</v>
      </c>
    </row>
    <row r="625" spans="1:12" x14ac:dyDescent="0.25">
      <c r="A625" s="1">
        <v>42545</v>
      </c>
      <c r="B625">
        <v>25.76</v>
      </c>
      <c r="C625" s="1">
        <v>42545</v>
      </c>
      <c r="D625">
        <v>29.58</v>
      </c>
      <c r="E625" s="1">
        <v>42514</v>
      </c>
      <c r="F625">
        <v>69.410600000000002</v>
      </c>
      <c r="G625" s="1">
        <v>42545</v>
      </c>
      <c r="H625">
        <v>43.33</v>
      </c>
      <c r="I625" s="1">
        <v>42545</v>
      </c>
      <c r="J625">
        <v>22.2</v>
      </c>
      <c r="K625" s="1">
        <v>42514</v>
      </c>
      <c r="L625">
        <v>95.570999999999998</v>
      </c>
    </row>
    <row r="626" spans="1:12" x14ac:dyDescent="0.25">
      <c r="A626" s="1">
        <v>42548</v>
      </c>
      <c r="B626">
        <v>23.85</v>
      </c>
      <c r="C626" s="1">
        <v>42548</v>
      </c>
      <c r="D626">
        <v>29.17</v>
      </c>
      <c r="E626" s="1">
        <v>42515</v>
      </c>
      <c r="F626">
        <v>67.5364</v>
      </c>
      <c r="G626" s="1">
        <v>42548</v>
      </c>
      <c r="H626">
        <v>42.85</v>
      </c>
      <c r="I626" s="1">
        <v>42548</v>
      </c>
      <c r="J626">
        <v>22.52</v>
      </c>
      <c r="K626" s="1">
        <v>42515</v>
      </c>
      <c r="L626">
        <v>95.353999999999999</v>
      </c>
    </row>
    <row r="627" spans="1:12" x14ac:dyDescent="0.25">
      <c r="A627" s="1">
        <v>42549</v>
      </c>
      <c r="B627">
        <v>18.75</v>
      </c>
      <c r="C627" s="1">
        <v>42549</v>
      </c>
      <c r="D627">
        <v>25.15</v>
      </c>
      <c r="E627" s="1">
        <v>42516</v>
      </c>
      <c r="F627">
        <v>66.153899999999993</v>
      </c>
      <c r="G627" s="1">
        <v>42549</v>
      </c>
      <c r="H627">
        <v>40.18</v>
      </c>
      <c r="I627" s="1">
        <v>42549</v>
      </c>
      <c r="J627">
        <v>20.18</v>
      </c>
      <c r="K627" s="1">
        <v>42516</v>
      </c>
      <c r="L627">
        <v>95.168000000000006</v>
      </c>
    </row>
    <row r="628" spans="1:12" x14ac:dyDescent="0.25">
      <c r="A628" s="1">
        <v>42550</v>
      </c>
      <c r="B628">
        <v>16.64</v>
      </c>
      <c r="C628" s="1">
        <v>42550</v>
      </c>
      <c r="D628">
        <v>24.44</v>
      </c>
      <c r="E628" s="1">
        <v>42517</v>
      </c>
      <c r="F628">
        <v>66.764399999999995</v>
      </c>
      <c r="G628" s="1">
        <v>42550</v>
      </c>
      <c r="H628">
        <v>38.29</v>
      </c>
      <c r="I628" s="1">
        <v>42550</v>
      </c>
      <c r="J628">
        <v>19.260000000000002</v>
      </c>
      <c r="K628" s="1">
        <v>42517</v>
      </c>
      <c r="L628">
        <v>95.521000000000001</v>
      </c>
    </row>
    <row r="629" spans="1:12" x14ac:dyDescent="0.25">
      <c r="A629" s="1">
        <v>42551</v>
      </c>
      <c r="B629">
        <v>15.63</v>
      </c>
      <c r="C629" s="1">
        <v>42551</v>
      </c>
      <c r="D629">
        <v>23.69</v>
      </c>
      <c r="E629" s="1">
        <v>42520</v>
      </c>
      <c r="F629">
        <v>66.764399999999995</v>
      </c>
      <c r="G629" s="1">
        <v>42551</v>
      </c>
      <c r="H629">
        <v>38.090000000000003</v>
      </c>
      <c r="I629" s="1">
        <v>42551</v>
      </c>
      <c r="J629">
        <v>18.5</v>
      </c>
      <c r="K629" s="1">
        <v>42520</v>
      </c>
      <c r="L629">
        <v>95.521000000000001</v>
      </c>
    </row>
    <row r="630" spans="1:12" x14ac:dyDescent="0.25">
      <c r="A630" s="1">
        <v>42552</v>
      </c>
      <c r="B630">
        <v>14.77</v>
      </c>
      <c r="C630" s="1">
        <v>42552</v>
      </c>
      <c r="D630">
        <v>22.54</v>
      </c>
      <c r="E630" s="1">
        <v>42521</v>
      </c>
      <c r="F630">
        <v>67.914900000000003</v>
      </c>
      <c r="G630" s="1">
        <v>42552</v>
      </c>
      <c r="H630">
        <v>36.18</v>
      </c>
      <c r="I630" s="1">
        <v>42552</v>
      </c>
      <c r="J630">
        <v>18.43</v>
      </c>
      <c r="K630" s="1">
        <v>42521</v>
      </c>
      <c r="L630">
        <v>95.891000000000005</v>
      </c>
    </row>
    <row r="631" spans="1:12" x14ac:dyDescent="0.25">
      <c r="A631" s="1">
        <v>42556</v>
      </c>
      <c r="B631">
        <v>15.58</v>
      </c>
      <c r="C631" s="1">
        <v>42556</v>
      </c>
      <c r="D631">
        <v>24.78</v>
      </c>
      <c r="E631" s="1">
        <v>42522</v>
      </c>
      <c r="F631">
        <v>68.750100000000003</v>
      </c>
      <c r="G631" s="1">
        <v>42556</v>
      </c>
      <c r="H631">
        <v>40.08</v>
      </c>
      <c r="I631" s="1">
        <v>42556</v>
      </c>
      <c r="J631">
        <v>20.09</v>
      </c>
      <c r="K631" s="1">
        <v>42522</v>
      </c>
      <c r="L631">
        <v>95.454999999999998</v>
      </c>
    </row>
    <row r="632" spans="1:12" x14ac:dyDescent="0.25">
      <c r="A632" s="1">
        <v>42557</v>
      </c>
      <c r="B632">
        <v>14.96</v>
      </c>
      <c r="C632" s="1">
        <v>42557</v>
      </c>
      <c r="D632">
        <v>24.17</v>
      </c>
      <c r="E632" s="1">
        <v>42523</v>
      </c>
      <c r="F632">
        <v>69.559200000000004</v>
      </c>
      <c r="G632" s="1">
        <v>42557</v>
      </c>
      <c r="H632">
        <v>41.43</v>
      </c>
      <c r="I632" s="1">
        <v>42557</v>
      </c>
      <c r="J632">
        <v>21.18</v>
      </c>
      <c r="K632" s="1">
        <v>42523</v>
      </c>
      <c r="L632">
        <v>95.563999999999993</v>
      </c>
    </row>
    <row r="633" spans="1:12" x14ac:dyDescent="0.25">
      <c r="A633" s="1">
        <v>42558</v>
      </c>
      <c r="B633">
        <v>14.76</v>
      </c>
      <c r="C633" s="1">
        <v>42558</v>
      </c>
      <c r="D633">
        <v>23.72</v>
      </c>
      <c r="E633" s="1">
        <v>42524</v>
      </c>
      <c r="F633">
        <v>67.592299999999994</v>
      </c>
      <c r="G633" s="1">
        <v>42558</v>
      </c>
      <c r="H633">
        <v>43.24</v>
      </c>
      <c r="I633" s="1">
        <v>42558</v>
      </c>
      <c r="J633">
        <v>20.55</v>
      </c>
      <c r="K633" s="1">
        <v>42524</v>
      </c>
      <c r="L633">
        <v>94.028999999999996</v>
      </c>
    </row>
    <row r="634" spans="1:12" x14ac:dyDescent="0.25">
      <c r="A634" s="1">
        <v>42559</v>
      </c>
      <c r="B634">
        <v>13.2</v>
      </c>
      <c r="C634" s="1">
        <v>42559</v>
      </c>
      <c r="D634">
        <v>21.55</v>
      </c>
      <c r="E634" s="1">
        <v>42527</v>
      </c>
      <c r="F634">
        <v>66.269000000000005</v>
      </c>
      <c r="G634" s="1">
        <v>42559</v>
      </c>
      <c r="H634">
        <v>41.41</v>
      </c>
      <c r="I634" s="1">
        <v>42559</v>
      </c>
      <c r="J634">
        <v>18.79</v>
      </c>
      <c r="K634" s="1">
        <v>42527</v>
      </c>
      <c r="L634">
        <v>93.902000000000001</v>
      </c>
    </row>
    <row r="635" spans="1:12" x14ac:dyDescent="0.25">
      <c r="A635" s="1">
        <v>42562</v>
      </c>
      <c r="B635">
        <v>13.54</v>
      </c>
      <c r="C635" s="1">
        <v>42562</v>
      </c>
      <c r="D635">
        <v>20.350000000000001</v>
      </c>
      <c r="E635" s="1">
        <v>42528</v>
      </c>
      <c r="F635">
        <v>64.449399999999997</v>
      </c>
      <c r="G635" s="1">
        <v>42562</v>
      </c>
      <c r="H635">
        <v>42.51</v>
      </c>
      <c r="I635" s="1">
        <v>42562</v>
      </c>
      <c r="J635">
        <v>18.93</v>
      </c>
      <c r="K635" s="1">
        <v>42528</v>
      </c>
      <c r="L635">
        <v>93.828000000000003</v>
      </c>
    </row>
    <row r="636" spans="1:12" x14ac:dyDescent="0.25">
      <c r="A636" s="1">
        <v>42563</v>
      </c>
      <c r="B636">
        <v>13.55</v>
      </c>
      <c r="C636" s="1">
        <v>42563</v>
      </c>
      <c r="D636">
        <v>20.81</v>
      </c>
      <c r="E636" s="1">
        <v>42529</v>
      </c>
      <c r="F636">
        <v>67.918700000000001</v>
      </c>
      <c r="G636" s="1">
        <v>42563</v>
      </c>
      <c r="H636">
        <v>39.67</v>
      </c>
      <c r="I636" s="1">
        <v>42563</v>
      </c>
      <c r="J636">
        <v>17.940000000000001</v>
      </c>
      <c r="K636" s="1">
        <v>42529</v>
      </c>
      <c r="L636">
        <v>93.59</v>
      </c>
    </row>
    <row r="637" spans="1:12" x14ac:dyDescent="0.25">
      <c r="A637" s="1">
        <v>42564</v>
      </c>
      <c r="B637">
        <v>13.04</v>
      </c>
      <c r="C637" s="1">
        <v>42564</v>
      </c>
      <c r="D637">
        <v>20.46</v>
      </c>
      <c r="E637" s="1">
        <v>42530</v>
      </c>
      <c r="F637">
        <v>70.560199999999995</v>
      </c>
      <c r="G637" s="1">
        <v>42564</v>
      </c>
      <c r="H637">
        <v>43.1</v>
      </c>
      <c r="I637" s="1">
        <v>42564</v>
      </c>
      <c r="J637">
        <v>17.61</v>
      </c>
      <c r="K637" s="1">
        <v>42530</v>
      </c>
      <c r="L637">
        <v>93.953000000000003</v>
      </c>
    </row>
    <row r="638" spans="1:12" x14ac:dyDescent="0.25">
      <c r="A638" s="1">
        <v>42565</v>
      </c>
      <c r="B638">
        <v>12.82</v>
      </c>
      <c r="C638" s="1">
        <v>42565</v>
      </c>
      <c r="D638">
        <v>21.09</v>
      </c>
      <c r="E638" s="1">
        <v>42531</v>
      </c>
      <c r="F638">
        <v>75.098200000000006</v>
      </c>
      <c r="G638" s="1">
        <v>42565</v>
      </c>
      <c r="H638">
        <v>38.299999999999997</v>
      </c>
      <c r="I638" s="1">
        <v>42565</v>
      </c>
      <c r="J638">
        <v>17.149999999999999</v>
      </c>
      <c r="K638" s="1">
        <v>42531</v>
      </c>
      <c r="L638">
        <v>94.570999999999998</v>
      </c>
    </row>
    <row r="639" spans="1:12" x14ac:dyDescent="0.25">
      <c r="A639" s="1">
        <v>42566</v>
      </c>
      <c r="B639">
        <v>12.67</v>
      </c>
      <c r="C639" s="1">
        <v>42566</v>
      </c>
      <c r="D639">
        <v>20.74</v>
      </c>
      <c r="E639" s="1">
        <v>42534</v>
      </c>
      <c r="F639">
        <v>79.566199999999995</v>
      </c>
      <c r="G639" s="1">
        <v>42566</v>
      </c>
      <c r="H639">
        <v>36.659999999999997</v>
      </c>
      <c r="I639" s="1">
        <v>42566</v>
      </c>
      <c r="J639">
        <v>16.91</v>
      </c>
      <c r="K639" s="1">
        <v>42534</v>
      </c>
      <c r="L639">
        <v>94.361999999999995</v>
      </c>
    </row>
    <row r="640" spans="1:12" x14ac:dyDescent="0.25">
      <c r="A640" s="1">
        <v>42569</v>
      </c>
      <c r="B640">
        <v>12.44</v>
      </c>
      <c r="C640" s="1">
        <v>42569</v>
      </c>
      <c r="D640">
        <v>20.5</v>
      </c>
      <c r="E640" s="1">
        <v>42535</v>
      </c>
      <c r="F640">
        <v>79.101200000000006</v>
      </c>
      <c r="G640" s="1">
        <v>42569</v>
      </c>
      <c r="H640">
        <v>38.15</v>
      </c>
      <c r="I640" s="1">
        <v>42569</v>
      </c>
      <c r="J640">
        <v>16.96</v>
      </c>
      <c r="K640" s="1">
        <v>42535</v>
      </c>
      <c r="L640">
        <v>94.927999999999997</v>
      </c>
    </row>
    <row r="641" spans="1:12" x14ac:dyDescent="0.25">
      <c r="A641" s="1">
        <v>42570</v>
      </c>
      <c r="B641">
        <v>11.97</v>
      </c>
      <c r="C641" s="1">
        <v>42570</v>
      </c>
      <c r="D641">
        <v>20.41</v>
      </c>
      <c r="E641" s="1">
        <v>42536</v>
      </c>
      <c r="F641">
        <v>78.667299999999997</v>
      </c>
      <c r="G641" s="1">
        <v>42570</v>
      </c>
      <c r="H641">
        <v>37.200000000000003</v>
      </c>
      <c r="I641" s="1">
        <v>42570</v>
      </c>
      <c r="J641">
        <v>16.71</v>
      </c>
      <c r="K641" s="1">
        <v>42536</v>
      </c>
      <c r="L641">
        <v>94.61</v>
      </c>
    </row>
    <row r="642" spans="1:12" x14ac:dyDescent="0.25">
      <c r="A642" s="1">
        <v>42571</v>
      </c>
      <c r="B642">
        <v>11.77</v>
      </c>
      <c r="C642" s="1">
        <v>42571</v>
      </c>
      <c r="D642">
        <v>20.2</v>
      </c>
      <c r="E642" s="1">
        <v>42537</v>
      </c>
      <c r="F642">
        <v>83.543999999999997</v>
      </c>
      <c r="G642" s="1">
        <v>42571</v>
      </c>
      <c r="H642">
        <v>37.020000000000003</v>
      </c>
      <c r="I642" s="1">
        <v>42571</v>
      </c>
      <c r="J642">
        <v>17.21</v>
      </c>
      <c r="K642" s="1">
        <v>42537</v>
      </c>
      <c r="L642">
        <v>94.569000000000003</v>
      </c>
    </row>
    <row r="643" spans="1:12" x14ac:dyDescent="0.25">
      <c r="A643" s="1">
        <v>42572</v>
      </c>
      <c r="B643">
        <v>12.74</v>
      </c>
      <c r="C643" s="1">
        <v>42572</v>
      </c>
      <c r="D643">
        <v>20.59</v>
      </c>
      <c r="E643" s="1">
        <v>42538</v>
      </c>
      <c r="F643">
        <v>82.580600000000004</v>
      </c>
      <c r="G643" s="1">
        <v>42572</v>
      </c>
      <c r="H643">
        <v>38.130000000000003</v>
      </c>
      <c r="I643" s="1">
        <v>42572</v>
      </c>
      <c r="J643">
        <v>17.77</v>
      </c>
      <c r="K643" s="1">
        <v>42538</v>
      </c>
      <c r="L643">
        <v>94.206000000000003</v>
      </c>
    </row>
    <row r="644" spans="1:12" x14ac:dyDescent="0.25">
      <c r="A644" s="1">
        <v>42573</v>
      </c>
      <c r="B644">
        <v>12.02</v>
      </c>
      <c r="C644" s="1">
        <v>42573</v>
      </c>
      <c r="D644">
        <v>19.95</v>
      </c>
      <c r="E644" s="1">
        <v>42541</v>
      </c>
      <c r="F644">
        <v>77.320800000000006</v>
      </c>
      <c r="G644" s="1">
        <v>42573</v>
      </c>
      <c r="H644">
        <v>38.85</v>
      </c>
      <c r="I644" s="1">
        <v>42573</v>
      </c>
      <c r="J644">
        <v>17.61</v>
      </c>
      <c r="K644" s="1">
        <v>42541</v>
      </c>
      <c r="L644">
        <v>93.611000000000004</v>
      </c>
    </row>
    <row r="645" spans="1:12" x14ac:dyDescent="0.25">
      <c r="A645" s="1">
        <v>42576</v>
      </c>
      <c r="B645">
        <v>12.87</v>
      </c>
      <c r="C645" s="1">
        <v>42576</v>
      </c>
      <c r="D645">
        <v>21.53</v>
      </c>
      <c r="E645" s="1">
        <v>42542</v>
      </c>
      <c r="F645">
        <v>76.963999999999999</v>
      </c>
      <c r="G645" s="1">
        <v>42576</v>
      </c>
      <c r="H645">
        <v>40.97</v>
      </c>
      <c r="I645" s="1">
        <v>42576</v>
      </c>
      <c r="J645">
        <v>17.739999999999998</v>
      </c>
      <c r="K645" s="1">
        <v>42542</v>
      </c>
      <c r="L645">
        <v>94.016999999999996</v>
      </c>
    </row>
    <row r="646" spans="1:12" x14ac:dyDescent="0.25">
      <c r="A646" s="1">
        <v>42577</v>
      </c>
      <c r="B646">
        <v>13.05</v>
      </c>
      <c r="C646" s="1">
        <v>42577</v>
      </c>
      <c r="D646">
        <v>21.31</v>
      </c>
      <c r="E646" s="1">
        <v>42543</v>
      </c>
      <c r="F646">
        <v>79.52</v>
      </c>
      <c r="G646" s="1">
        <v>42577</v>
      </c>
      <c r="H646">
        <v>41.27</v>
      </c>
      <c r="I646" s="1">
        <v>42577</v>
      </c>
      <c r="J646">
        <v>17.45</v>
      </c>
      <c r="K646" s="1">
        <v>42543</v>
      </c>
      <c r="L646">
        <v>93.715999999999994</v>
      </c>
    </row>
    <row r="647" spans="1:12" x14ac:dyDescent="0.25">
      <c r="A647" s="1">
        <v>42578</v>
      </c>
      <c r="B647">
        <v>12.83</v>
      </c>
      <c r="C647" s="1">
        <v>42578</v>
      </c>
      <c r="D647">
        <v>20.74</v>
      </c>
      <c r="E647" s="1">
        <v>42544</v>
      </c>
      <c r="F647">
        <v>74.044700000000006</v>
      </c>
      <c r="G647" s="1">
        <v>42578</v>
      </c>
      <c r="H647">
        <v>41.6</v>
      </c>
      <c r="I647" s="1">
        <v>42578</v>
      </c>
      <c r="J647">
        <v>16.93</v>
      </c>
      <c r="K647" s="1">
        <v>42544</v>
      </c>
      <c r="L647">
        <v>93.528999999999996</v>
      </c>
    </row>
    <row r="648" spans="1:12" x14ac:dyDescent="0.25">
      <c r="A648" s="1">
        <v>42579</v>
      </c>
      <c r="B648">
        <v>12.72</v>
      </c>
      <c r="C648" s="1">
        <v>42579</v>
      </c>
      <c r="D648">
        <v>20.12</v>
      </c>
      <c r="E648" s="1">
        <v>42545</v>
      </c>
      <c r="F648">
        <v>77.940200000000004</v>
      </c>
      <c r="G648" s="1">
        <v>42579</v>
      </c>
      <c r="H648">
        <v>42.93</v>
      </c>
      <c r="I648" s="1">
        <v>42579</v>
      </c>
      <c r="J648">
        <v>16.309999999999999</v>
      </c>
      <c r="K648" s="1">
        <v>42545</v>
      </c>
      <c r="L648">
        <v>95.447999999999993</v>
      </c>
    </row>
    <row r="649" spans="1:12" x14ac:dyDescent="0.25">
      <c r="A649" s="1">
        <v>42580</v>
      </c>
      <c r="B649">
        <v>11.87</v>
      </c>
      <c r="C649" s="1">
        <v>42580</v>
      </c>
      <c r="D649">
        <v>19.190000000000001</v>
      </c>
      <c r="E649" s="1">
        <v>42548</v>
      </c>
      <c r="F649">
        <v>81.567800000000005</v>
      </c>
      <c r="G649" s="1">
        <v>42580</v>
      </c>
      <c r="H649">
        <v>41.08</v>
      </c>
      <c r="I649" s="1">
        <v>42580</v>
      </c>
      <c r="J649">
        <v>15.8</v>
      </c>
      <c r="K649" s="1">
        <v>42548</v>
      </c>
      <c r="L649">
        <v>96.543999999999997</v>
      </c>
    </row>
    <row r="650" spans="1:12" x14ac:dyDescent="0.25">
      <c r="A650" s="1">
        <v>42583</v>
      </c>
      <c r="B650">
        <v>12.44</v>
      </c>
      <c r="C650" s="1">
        <v>42583</v>
      </c>
      <c r="D650">
        <v>19.78</v>
      </c>
      <c r="E650" s="1">
        <v>42549</v>
      </c>
      <c r="F650">
        <v>78.673900000000003</v>
      </c>
      <c r="G650" s="1">
        <v>42583</v>
      </c>
      <c r="H650">
        <v>44.22</v>
      </c>
      <c r="I650" s="1">
        <v>42583</v>
      </c>
      <c r="J650">
        <v>16.28</v>
      </c>
      <c r="K650" s="1">
        <v>42549</v>
      </c>
      <c r="L650">
        <v>96.245000000000005</v>
      </c>
    </row>
    <row r="651" spans="1:12" x14ac:dyDescent="0.25">
      <c r="A651" s="1">
        <v>42584</v>
      </c>
      <c r="B651">
        <v>13.37</v>
      </c>
      <c r="C651" s="1">
        <v>42584</v>
      </c>
      <c r="D651">
        <v>20.99</v>
      </c>
      <c r="E651" s="1">
        <v>42550</v>
      </c>
      <c r="F651">
        <v>71.803100000000001</v>
      </c>
      <c r="G651" s="1">
        <v>42584</v>
      </c>
      <c r="H651">
        <v>45.7</v>
      </c>
      <c r="I651" s="1">
        <v>42584</v>
      </c>
      <c r="J651">
        <v>16.45</v>
      </c>
      <c r="K651" s="1">
        <v>42550</v>
      </c>
      <c r="L651">
        <v>95.769000000000005</v>
      </c>
    </row>
    <row r="652" spans="1:12" x14ac:dyDescent="0.25">
      <c r="A652" s="1">
        <v>42585</v>
      </c>
      <c r="B652">
        <v>12.86</v>
      </c>
      <c r="C652" s="1">
        <v>42585</v>
      </c>
      <c r="D652">
        <v>20.53</v>
      </c>
      <c r="E652" s="1">
        <v>42551</v>
      </c>
      <c r="F652">
        <v>72.638599999999997</v>
      </c>
      <c r="G652" s="1">
        <v>42585</v>
      </c>
      <c r="H652">
        <v>44.64</v>
      </c>
      <c r="I652" s="1">
        <v>42585</v>
      </c>
      <c r="J652">
        <v>16.18</v>
      </c>
      <c r="K652" s="1">
        <v>42551</v>
      </c>
      <c r="L652">
        <v>96.143000000000001</v>
      </c>
    </row>
    <row r="653" spans="1:12" x14ac:dyDescent="0.25">
      <c r="A653" s="1">
        <v>42586</v>
      </c>
      <c r="B653">
        <v>12.42</v>
      </c>
      <c r="C653" s="1">
        <v>42586</v>
      </c>
      <c r="D653">
        <v>19.61</v>
      </c>
      <c r="E653" s="1">
        <v>42552</v>
      </c>
      <c r="F653">
        <v>74.3476</v>
      </c>
      <c r="G653" s="1">
        <v>42586</v>
      </c>
      <c r="H653">
        <v>43.1</v>
      </c>
      <c r="I653" s="1">
        <v>42586</v>
      </c>
      <c r="J653">
        <v>16.059999999999999</v>
      </c>
      <c r="K653" s="1">
        <v>42552</v>
      </c>
      <c r="L653">
        <v>95.649000000000001</v>
      </c>
    </row>
    <row r="654" spans="1:12" x14ac:dyDescent="0.25">
      <c r="A654" s="1">
        <v>42587</v>
      </c>
      <c r="B654">
        <v>11.39</v>
      </c>
      <c r="C654" s="1">
        <v>42587</v>
      </c>
      <c r="D654">
        <v>18.36</v>
      </c>
      <c r="E654" s="1">
        <v>42555</v>
      </c>
      <c r="F654">
        <v>74.3476</v>
      </c>
      <c r="G654" s="1">
        <v>42587</v>
      </c>
      <c r="H654">
        <v>41.5</v>
      </c>
      <c r="I654" s="1">
        <v>42587</v>
      </c>
      <c r="J654">
        <v>15.6</v>
      </c>
      <c r="K654" s="1">
        <v>42555</v>
      </c>
      <c r="L654">
        <v>95.649000000000001</v>
      </c>
    </row>
    <row r="655" spans="1:12" x14ac:dyDescent="0.25">
      <c r="A655" s="1">
        <v>42590</v>
      </c>
      <c r="B655">
        <v>11.5</v>
      </c>
      <c r="C655" s="1">
        <v>42590</v>
      </c>
      <c r="D655">
        <v>18.64</v>
      </c>
      <c r="E655" s="1">
        <v>42556</v>
      </c>
      <c r="F655">
        <v>78.118899999999996</v>
      </c>
      <c r="G655" s="1">
        <v>42590</v>
      </c>
      <c r="H655">
        <v>41.14</v>
      </c>
      <c r="I655" s="1">
        <v>42590</v>
      </c>
      <c r="J655">
        <v>15.49</v>
      </c>
      <c r="K655" s="1">
        <v>42556</v>
      </c>
      <c r="L655">
        <v>96.165999999999997</v>
      </c>
    </row>
    <row r="656" spans="1:12" x14ac:dyDescent="0.25">
      <c r="A656" s="1">
        <v>42591</v>
      </c>
      <c r="B656">
        <v>11.66</v>
      </c>
      <c r="C656" s="1">
        <v>42591</v>
      </c>
      <c r="D656">
        <v>18.29</v>
      </c>
      <c r="E656" s="1">
        <v>42557</v>
      </c>
      <c r="F656">
        <v>76.093699999999998</v>
      </c>
      <c r="G656" s="1">
        <v>42591</v>
      </c>
      <c r="H656">
        <v>39.76</v>
      </c>
      <c r="I656" s="1">
        <v>42591</v>
      </c>
      <c r="J656">
        <v>14.41</v>
      </c>
      <c r="K656" s="1">
        <v>42557</v>
      </c>
      <c r="L656">
        <v>96.052999999999997</v>
      </c>
    </row>
    <row r="657" spans="1:12" x14ac:dyDescent="0.25">
      <c r="A657" s="1">
        <v>42592</v>
      </c>
      <c r="B657">
        <v>12.05</v>
      </c>
      <c r="C657" s="1">
        <v>42592</v>
      </c>
      <c r="D657">
        <v>18.8</v>
      </c>
      <c r="E657" s="1">
        <v>42558</v>
      </c>
      <c r="F657">
        <v>76.725300000000004</v>
      </c>
      <c r="G657" s="1">
        <v>42592</v>
      </c>
      <c r="H657">
        <v>39.32</v>
      </c>
      <c r="I657" s="1">
        <v>42592</v>
      </c>
      <c r="J657">
        <v>14.89</v>
      </c>
      <c r="K657" s="1">
        <v>42558</v>
      </c>
      <c r="L657">
        <v>96.328000000000003</v>
      </c>
    </row>
    <row r="658" spans="1:12" x14ac:dyDescent="0.25">
      <c r="A658" s="1">
        <v>42593</v>
      </c>
      <c r="B658">
        <v>11.68</v>
      </c>
      <c r="C658" s="1">
        <v>42593</v>
      </c>
      <c r="D658">
        <v>18.66</v>
      </c>
      <c r="E658" s="1">
        <v>42559</v>
      </c>
      <c r="F658">
        <v>72.305099999999996</v>
      </c>
      <c r="G658" s="1">
        <v>42593</v>
      </c>
      <c r="H658">
        <v>39.29</v>
      </c>
      <c r="I658" s="1">
        <v>42593</v>
      </c>
      <c r="J658">
        <v>15.37</v>
      </c>
      <c r="K658" s="1">
        <v>42559</v>
      </c>
      <c r="L658">
        <v>96.302000000000007</v>
      </c>
    </row>
    <row r="659" spans="1:12" x14ac:dyDescent="0.25">
      <c r="A659" s="1">
        <v>42594</v>
      </c>
      <c r="B659">
        <v>11.55</v>
      </c>
      <c r="C659" s="1">
        <v>42594</v>
      </c>
      <c r="D659">
        <v>18.72</v>
      </c>
      <c r="E659" s="1">
        <v>42562</v>
      </c>
      <c r="F659">
        <v>69.781300000000002</v>
      </c>
      <c r="G659" s="1">
        <v>42594</v>
      </c>
      <c r="H659">
        <v>37.78</v>
      </c>
      <c r="I659" s="1">
        <v>42594</v>
      </c>
      <c r="J659">
        <v>15.01</v>
      </c>
      <c r="K659" s="1">
        <v>42562</v>
      </c>
      <c r="L659">
        <v>96.570999999999998</v>
      </c>
    </row>
    <row r="660" spans="1:12" x14ac:dyDescent="0.25">
      <c r="A660" s="1">
        <v>42597</v>
      </c>
      <c r="B660">
        <v>11.81</v>
      </c>
      <c r="C660" s="1">
        <v>42597</v>
      </c>
      <c r="D660">
        <v>18.62</v>
      </c>
      <c r="E660" s="1">
        <v>42563</v>
      </c>
      <c r="F660">
        <v>71.430700000000002</v>
      </c>
      <c r="G660" s="1">
        <v>42597</v>
      </c>
      <c r="H660">
        <v>37.28</v>
      </c>
      <c r="I660" s="1">
        <v>42597</v>
      </c>
      <c r="J660">
        <v>14.67</v>
      </c>
      <c r="K660" s="1">
        <v>42563</v>
      </c>
      <c r="L660">
        <v>96.441000000000003</v>
      </c>
    </row>
    <row r="661" spans="1:12" x14ac:dyDescent="0.25">
      <c r="A661" s="1">
        <v>42598</v>
      </c>
      <c r="B661">
        <v>12.64</v>
      </c>
      <c r="C661" s="1">
        <v>42598</v>
      </c>
      <c r="D661">
        <v>19.98</v>
      </c>
      <c r="E661" s="1">
        <v>42564</v>
      </c>
      <c r="F661">
        <v>71.645799999999994</v>
      </c>
      <c r="G661" s="1">
        <v>42598</v>
      </c>
      <c r="H661">
        <v>37.450000000000003</v>
      </c>
      <c r="I661" s="1">
        <v>42598</v>
      </c>
      <c r="J661">
        <v>16.13</v>
      </c>
      <c r="K661" s="1">
        <v>42564</v>
      </c>
      <c r="L661">
        <v>96.215999999999994</v>
      </c>
    </row>
    <row r="662" spans="1:12" x14ac:dyDescent="0.25">
      <c r="A662" s="1">
        <v>42599</v>
      </c>
      <c r="B662">
        <v>12.19</v>
      </c>
      <c r="C662" s="1">
        <v>42599</v>
      </c>
      <c r="D662">
        <v>19.899999999999999</v>
      </c>
      <c r="E662" s="1">
        <v>42565</v>
      </c>
      <c r="F662">
        <v>73.564899999999994</v>
      </c>
      <c r="G662" s="1">
        <v>42599</v>
      </c>
      <c r="H662">
        <v>35.119999999999997</v>
      </c>
      <c r="I662" s="1">
        <v>42599</v>
      </c>
      <c r="J662">
        <v>15.83</v>
      </c>
      <c r="K662" s="1">
        <v>42565</v>
      </c>
      <c r="L662">
        <v>96.076999999999998</v>
      </c>
    </row>
    <row r="663" spans="1:12" x14ac:dyDescent="0.25">
      <c r="A663" s="1">
        <v>42600</v>
      </c>
      <c r="B663">
        <v>11.43</v>
      </c>
      <c r="C663" s="1">
        <v>42600</v>
      </c>
      <c r="D663">
        <v>18.829999999999998</v>
      </c>
      <c r="E663" s="1">
        <v>42566</v>
      </c>
      <c r="F663">
        <v>74.772900000000007</v>
      </c>
      <c r="G663" s="1">
        <v>42600</v>
      </c>
      <c r="H663">
        <v>36.75</v>
      </c>
      <c r="I663" s="1">
        <v>42600</v>
      </c>
      <c r="J663">
        <v>14.97</v>
      </c>
      <c r="K663" s="1">
        <v>42566</v>
      </c>
      <c r="L663">
        <v>96.58</v>
      </c>
    </row>
    <row r="664" spans="1:12" x14ac:dyDescent="0.25">
      <c r="A664" s="1">
        <v>42601</v>
      </c>
      <c r="B664">
        <v>11.34</v>
      </c>
      <c r="C664" s="1">
        <v>42601</v>
      </c>
      <c r="D664">
        <v>19.09</v>
      </c>
      <c r="E664" s="1">
        <v>42569</v>
      </c>
      <c r="F664">
        <v>72.924599999999998</v>
      </c>
      <c r="G664" s="1">
        <v>42601</v>
      </c>
      <c r="H664">
        <v>34.880000000000003</v>
      </c>
      <c r="I664" s="1">
        <v>42601</v>
      </c>
      <c r="J664">
        <v>15.35</v>
      </c>
      <c r="K664" s="1">
        <v>42569</v>
      </c>
      <c r="L664">
        <v>96.561999999999998</v>
      </c>
    </row>
    <row r="665" spans="1:12" x14ac:dyDescent="0.25">
      <c r="A665" s="1">
        <v>42604</v>
      </c>
      <c r="B665">
        <v>12.27</v>
      </c>
      <c r="C665" s="1">
        <v>42604</v>
      </c>
      <c r="D665">
        <v>20.37</v>
      </c>
      <c r="E665" s="1">
        <v>42570</v>
      </c>
      <c r="F665">
        <v>70.527299999999997</v>
      </c>
      <c r="G665" s="1">
        <v>42604</v>
      </c>
      <c r="H665">
        <v>36.409999999999997</v>
      </c>
      <c r="I665" s="1">
        <v>42604</v>
      </c>
      <c r="J665">
        <v>15.82</v>
      </c>
      <c r="K665" s="1">
        <v>42570</v>
      </c>
      <c r="L665">
        <v>97.063000000000002</v>
      </c>
    </row>
    <row r="666" spans="1:12" x14ac:dyDescent="0.25">
      <c r="A666" s="1">
        <v>42605</v>
      </c>
      <c r="B666">
        <v>12.38</v>
      </c>
      <c r="C666" s="1">
        <v>42605</v>
      </c>
      <c r="D666">
        <v>20.399999999999999</v>
      </c>
      <c r="E666" s="1">
        <v>42571</v>
      </c>
      <c r="F666">
        <v>70.642099999999999</v>
      </c>
      <c r="G666" s="1">
        <v>42605</v>
      </c>
      <c r="H666">
        <v>37.53</v>
      </c>
      <c r="I666" s="1">
        <v>42605</v>
      </c>
      <c r="J666">
        <v>15.62</v>
      </c>
      <c r="K666" s="1">
        <v>42571</v>
      </c>
      <c r="L666">
        <v>97.200999999999993</v>
      </c>
    </row>
    <row r="667" spans="1:12" x14ac:dyDescent="0.25">
      <c r="A667" s="1">
        <v>42606</v>
      </c>
      <c r="B667">
        <v>13.45</v>
      </c>
      <c r="C667" s="1">
        <v>42606</v>
      </c>
      <c r="D667">
        <v>20.98</v>
      </c>
      <c r="E667" s="1">
        <v>42572</v>
      </c>
      <c r="F667">
        <v>71.8596</v>
      </c>
      <c r="G667" s="1">
        <v>42606</v>
      </c>
      <c r="H667">
        <v>37.46</v>
      </c>
      <c r="I667" s="1">
        <v>42606</v>
      </c>
      <c r="J667">
        <v>16.89</v>
      </c>
      <c r="K667" s="1">
        <v>42572</v>
      </c>
      <c r="L667">
        <v>97</v>
      </c>
    </row>
    <row r="668" spans="1:12" x14ac:dyDescent="0.25">
      <c r="A668" s="1">
        <v>42607</v>
      </c>
      <c r="B668">
        <v>13.63</v>
      </c>
      <c r="C668" s="1">
        <v>42607</v>
      </c>
      <c r="D668">
        <v>21.02</v>
      </c>
      <c r="E668" s="1">
        <v>42573</v>
      </c>
      <c r="F668">
        <v>69.908000000000001</v>
      </c>
      <c r="G668" s="1">
        <v>42607</v>
      </c>
      <c r="H668">
        <v>36.76</v>
      </c>
      <c r="I668" s="1">
        <v>42607</v>
      </c>
      <c r="J668">
        <v>16.73</v>
      </c>
      <c r="K668" s="1">
        <v>42573</v>
      </c>
      <c r="L668">
        <v>97.466999999999999</v>
      </c>
    </row>
    <row r="669" spans="1:12" x14ac:dyDescent="0.25">
      <c r="A669" s="1">
        <v>42608</v>
      </c>
      <c r="B669">
        <v>13.65</v>
      </c>
      <c r="C669" s="1">
        <v>42608</v>
      </c>
      <c r="D669">
        <v>20.86</v>
      </c>
      <c r="E669" s="1">
        <v>42576</v>
      </c>
      <c r="F669">
        <v>68.747200000000007</v>
      </c>
      <c r="G669" s="1">
        <v>42608</v>
      </c>
      <c r="H669">
        <v>36.049999999999997</v>
      </c>
      <c r="I669" s="1">
        <v>42608</v>
      </c>
      <c r="J669">
        <v>16.170000000000002</v>
      </c>
      <c r="K669" s="1">
        <v>42576</v>
      </c>
      <c r="L669">
        <v>97.286000000000001</v>
      </c>
    </row>
    <row r="670" spans="1:12" x14ac:dyDescent="0.25">
      <c r="A670" s="1">
        <v>42611</v>
      </c>
      <c r="B670">
        <v>12.94</v>
      </c>
      <c r="C670" s="1">
        <v>42611</v>
      </c>
      <c r="D670">
        <v>20.12</v>
      </c>
      <c r="E670" s="1">
        <v>42577</v>
      </c>
      <c r="F670">
        <v>68.758700000000005</v>
      </c>
      <c r="G670" s="1">
        <v>42611</v>
      </c>
      <c r="H670">
        <v>36.72</v>
      </c>
      <c r="I670" s="1">
        <v>42611</v>
      </c>
      <c r="J670">
        <v>15.95</v>
      </c>
      <c r="K670" s="1">
        <v>42577</v>
      </c>
      <c r="L670">
        <v>97.156000000000006</v>
      </c>
    </row>
    <row r="671" spans="1:12" x14ac:dyDescent="0.25">
      <c r="A671" s="1">
        <v>42612</v>
      </c>
      <c r="B671">
        <v>13.12</v>
      </c>
      <c r="C671" s="1">
        <v>42612</v>
      </c>
      <c r="D671">
        <v>20.5</v>
      </c>
      <c r="E671" s="1">
        <v>42578</v>
      </c>
      <c r="F671">
        <v>66.641499999999994</v>
      </c>
      <c r="G671" s="1">
        <v>42612</v>
      </c>
      <c r="H671">
        <v>38.03</v>
      </c>
      <c r="I671" s="1">
        <v>42612</v>
      </c>
      <c r="J671">
        <v>15.99</v>
      </c>
      <c r="K671" s="1">
        <v>42578</v>
      </c>
      <c r="L671">
        <v>97.052999999999997</v>
      </c>
    </row>
    <row r="672" spans="1:12" x14ac:dyDescent="0.25">
      <c r="A672" s="1">
        <v>42613</v>
      </c>
      <c r="B672">
        <v>13.42</v>
      </c>
      <c r="C672" s="1">
        <v>42613</v>
      </c>
      <c r="D672">
        <v>21.55</v>
      </c>
      <c r="E672" s="1">
        <v>42579</v>
      </c>
      <c r="F672">
        <v>66.672899999999998</v>
      </c>
      <c r="G672" s="1">
        <v>42613</v>
      </c>
      <c r="H672">
        <v>39.5</v>
      </c>
      <c r="I672" s="1">
        <v>42613</v>
      </c>
      <c r="J672">
        <v>16.010000000000002</v>
      </c>
      <c r="K672" s="1">
        <v>42579</v>
      </c>
      <c r="L672">
        <v>96.739000000000004</v>
      </c>
    </row>
    <row r="673" spans="1:12" x14ac:dyDescent="0.25">
      <c r="A673" s="1">
        <v>42614</v>
      </c>
      <c r="B673">
        <v>13.48</v>
      </c>
      <c r="C673" s="1">
        <v>42614</v>
      </c>
      <c r="D673">
        <v>21.27</v>
      </c>
      <c r="E673" s="1">
        <v>42580</v>
      </c>
      <c r="F673">
        <v>64.146799999999999</v>
      </c>
      <c r="G673" s="1">
        <v>42614</v>
      </c>
      <c r="H673">
        <v>41.22</v>
      </c>
      <c r="I673" s="1">
        <v>42614</v>
      </c>
      <c r="J673">
        <v>16.25</v>
      </c>
      <c r="K673" s="1">
        <v>42580</v>
      </c>
      <c r="L673">
        <v>95.53</v>
      </c>
    </row>
    <row r="674" spans="1:12" x14ac:dyDescent="0.25">
      <c r="A674" s="1">
        <v>42615</v>
      </c>
      <c r="B674">
        <v>11.98</v>
      </c>
      <c r="C674" s="1">
        <v>42615</v>
      </c>
      <c r="D674">
        <v>19.510000000000002</v>
      </c>
      <c r="E674" s="1">
        <v>42583</v>
      </c>
      <c r="F674">
        <v>63.669600000000003</v>
      </c>
      <c r="G674" s="1">
        <v>42615</v>
      </c>
      <c r="H674">
        <v>38.64</v>
      </c>
      <c r="I674" s="1">
        <v>42615</v>
      </c>
      <c r="J674">
        <v>14.58</v>
      </c>
      <c r="K674" s="1">
        <v>42583</v>
      </c>
      <c r="L674">
        <v>95.712999999999994</v>
      </c>
    </row>
    <row r="675" spans="1:12" x14ac:dyDescent="0.25">
      <c r="A675" s="1">
        <v>42619</v>
      </c>
      <c r="B675">
        <v>12.02</v>
      </c>
      <c r="C675" s="1">
        <v>42619</v>
      </c>
      <c r="D675">
        <v>19.62</v>
      </c>
      <c r="E675" s="1">
        <v>42584</v>
      </c>
      <c r="F675">
        <v>67.845500000000001</v>
      </c>
      <c r="G675" s="1">
        <v>42619</v>
      </c>
      <c r="H675">
        <v>39.85</v>
      </c>
      <c r="I675" s="1">
        <v>42619</v>
      </c>
      <c r="J675">
        <v>15.6</v>
      </c>
      <c r="K675" s="1">
        <v>42584</v>
      </c>
      <c r="L675">
        <v>95.063999999999993</v>
      </c>
    </row>
    <row r="676" spans="1:12" x14ac:dyDescent="0.25">
      <c r="A676" s="1">
        <v>42620</v>
      </c>
      <c r="B676">
        <v>11.94</v>
      </c>
      <c r="C676" s="1">
        <v>42620</v>
      </c>
      <c r="D676">
        <v>19.64</v>
      </c>
      <c r="E676" s="1">
        <v>42585</v>
      </c>
      <c r="F676">
        <v>67.793599999999998</v>
      </c>
      <c r="G676" s="1">
        <v>42620</v>
      </c>
      <c r="H676">
        <v>38.630000000000003</v>
      </c>
      <c r="I676" s="1">
        <v>42620</v>
      </c>
      <c r="J676">
        <v>15</v>
      </c>
      <c r="K676" s="1">
        <v>42585</v>
      </c>
      <c r="L676">
        <v>95.563000000000002</v>
      </c>
    </row>
    <row r="677" spans="1:12" x14ac:dyDescent="0.25">
      <c r="A677" s="1">
        <v>42621</v>
      </c>
      <c r="B677">
        <v>12.51</v>
      </c>
      <c r="C677" s="1">
        <v>42621</v>
      </c>
      <c r="D677">
        <v>19.739999999999998</v>
      </c>
      <c r="E677" s="1">
        <v>42586</v>
      </c>
      <c r="F677">
        <v>67.103999999999999</v>
      </c>
      <c r="G677" s="1">
        <v>42621</v>
      </c>
      <c r="H677">
        <v>38.21</v>
      </c>
      <c r="I677" s="1">
        <v>42621</v>
      </c>
      <c r="J677">
        <v>14.97</v>
      </c>
      <c r="K677" s="1">
        <v>42586</v>
      </c>
      <c r="L677">
        <v>95.757999999999996</v>
      </c>
    </row>
    <row r="678" spans="1:12" x14ac:dyDescent="0.25">
      <c r="A678" s="1">
        <v>42622</v>
      </c>
      <c r="B678">
        <v>17.5</v>
      </c>
      <c r="C678" s="1">
        <v>42622</v>
      </c>
      <c r="D678">
        <v>23.82</v>
      </c>
      <c r="E678" s="1">
        <v>42587</v>
      </c>
      <c r="F678">
        <v>66.585400000000007</v>
      </c>
      <c r="G678" s="1">
        <v>42622</v>
      </c>
      <c r="H678">
        <v>39.72</v>
      </c>
      <c r="I678" s="1">
        <v>42622</v>
      </c>
      <c r="J678">
        <v>15.49</v>
      </c>
      <c r="K678" s="1">
        <v>42587</v>
      </c>
      <c r="L678">
        <v>96.194000000000003</v>
      </c>
    </row>
    <row r="679" spans="1:12" x14ac:dyDescent="0.25">
      <c r="A679" s="1">
        <v>42625</v>
      </c>
      <c r="B679">
        <v>15.16</v>
      </c>
      <c r="C679" s="1">
        <v>42625</v>
      </c>
      <c r="D679">
        <v>23.38</v>
      </c>
      <c r="E679" s="1">
        <v>42590</v>
      </c>
      <c r="F679">
        <v>65.502499999999998</v>
      </c>
      <c r="G679" s="1">
        <v>42625</v>
      </c>
      <c r="H679">
        <v>39.159999999999997</v>
      </c>
      <c r="I679" s="1">
        <v>42625</v>
      </c>
      <c r="J679">
        <v>15.2</v>
      </c>
      <c r="K679" s="1">
        <v>42590</v>
      </c>
      <c r="L679">
        <v>96.400999999999996</v>
      </c>
    </row>
    <row r="680" spans="1:12" x14ac:dyDescent="0.25">
      <c r="A680" s="1">
        <v>42626</v>
      </c>
      <c r="B680">
        <v>17.850000000000001</v>
      </c>
      <c r="C680" s="1">
        <v>42626</v>
      </c>
      <c r="D680">
        <v>26.56</v>
      </c>
      <c r="E680" s="1">
        <v>42591</v>
      </c>
      <c r="F680">
        <v>64.303299999999993</v>
      </c>
      <c r="G680" s="1">
        <v>42626</v>
      </c>
      <c r="H680">
        <v>41.1</v>
      </c>
      <c r="I680" s="1">
        <v>42626</v>
      </c>
      <c r="J680">
        <v>15.78</v>
      </c>
      <c r="K680" s="1">
        <v>42591</v>
      </c>
      <c r="L680">
        <v>96.183000000000007</v>
      </c>
    </row>
    <row r="681" spans="1:12" x14ac:dyDescent="0.25">
      <c r="A681" s="1">
        <v>42627</v>
      </c>
      <c r="B681">
        <v>18.14</v>
      </c>
      <c r="C681" s="1">
        <v>42627</v>
      </c>
      <c r="D681">
        <v>26.04</v>
      </c>
      <c r="E681" s="1">
        <v>42592</v>
      </c>
      <c r="F681">
        <v>63.339199999999998</v>
      </c>
      <c r="G681" s="1">
        <v>42627</v>
      </c>
      <c r="H681">
        <v>42.47</v>
      </c>
      <c r="I681" s="1">
        <v>42627</v>
      </c>
      <c r="J681">
        <v>15.32</v>
      </c>
      <c r="K681" s="1">
        <v>42592</v>
      </c>
      <c r="L681">
        <v>95.65</v>
      </c>
    </row>
    <row r="682" spans="1:12" x14ac:dyDescent="0.25">
      <c r="A682" s="1">
        <v>42628</v>
      </c>
      <c r="B682">
        <v>16.3</v>
      </c>
      <c r="C682" s="1">
        <v>42628</v>
      </c>
      <c r="D682">
        <v>24.41</v>
      </c>
      <c r="E682" s="1">
        <v>42593</v>
      </c>
      <c r="F682">
        <v>65.289299999999997</v>
      </c>
      <c r="G682" s="1">
        <v>42628</v>
      </c>
      <c r="H682">
        <v>40.9</v>
      </c>
      <c r="I682" s="1">
        <v>42628</v>
      </c>
      <c r="J682">
        <v>15.07</v>
      </c>
      <c r="K682" s="1">
        <v>42593</v>
      </c>
      <c r="L682">
        <v>95.856999999999999</v>
      </c>
    </row>
    <row r="683" spans="1:12" x14ac:dyDescent="0.25">
      <c r="A683" s="1">
        <v>42629</v>
      </c>
      <c r="B683">
        <v>15.37</v>
      </c>
      <c r="C683" s="1">
        <v>42629</v>
      </c>
      <c r="D683">
        <v>23.38</v>
      </c>
      <c r="E683" s="1">
        <v>42594</v>
      </c>
      <c r="F683">
        <v>64.369200000000006</v>
      </c>
      <c r="G683" s="1">
        <v>42629</v>
      </c>
      <c r="H683">
        <v>39.86</v>
      </c>
      <c r="I683" s="1">
        <v>42629</v>
      </c>
      <c r="J683">
        <v>14.78</v>
      </c>
      <c r="K683" s="1">
        <v>42594</v>
      </c>
      <c r="L683">
        <v>95.721999999999994</v>
      </c>
    </row>
    <row r="684" spans="1:12" x14ac:dyDescent="0.25">
      <c r="A684" s="1">
        <v>42632</v>
      </c>
      <c r="B684">
        <v>15.53</v>
      </c>
      <c r="C684" s="1">
        <v>42632</v>
      </c>
      <c r="D684">
        <v>23.31</v>
      </c>
      <c r="E684" s="1">
        <v>42597</v>
      </c>
      <c r="F684">
        <v>63.769300000000001</v>
      </c>
      <c r="G684" s="1">
        <v>42632</v>
      </c>
      <c r="H684">
        <v>39.659999999999997</v>
      </c>
      <c r="I684" s="1">
        <v>42632</v>
      </c>
      <c r="J684">
        <v>15.68</v>
      </c>
      <c r="K684" s="1">
        <v>42597</v>
      </c>
      <c r="L684">
        <v>95.629000000000005</v>
      </c>
    </row>
    <row r="685" spans="1:12" x14ac:dyDescent="0.25">
      <c r="A685" s="1">
        <v>42633</v>
      </c>
      <c r="B685">
        <v>15.92</v>
      </c>
      <c r="C685" s="1">
        <v>42633</v>
      </c>
      <c r="D685">
        <v>23.02</v>
      </c>
      <c r="E685" s="1">
        <v>42598</v>
      </c>
      <c r="F685">
        <v>63.671199999999999</v>
      </c>
      <c r="G685" s="1">
        <v>42633</v>
      </c>
      <c r="H685">
        <v>40.99</v>
      </c>
      <c r="I685" s="1">
        <v>42633</v>
      </c>
      <c r="J685">
        <v>15.69</v>
      </c>
      <c r="K685" s="1">
        <v>42598</v>
      </c>
      <c r="L685">
        <v>94.790999999999997</v>
      </c>
    </row>
    <row r="686" spans="1:12" x14ac:dyDescent="0.25">
      <c r="A686" s="1">
        <v>42634</v>
      </c>
      <c r="B686">
        <v>13.3</v>
      </c>
      <c r="C686" s="1">
        <v>42634</v>
      </c>
      <c r="D686">
        <v>19.809999999999999</v>
      </c>
      <c r="E686" s="1">
        <v>42599</v>
      </c>
      <c r="F686">
        <v>63.540300000000002</v>
      </c>
      <c r="G686" s="1">
        <v>42634</v>
      </c>
      <c r="H686">
        <v>39.85</v>
      </c>
      <c r="I686" s="1">
        <v>42634</v>
      </c>
      <c r="J686">
        <v>14.69</v>
      </c>
      <c r="K686" s="1">
        <v>42599</v>
      </c>
      <c r="L686">
        <v>94.718000000000004</v>
      </c>
    </row>
    <row r="687" spans="1:12" x14ac:dyDescent="0.25">
      <c r="A687" s="1">
        <v>42635</v>
      </c>
      <c r="B687">
        <v>12.02</v>
      </c>
      <c r="C687" s="1">
        <v>42635</v>
      </c>
      <c r="D687">
        <v>19.059999999999999</v>
      </c>
      <c r="E687" s="1">
        <v>42600</v>
      </c>
      <c r="F687">
        <v>63.650799999999997</v>
      </c>
      <c r="G687" s="1">
        <v>42635</v>
      </c>
      <c r="H687">
        <v>41.57</v>
      </c>
      <c r="I687" s="1">
        <v>42635</v>
      </c>
      <c r="J687">
        <v>13.73</v>
      </c>
      <c r="K687" s="1">
        <v>42600</v>
      </c>
      <c r="L687">
        <v>94.156999999999996</v>
      </c>
    </row>
    <row r="688" spans="1:12" x14ac:dyDescent="0.25">
      <c r="A688" s="1">
        <v>42636</v>
      </c>
      <c r="B688">
        <v>12.29</v>
      </c>
      <c r="C688" s="1">
        <v>42636</v>
      </c>
      <c r="D688">
        <v>20.67</v>
      </c>
      <c r="E688" s="1">
        <v>42601</v>
      </c>
      <c r="F688">
        <v>64.815100000000001</v>
      </c>
      <c r="G688" s="1">
        <v>42636</v>
      </c>
      <c r="H688">
        <v>43.89</v>
      </c>
      <c r="I688" s="1">
        <v>42636</v>
      </c>
      <c r="J688">
        <v>13.93</v>
      </c>
      <c r="K688" s="1">
        <v>42601</v>
      </c>
      <c r="L688">
        <v>94.510999999999996</v>
      </c>
    </row>
    <row r="689" spans="1:12" x14ac:dyDescent="0.25">
      <c r="A689" s="1">
        <v>42639</v>
      </c>
      <c r="B689">
        <v>14.5</v>
      </c>
      <c r="C689" s="1">
        <v>42639</v>
      </c>
      <c r="D689">
        <v>22.76</v>
      </c>
      <c r="E689" s="1">
        <v>42604</v>
      </c>
      <c r="F689">
        <v>67.871099999999998</v>
      </c>
      <c r="G689" s="1">
        <v>42639</v>
      </c>
      <c r="H689">
        <v>44.9</v>
      </c>
      <c r="I689" s="1">
        <v>42639</v>
      </c>
      <c r="J689">
        <v>14.98</v>
      </c>
      <c r="K689" s="1">
        <v>42604</v>
      </c>
      <c r="L689">
        <v>94.519000000000005</v>
      </c>
    </row>
    <row r="690" spans="1:12" x14ac:dyDescent="0.25">
      <c r="A690" s="1">
        <v>42640</v>
      </c>
      <c r="B690">
        <v>13.1</v>
      </c>
      <c r="C690" s="1">
        <v>42640</v>
      </c>
      <c r="D690">
        <v>21.22</v>
      </c>
      <c r="E690" s="1">
        <v>42605</v>
      </c>
      <c r="F690">
        <v>66.616600000000005</v>
      </c>
      <c r="G690" s="1">
        <v>42640</v>
      </c>
      <c r="H690">
        <v>43.88</v>
      </c>
      <c r="I690" s="1">
        <v>42640</v>
      </c>
      <c r="J690">
        <v>14.53</v>
      </c>
      <c r="K690" s="1">
        <v>42605</v>
      </c>
      <c r="L690">
        <v>94.539000000000001</v>
      </c>
    </row>
    <row r="691" spans="1:12" x14ac:dyDescent="0.25">
      <c r="A691" s="1">
        <v>42641</v>
      </c>
      <c r="B691">
        <v>12.39</v>
      </c>
      <c r="C691" s="1">
        <v>42641</v>
      </c>
      <c r="D691">
        <v>20.77</v>
      </c>
      <c r="E691" s="1">
        <v>42606</v>
      </c>
      <c r="F691">
        <v>66.508899999999997</v>
      </c>
      <c r="G691" s="1">
        <v>42641</v>
      </c>
      <c r="H691">
        <v>45.24</v>
      </c>
      <c r="I691" s="1">
        <v>42641</v>
      </c>
      <c r="J691">
        <v>13.98</v>
      </c>
      <c r="K691" s="1">
        <v>42606</v>
      </c>
      <c r="L691">
        <v>94.786000000000001</v>
      </c>
    </row>
    <row r="692" spans="1:12" x14ac:dyDescent="0.25">
      <c r="A692" s="1">
        <v>42642</v>
      </c>
      <c r="B692">
        <v>14.02</v>
      </c>
      <c r="C692" s="1">
        <v>42642</v>
      </c>
      <c r="D692">
        <v>23.72</v>
      </c>
      <c r="E692" s="1">
        <v>42607</v>
      </c>
      <c r="F692">
        <v>69.355199999999996</v>
      </c>
      <c r="G692" s="1">
        <v>42642</v>
      </c>
      <c r="H692">
        <v>42.05</v>
      </c>
      <c r="I692" s="1">
        <v>42642</v>
      </c>
      <c r="J692">
        <v>13.86</v>
      </c>
      <c r="K692" s="1">
        <v>42607</v>
      </c>
      <c r="L692">
        <v>94.772000000000006</v>
      </c>
    </row>
    <row r="693" spans="1:12" x14ac:dyDescent="0.25">
      <c r="A693" s="1">
        <v>42643</v>
      </c>
      <c r="B693">
        <v>13.29</v>
      </c>
      <c r="C693" s="1">
        <v>42643</v>
      </c>
      <c r="D693">
        <v>22.12</v>
      </c>
      <c r="E693" s="1">
        <v>42608</v>
      </c>
      <c r="F693">
        <v>71.237300000000005</v>
      </c>
      <c r="G693" s="1">
        <v>42643</v>
      </c>
      <c r="H693">
        <v>39.31</v>
      </c>
      <c r="I693" s="1">
        <v>42643</v>
      </c>
      <c r="J693">
        <v>13.88</v>
      </c>
      <c r="K693" s="1">
        <v>42608</v>
      </c>
      <c r="L693">
        <v>95.566000000000003</v>
      </c>
    </row>
    <row r="694" spans="1:12" x14ac:dyDescent="0.25">
      <c r="A694" s="1">
        <v>42646</v>
      </c>
      <c r="B694">
        <v>13.57</v>
      </c>
      <c r="C694" s="1">
        <v>42646</v>
      </c>
      <c r="D694">
        <v>22.5</v>
      </c>
      <c r="E694" s="1">
        <v>42611</v>
      </c>
      <c r="F694">
        <v>68.607900000000001</v>
      </c>
      <c r="G694" s="1">
        <v>42646</v>
      </c>
      <c r="H694">
        <v>38.04</v>
      </c>
      <c r="I694" s="1">
        <v>42646</v>
      </c>
      <c r="J694">
        <v>14.16</v>
      </c>
      <c r="K694" s="1">
        <v>42611</v>
      </c>
      <c r="L694">
        <v>95.58</v>
      </c>
    </row>
    <row r="695" spans="1:12" x14ac:dyDescent="0.25">
      <c r="A695" s="1">
        <v>42647</v>
      </c>
      <c r="B695">
        <v>13.63</v>
      </c>
      <c r="C695" s="1">
        <v>42647</v>
      </c>
      <c r="D695">
        <v>23.57</v>
      </c>
      <c r="E695" s="1">
        <v>42612</v>
      </c>
      <c r="F695">
        <v>69.114199999999997</v>
      </c>
      <c r="G695" s="1">
        <v>42647</v>
      </c>
      <c r="H695">
        <v>37.659999999999997</v>
      </c>
      <c r="I695" s="1">
        <v>42647</v>
      </c>
      <c r="J695">
        <v>15.8</v>
      </c>
      <c r="K695" s="1">
        <v>42612</v>
      </c>
      <c r="L695">
        <v>96.054000000000002</v>
      </c>
    </row>
    <row r="696" spans="1:12" x14ac:dyDescent="0.25">
      <c r="A696" s="1">
        <v>42648</v>
      </c>
      <c r="B696">
        <v>12.99</v>
      </c>
      <c r="C696" s="1">
        <v>42648</v>
      </c>
      <c r="D696">
        <v>22.51</v>
      </c>
      <c r="E696" s="1">
        <v>42613</v>
      </c>
      <c r="F696">
        <v>69.080600000000004</v>
      </c>
      <c r="G696" s="1">
        <v>42648</v>
      </c>
      <c r="H696">
        <v>36.65</v>
      </c>
      <c r="I696" s="1">
        <v>42648</v>
      </c>
      <c r="J696">
        <v>15.21</v>
      </c>
      <c r="K696" s="1">
        <v>42613</v>
      </c>
      <c r="L696">
        <v>96.022000000000006</v>
      </c>
    </row>
    <row r="697" spans="1:12" x14ac:dyDescent="0.25">
      <c r="A697" s="1">
        <v>42649</v>
      </c>
      <c r="B697">
        <v>12.84</v>
      </c>
      <c r="C697" s="1">
        <v>42649</v>
      </c>
      <c r="D697">
        <v>22.59</v>
      </c>
      <c r="E697" s="1">
        <v>42614</v>
      </c>
      <c r="F697">
        <v>70.245199999999997</v>
      </c>
      <c r="G697" s="1">
        <v>42649</v>
      </c>
      <c r="H697">
        <v>35.92</v>
      </c>
      <c r="I697" s="1">
        <v>42649</v>
      </c>
      <c r="J697">
        <v>16.05</v>
      </c>
      <c r="K697" s="1">
        <v>42614</v>
      </c>
      <c r="L697">
        <v>95.653000000000006</v>
      </c>
    </row>
    <row r="698" spans="1:12" x14ac:dyDescent="0.25">
      <c r="A698" s="1">
        <v>42650</v>
      </c>
      <c r="B698">
        <v>13.48</v>
      </c>
      <c r="C698" s="1">
        <v>42650</v>
      </c>
      <c r="D698">
        <v>22.69</v>
      </c>
      <c r="E698" s="1">
        <v>42615</v>
      </c>
      <c r="F698">
        <v>66.464299999999994</v>
      </c>
      <c r="G698" s="1">
        <v>42650</v>
      </c>
      <c r="H698">
        <v>36.6</v>
      </c>
      <c r="I698" s="1">
        <v>42650</v>
      </c>
      <c r="J698">
        <v>15.72</v>
      </c>
      <c r="K698" s="1">
        <v>42615</v>
      </c>
      <c r="L698">
        <v>95.843999999999994</v>
      </c>
    </row>
    <row r="699" spans="1:12" x14ac:dyDescent="0.25">
      <c r="A699" s="1">
        <v>42653</v>
      </c>
      <c r="B699">
        <v>13.38</v>
      </c>
      <c r="C699" s="1">
        <v>42653</v>
      </c>
      <c r="D699">
        <v>22.26</v>
      </c>
      <c r="E699" s="1">
        <v>42618</v>
      </c>
      <c r="F699">
        <v>66.464299999999994</v>
      </c>
      <c r="G699" s="1">
        <v>42653</v>
      </c>
      <c r="H699">
        <v>36.57</v>
      </c>
      <c r="I699" s="1">
        <v>42653</v>
      </c>
      <c r="J699">
        <v>15.6</v>
      </c>
      <c r="K699" s="1">
        <v>42618</v>
      </c>
      <c r="L699">
        <v>95.843999999999994</v>
      </c>
    </row>
    <row r="700" spans="1:12" x14ac:dyDescent="0.25">
      <c r="A700" s="1">
        <v>42654</v>
      </c>
      <c r="B700">
        <v>15.36</v>
      </c>
      <c r="C700" s="1">
        <v>42654</v>
      </c>
      <c r="D700">
        <v>24.39</v>
      </c>
      <c r="E700" s="1">
        <v>42619</v>
      </c>
      <c r="F700">
        <v>63.4574</v>
      </c>
      <c r="G700" s="1">
        <v>42654</v>
      </c>
      <c r="H700">
        <v>38.08</v>
      </c>
      <c r="I700" s="1">
        <v>42654</v>
      </c>
      <c r="J700">
        <v>15.63</v>
      </c>
      <c r="K700" s="1">
        <v>42619</v>
      </c>
      <c r="L700">
        <v>94.822999999999993</v>
      </c>
    </row>
    <row r="701" spans="1:12" x14ac:dyDescent="0.25">
      <c r="A701" s="1">
        <v>42655</v>
      </c>
      <c r="B701">
        <v>15.91</v>
      </c>
      <c r="C701" s="1">
        <v>42655</v>
      </c>
      <c r="D701">
        <v>23.81</v>
      </c>
      <c r="E701" s="1">
        <v>42620</v>
      </c>
      <c r="F701">
        <v>64.066999999999993</v>
      </c>
      <c r="G701" s="1">
        <v>42655</v>
      </c>
      <c r="H701">
        <v>39.049999999999997</v>
      </c>
      <c r="I701" s="1">
        <v>42655</v>
      </c>
      <c r="J701">
        <v>15.61</v>
      </c>
      <c r="K701" s="1">
        <v>42620</v>
      </c>
      <c r="L701">
        <v>94.956000000000003</v>
      </c>
    </row>
    <row r="702" spans="1:12" x14ac:dyDescent="0.25">
      <c r="A702" s="1">
        <v>42656</v>
      </c>
      <c r="B702">
        <v>16.690000000000001</v>
      </c>
      <c r="C702" s="1">
        <v>42656</v>
      </c>
      <c r="D702">
        <v>24.5</v>
      </c>
      <c r="E702" s="1">
        <v>42621</v>
      </c>
      <c r="F702">
        <v>65.951999999999998</v>
      </c>
      <c r="G702" s="1">
        <v>42656</v>
      </c>
      <c r="H702">
        <v>37.22</v>
      </c>
      <c r="I702" s="1">
        <v>42656</v>
      </c>
      <c r="J702">
        <v>15.63</v>
      </c>
      <c r="K702" s="1">
        <v>42621</v>
      </c>
      <c r="L702">
        <v>95.027000000000001</v>
      </c>
    </row>
    <row r="703" spans="1:12" x14ac:dyDescent="0.25">
      <c r="A703" s="1">
        <v>42657</v>
      </c>
      <c r="B703">
        <v>16.12</v>
      </c>
      <c r="C703" s="1">
        <v>42657</v>
      </c>
      <c r="D703">
        <v>23.45</v>
      </c>
      <c r="E703" s="1">
        <v>42622</v>
      </c>
      <c r="F703">
        <v>69.119699999999995</v>
      </c>
      <c r="G703" s="1">
        <v>42657</v>
      </c>
      <c r="H703">
        <v>35.549999999999997</v>
      </c>
      <c r="I703" s="1">
        <v>42657</v>
      </c>
      <c r="J703">
        <v>15.14</v>
      </c>
      <c r="K703" s="1">
        <v>42622</v>
      </c>
      <c r="L703">
        <v>95.335999999999999</v>
      </c>
    </row>
    <row r="704" spans="1:12" x14ac:dyDescent="0.25">
      <c r="A704" s="1">
        <v>42660</v>
      </c>
      <c r="B704">
        <v>16.21</v>
      </c>
      <c r="C704" s="1">
        <v>42660</v>
      </c>
      <c r="D704">
        <v>23.02</v>
      </c>
      <c r="E704" s="1">
        <v>42625</v>
      </c>
      <c r="F704">
        <v>68.905100000000004</v>
      </c>
      <c r="G704" s="1">
        <v>42660</v>
      </c>
      <c r="H704">
        <v>34.880000000000003</v>
      </c>
      <c r="I704" s="1">
        <v>42660</v>
      </c>
      <c r="J704">
        <v>15.23</v>
      </c>
      <c r="K704" s="1">
        <v>42625</v>
      </c>
      <c r="L704">
        <v>95.094999999999999</v>
      </c>
    </row>
    <row r="705" spans="1:12" x14ac:dyDescent="0.25">
      <c r="A705" s="1">
        <v>42661</v>
      </c>
      <c r="B705">
        <v>15.28</v>
      </c>
      <c r="C705" s="1">
        <v>42661</v>
      </c>
      <c r="D705">
        <v>21.52</v>
      </c>
      <c r="E705" s="1">
        <v>42626</v>
      </c>
      <c r="F705">
        <v>70.603999999999999</v>
      </c>
      <c r="G705" s="1">
        <v>42661</v>
      </c>
      <c r="H705">
        <v>36.369999999999997</v>
      </c>
      <c r="I705" s="1">
        <v>42661</v>
      </c>
      <c r="J705">
        <v>14.73</v>
      </c>
      <c r="K705" s="1">
        <v>42626</v>
      </c>
      <c r="L705">
        <v>95.632999999999996</v>
      </c>
    </row>
    <row r="706" spans="1:12" x14ac:dyDescent="0.25">
      <c r="A706" s="1">
        <v>42662</v>
      </c>
      <c r="B706">
        <v>14.41</v>
      </c>
      <c r="C706" s="1">
        <v>42662</v>
      </c>
      <c r="D706">
        <v>21.07</v>
      </c>
      <c r="E706" s="1">
        <v>42627</v>
      </c>
      <c r="F706">
        <v>69.225999999999999</v>
      </c>
      <c r="G706" s="1">
        <v>42662</v>
      </c>
      <c r="H706">
        <v>32.72</v>
      </c>
      <c r="I706" s="1">
        <v>42662</v>
      </c>
      <c r="J706">
        <v>14.59</v>
      </c>
      <c r="K706" s="1">
        <v>42627</v>
      </c>
      <c r="L706">
        <v>95.326999999999998</v>
      </c>
    </row>
    <row r="707" spans="1:12" x14ac:dyDescent="0.25">
      <c r="A707" s="1">
        <v>42663</v>
      </c>
      <c r="B707">
        <v>13.75</v>
      </c>
      <c r="C707" s="1">
        <v>42663</v>
      </c>
      <c r="D707">
        <v>20.22</v>
      </c>
      <c r="E707" s="1">
        <v>42628</v>
      </c>
      <c r="F707">
        <v>69.129599999999996</v>
      </c>
      <c r="G707" s="1">
        <v>42663</v>
      </c>
      <c r="H707">
        <v>32.479999999999997</v>
      </c>
      <c r="I707" s="1">
        <v>42663</v>
      </c>
      <c r="J707">
        <v>14.68</v>
      </c>
      <c r="K707" s="1">
        <v>42628</v>
      </c>
      <c r="L707">
        <v>95.287999999999997</v>
      </c>
    </row>
    <row r="708" spans="1:12" x14ac:dyDescent="0.25">
      <c r="A708" s="1">
        <v>42664</v>
      </c>
      <c r="B708">
        <v>13.34</v>
      </c>
      <c r="C708" s="1">
        <v>42664</v>
      </c>
      <c r="D708">
        <v>19.649999999999999</v>
      </c>
      <c r="E708" s="1">
        <v>42629</v>
      </c>
      <c r="F708">
        <v>69.210899999999995</v>
      </c>
      <c r="G708" s="1">
        <v>42664</v>
      </c>
      <c r="H708">
        <v>32.51</v>
      </c>
      <c r="I708" s="1">
        <v>42664</v>
      </c>
      <c r="J708">
        <v>14.55</v>
      </c>
      <c r="K708" s="1">
        <v>42629</v>
      </c>
      <c r="L708">
        <v>96.108000000000004</v>
      </c>
    </row>
    <row r="709" spans="1:12" x14ac:dyDescent="0.25">
      <c r="A709" s="1">
        <v>42667</v>
      </c>
      <c r="B709">
        <v>13.02</v>
      </c>
      <c r="C709" s="1">
        <v>42667</v>
      </c>
      <c r="D709">
        <v>19.93</v>
      </c>
      <c r="E709" s="1">
        <v>42632</v>
      </c>
      <c r="F709">
        <v>69.226799999999997</v>
      </c>
      <c r="G709" s="1">
        <v>42667</v>
      </c>
      <c r="H709">
        <v>32.79</v>
      </c>
      <c r="I709" s="1">
        <v>42667</v>
      </c>
      <c r="J709">
        <v>14.95</v>
      </c>
      <c r="K709" s="1">
        <v>42632</v>
      </c>
      <c r="L709">
        <v>95.840999999999994</v>
      </c>
    </row>
    <row r="710" spans="1:12" x14ac:dyDescent="0.25">
      <c r="A710" s="1">
        <v>42668</v>
      </c>
      <c r="B710">
        <v>13.46</v>
      </c>
      <c r="C710" s="1">
        <v>42668</v>
      </c>
      <c r="D710">
        <v>19.760000000000002</v>
      </c>
      <c r="E710" s="1">
        <v>42633</v>
      </c>
      <c r="F710">
        <v>68.623400000000004</v>
      </c>
      <c r="G710" s="1">
        <v>42668</v>
      </c>
      <c r="H710">
        <v>33.93</v>
      </c>
      <c r="I710" s="1">
        <v>42668</v>
      </c>
      <c r="J710">
        <v>14.55</v>
      </c>
      <c r="K710" s="1">
        <v>42633</v>
      </c>
      <c r="L710">
        <v>96.019000000000005</v>
      </c>
    </row>
    <row r="711" spans="1:12" x14ac:dyDescent="0.25">
      <c r="A711" s="1">
        <v>42669</v>
      </c>
      <c r="B711">
        <v>14.24</v>
      </c>
      <c r="C711" s="1">
        <v>42669</v>
      </c>
      <c r="D711">
        <v>21.08</v>
      </c>
      <c r="E711" s="1">
        <v>42634</v>
      </c>
      <c r="F711">
        <v>63.728200000000001</v>
      </c>
      <c r="G711" s="1">
        <v>42669</v>
      </c>
      <c r="H711">
        <v>35.39</v>
      </c>
      <c r="I711" s="1">
        <v>42669</v>
      </c>
      <c r="J711">
        <v>14.48</v>
      </c>
      <c r="K711" s="1">
        <v>42634</v>
      </c>
      <c r="L711">
        <v>95.66</v>
      </c>
    </row>
    <row r="712" spans="1:12" x14ac:dyDescent="0.25">
      <c r="A712" s="1">
        <v>42670</v>
      </c>
      <c r="B712">
        <v>15.36</v>
      </c>
      <c r="C712" s="1">
        <v>42670</v>
      </c>
      <c r="D712">
        <v>21.74</v>
      </c>
      <c r="E712" s="1">
        <v>42635</v>
      </c>
      <c r="F712">
        <v>61.180799999999998</v>
      </c>
      <c r="G712" s="1">
        <v>42670</v>
      </c>
      <c r="H712">
        <v>35.86</v>
      </c>
      <c r="I712" s="1">
        <v>42670</v>
      </c>
      <c r="J712">
        <v>15</v>
      </c>
      <c r="K712" s="1">
        <v>42635</v>
      </c>
      <c r="L712">
        <v>95.447999999999993</v>
      </c>
    </row>
    <row r="713" spans="1:12" x14ac:dyDescent="0.25">
      <c r="A713" s="1">
        <v>42671</v>
      </c>
      <c r="B713">
        <v>16.190000000000001</v>
      </c>
      <c r="C713" s="1">
        <v>42671</v>
      </c>
      <c r="D713">
        <v>23.35</v>
      </c>
      <c r="E713" s="1">
        <v>42636</v>
      </c>
      <c r="F713">
        <v>59.752499999999998</v>
      </c>
      <c r="G713" s="1">
        <v>42671</v>
      </c>
      <c r="H713">
        <v>37.76</v>
      </c>
      <c r="I713" s="1">
        <v>42671</v>
      </c>
      <c r="J713">
        <v>16.62</v>
      </c>
      <c r="K713" s="1">
        <v>42636</v>
      </c>
      <c r="L713">
        <v>95.477000000000004</v>
      </c>
    </row>
    <row r="714" spans="1:12" x14ac:dyDescent="0.25">
      <c r="A714" s="1">
        <v>42674</v>
      </c>
      <c r="B714">
        <v>17.059999999999999</v>
      </c>
      <c r="C714" s="1">
        <v>42674</v>
      </c>
      <c r="D714">
        <v>24.04</v>
      </c>
      <c r="E714" s="1">
        <v>42639</v>
      </c>
      <c r="F714">
        <v>58.854399999999998</v>
      </c>
      <c r="G714" s="1">
        <v>42674</v>
      </c>
      <c r="H714">
        <v>40.96</v>
      </c>
      <c r="I714" s="1">
        <v>42674</v>
      </c>
      <c r="J714">
        <v>18.13</v>
      </c>
      <c r="K714" s="1">
        <v>42639</v>
      </c>
      <c r="L714">
        <v>95.296999999999997</v>
      </c>
    </row>
    <row r="715" spans="1:12" x14ac:dyDescent="0.25">
      <c r="A715" s="1">
        <v>42675</v>
      </c>
      <c r="B715">
        <v>18.559999999999999</v>
      </c>
      <c r="C715" s="1">
        <v>42675</v>
      </c>
      <c r="D715">
        <v>26.09</v>
      </c>
      <c r="E715" s="1">
        <v>42640</v>
      </c>
      <c r="F715">
        <v>59.234000000000002</v>
      </c>
      <c r="G715" s="1">
        <v>42675</v>
      </c>
      <c r="H715">
        <v>40.08</v>
      </c>
      <c r="I715" s="1">
        <v>42675</v>
      </c>
      <c r="J715">
        <v>19.02</v>
      </c>
      <c r="K715" s="1">
        <v>42640</v>
      </c>
      <c r="L715">
        <v>95.435000000000002</v>
      </c>
    </row>
    <row r="716" spans="1:12" x14ac:dyDescent="0.25">
      <c r="A716" s="1">
        <v>42676</v>
      </c>
      <c r="B716">
        <v>19.32</v>
      </c>
      <c r="C716" s="1">
        <v>42676</v>
      </c>
      <c r="D716">
        <v>26.45</v>
      </c>
      <c r="E716" s="1">
        <v>42641</v>
      </c>
      <c r="F716">
        <v>57.615400000000001</v>
      </c>
      <c r="G716" s="1">
        <v>42676</v>
      </c>
      <c r="H716">
        <v>40.86</v>
      </c>
      <c r="I716" s="1">
        <v>42676</v>
      </c>
      <c r="J716">
        <v>19.32</v>
      </c>
      <c r="K716" s="1">
        <v>42641</v>
      </c>
      <c r="L716">
        <v>95.430999999999997</v>
      </c>
    </row>
    <row r="717" spans="1:12" x14ac:dyDescent="0.25">
      <c r="A717" s="1">
        <v>42677</v>
      </c>
      <c r="B717">
        <v>22.08</v>
      </c>
      <c r="C717" s="1">
        <v>42677</v>
      </c>
      <c r="D717">
        <v>29.17</v>
      </c>
      <c r="E717" s="1">
        <v>42642</v>
      </c>
      <c r="F717">
        <v>58.844999999999999</v>
      </c>
      <c r="G717" s="1">
        <v>42677</v>
      </c>
      <c r="H717">
        <v>41.49</v>
      </c>
      <c r="I717" s="1">
        <v>42677</v>
      </c>
      <c r="J717">
        <v>19.98</v>
      </c>
      <c r="K717" s="1">
        <v>42642</v>
      </c>
      <c r="L717">
        <v>95.534999999999997</v>
      </c>
    </row>
    <row r="718" spans="1:12" x14ac:dyDescent="0.25">
      <c r="A718" s="1">
        <v>42678</v>
      </c>
      <c r="B718">
        <v>22.51</v>
      </c>
      <c r="C718" s="1">
        <v>42678</v>
      </c>
      <c r="D718">
        <v>28.98</v>
      </c>
      <c r="E718" s="1">
        <v>42643</v>
      </c>
      <c r="F718">
        <v>60.555999999999997</v>
      </c>
      <c r="G718" s="1">
        <v>42678</v>
      </c>
      <c r="H718">
        <v>43.69</v>
      </c>
      <c r="I718" s="1">
        <v>42678</v>
      </c>
      <c r="J718">
        <v>20.22</v>
      </c>
      <c r="K718" s="1">
        <v>42643</v>
      </c>
      <c r="L718">
        <v>95.462999999999994</v>
      </c>
    </row>
    <row r="719" spans="1:12" x14ac:dyDescent="0.25">
      <c r="A719" s="1">
        <v>42681</v>
      </c>
      <c r="B719">
        <v>18.71</v>
      </c>
      <c r="C719" s="1">
        <v>42681</v>
      </c>
      <c r="D719">
        <v>26.2</v>
      </c>
      <c r="E719" s="1">
        <v>42646</v>
      </c>
      <c r="F719">
        <v>60.430799999999998</v>
      </c>
      <c r="G719" s="1">
        <v>42681</v>
      </c>
      <c r="H719">
        <v>44.2</v>
      </c>
      <c r="I719" s="1">
        <v>42681</v>
      </c>
      <c r="J719">
        <v>18.53</v>
      </c>
      <c r="K719" s="1">
        <v>42646</v>
      </c>
      <c r="L719">
        <v>95.694999999999993</v>
      </c>
    </row>
    <row r="720" spans="1:12" x14ac:dyDescent="0.25">
      <c r="A720" s="1">
        <v>42682</v>
      </c>
      <c r="B720">
        <v>18.739999999999998</v>
      </c>
      <c r="C720" s="1">
        <v>42682</v>
      </c>
      <c r="D720">
        <v>26.38</v>
      </c>
      <c r="E720" s="1">
        <v>42647</v>
      </c>
      <c r="F720">
        <v>62.078699999999998</v>
      </c>
      <c r="G720" s="1">
        <v>42682</v>
      </c>
      <c r="H720">
        <v>43.56</v>
      </c>
      <c r="I720" s="1">
        <v>42682</v>
      </c>
      <c r="J720">
        <v>17.93</v>
      </c>
      <c r="K720" s="1">
        <v>42647</v>
      </c>
      <c r="L720">
        <v>96.168999999999997</v>
      </c>
    </row>
    <row r="721" spans="1:12" x14ac:dyDescent="0.25">
      <c r="A721" s="1">
        <v>42683</v>
      </c>
      <c r="B721">
        <v>14.38</v>
      </c>
      <c r="C721" s="1">
        <v>42683</v>
      </c>
      <c r="D721">
        <v>23.18</v>
      </c>
      <c r="E721" s="1">
        <v>42648</v>
      </c>
      <c r="F721">
        <v>62.569400000000002</v>
      </c>
      <c r="G721" s="1">
        <v>42683</v>
      </c>
      <c r="H721">
        <v>41.25</v>
      </c>
      <c r="I721" s="1">
        <v>42683</v>
      </c>
      <c r="J721">
        <v>16.68</v>
      </c>
      <c r="K721" s="1">
        <v>42648</v>
      </c>
      <c r="L721">
        <v>96.125</v>
      </c>
    </row>
    <row r="722" spans="1:12" x14ac:dyDescent="0.25">
      <c r="A722" s="1">
        <v>42684</v>
      </c>
      <c r="B722">
        <v>14.74</v>
      </c>
      <c r="C722" s="1">
        <v>42684</v>
      </c>
      <c r="D722">
        <v>26.78</v>
      </c>
      <c r="E722" s="1">
        <v>42649</v>
      </c>
      <c r="F722">
        <v>64.288300000000007</v>
      </c>
      <c r="G722" s="1">
        <v>42684</v>
      </c>
      <c r="H722">
        <v>42.44</v>
      </c>
      <c r="I722" s="1">
        <v>42684</v>
      </c>
      <c r="J722">
        <v>18.52</v>
      </c>
      <c r="K722" s="1">
        <v>42649</v>
      </c>
      <c r="L722">
        <v>96.765000000000001</v>
      </c>
    </row>
    <row r="723" spans="1:12" x14ac:dyDescent="0.25">
      <c r="A723" s="1">
        <v>42685</v>
      </c>
      <c r="B723">
        <v>14.17</v>
      </c>
      <c r="C723" s="1">
        <v>42685</v>
      </c>
      <c r="D723">
        <v>28.99</v>
      </c>
      <c r="E723" s="1">
        <v>42650</v>
      </c>
      <c r="F723">
        <v>62.839799999999997</v>
      </c>
      <c r="G723" s="1">
        <v>42685</v>
      </c>
      <c r="H723">
        <v>45.31</v>
      </c>
      <c r="I723" s="1">
        <v>42685</v>
      </c>
      <c r="J723">
        <v>23.25</v>
      </c>
      <c r="K723" s="1">
        <v>42650</v>
      </c>
      <c r="L723">
        <v>96.632000000000005</v>
      </c>
    </row>
    <row r="724" spans="1:12" x14ac:dyDescent="0.25">
      <c r="A724" s="1">
        <v>42688</v>
      </c>
      <c r="B724">
        <v>14.48</v>
      </c>
      <c r="C724" s="1">
        <v>42688</v>
      </c>
      <c r="D724">
        <v>29.21</v>
      </c>
      <c r="E724" s="1">
        <v>42653</v>
      </c>
      <c r="F724">
        <v>62.839799999999997</v>
      </c>
      <c r="G724" s="1">
        <v>42688</v>
      </c>
      <c r="H724">
        <v>50.17</v>
      </c>
      <c r="I724" s="1">
        <v>42688</v>
      </c>
      <c r="J724">
        <v>20.5</v>
      </c>
      <c r="K724" s="1">
        <v>42653</v>
      </c>
      <c r="L724">
        <v>96.929000000000002</v>
      </c>
    </row>
    <row r="725" spans="1:12" x14ac:dyDescent="0.25">
      <c r="A725" s="1">
        <v>42689</v>
      </c>
      <c r="B725">
        <v>13.37</v>
      </c>
      <c r="C725" s="1">
        <v>42689</v>
      </c>
      <c r="D725">
        <v>24.4</v>
      </c>
      <c r="E725" s="1">
        <v>42654</v>
      </c>
      <c r="F725">
        <v>63.954799999999999</v>
      </c>
      <c r="G725" s="1">
        <v>42689</v>
      </c>
      <c r="H725">
        <v>49.43</v>
      </c>
      <c r="I725" s="1">
        <v>42689</v>
      </c>
      <c r="J725">
        <v>16.420000000000002</v>
      </c>
      <c r="K725" s="1">
        <v>42654</v>
      </c>
      <c r="L725">
        <v>97.69</v>
      </c>
    </row>
    <row r="726" spans="1:12" x14ac:dyDescent="0.25">
      <c r="A726" s="1">
        <v>42690</v>
      </c>
      <c r="B726">
        <v>13.72</v>
      </c>
      <c r="C726" s="1">
        <v>42690</v>
      </c>
      <c r="D726">
        <v>23.79</v>
      </c>
      <c r="E726" s="1">
        <v>42655</v>
      </c>
      <c r="F726">
        <v>64.268600000000006</v>
      </c>
      <c r="G726" s="1">
        <v>42690</v>
      </c>
      <c r="H726">
        <v>50.09</v>
      </c>
      <c r="I726" s="1">
        <v>42690</v>
      </c>
      <c r="J726">
        <v>15.77</v>
      </c>
      <c r="K726" s="1">
        <v>42655</v>
      </c>
      <c r="L726">
        <v>97.965999999999994</v>
      </c>
    </row>
    <row r="727" spans="1:12" x14ac:dyDescent="0.25">
      <c r="A727" s="1">
        <v>42691</v>
      </c>
      <c r="B727">
        <v>13.35</v>
      </c>
      <c r="C727" s="1">
        <v>42691</v>
      </c>
      <c r="D727">
        <v>22.29</v>
      </c>
      <c r="E727" s="1">
        <v>42656</v>
      </c>
      <c r="F727">
        <v>64.547799999999995</v>
      </c>
      <c r="G727" s="1">
        <v>42691</v>
      </c>
      <c r="H727">
        <v>47.37</v>
      </c>
      <c r="I727" s="1">
        <v>42691</v>
      </c>
      <c r="J727">
        <v>17.5</v>
      </c>
      <c r="K727" s="1">
        <v>42656</v>
      </c>
      <c r="L727">
        <v>97.516000000000005</v>
      </c>
    </row>
    <row r="728" spans="1:12" x14ac:dyDescent="0.25">
      <c r="A728" s="1">
        <v>42692</v>
      </c>
      <c r="B728">
        <v>12.85</v>
      </c>
      <c r="C728" s="1">
        <v>42692</v>
      </c>
      <c r="D728">
        <v>21.79</v>
      </c>
      <c r="E728" s="1">
        <v>42657</v>
      </c>
      <c r="F728">
        <v>64.976399999999998</v>
      </c>
      <c r="G728" s="1">
        <v>42692</v>
      </c>
      <c r="H728">
        <v>46.56</v>
      </c>
      <c r="I728" s="1">
        <v>42692</v>
      </c>
      <c r="J728">
        <v>17.03</v>
      </c>
      <c r="K728" s="1">
        <v>42657</v>
      </c>
      <c r="L728">
        <v>98.019000000000005</v>
      </c>
    </row>
    <row r="729" spans="1:12" x14ac:dyDescent="0.25">
      <c r="A729" s="1">
        <v>42695</v>
      </c>
      <c r="B729">
        <v>12.42</v>
      </c>
      <c r="C729" s="1">
        <v>42695</v>
      </c>
      <c r="D729">
        <v>20.59</v>
      </c>
      <c r="E729" s="1">
        <v>42660</v>
      </c>
      <c r="F729">
        <v>64.416200000000003</v>
      </c>
      <c r="G729" s="1">
        <v>42695</v>
      </c>
      <c r="H729">
        <v>45.71</v>
      </c>
      <c r="I729" s="1">
        <v>42695</v>
      </c>
      <c r="J729">
        <v>15.86</v>
      </c>
      <c r="K729" s="1">
        <v>42660</v>
      </c>
      <c r="L729">
        <v>97.888000000000005</v>
      </c>
    </row>
    <row r="730" spans="1:12" x14ac:dyDescent="0.25">
      <c r="A730" s="1">
        <v>42696</v>
      </c>
      <c r="B730">
        <v>12.41</v>
      </c>
      <c r="C730" s="1">
        <v>42696</v>
      </c>
      <c r="D730">
        <v>20.34</v>
      </c>
      <c r="E730" s="1">
        <v>42661</v>
      </c>
      <c r="F730">
        <v>63.183300000000003</v>
      </c>
      <c r="G730" s="1">
        <v>42696</v>
      </c>
      <c r="H730">
        <v>46.69</v>
      </c>
      <c r="I730" s="1">
        <v>42696</v>
      </c>
      <c r="J730">
        <v>15.43</v>
      </c>
      <c r="K730" s="1">
        <v>42661</v>
      </c>
      <c r="L730">
        <v>97.894999999999996</v>
      </c>
    </row>
    <row r="731" spans="1:12" x14ac:dyDescent="0.25">
      <c r="A731" s="1">
        <v>42697</v>
      </c>
      <c r="B731">
        <v>12.43</v>
      </c>
      <c r="C731" s="1">
        <v>42697</v>
      </c>
      <c r="D731">
        <v>21.58</v>
      </c>
      <c r="E731" s="1">
        <v>42662</v>
      </c>
      <c r="F731">
        <v>61.641300000000001</v>
      </c>
      <c r="G731" s="1">
        <v>42697</v>
      </c>
      <c r="H731">
        <v>47.54</v>
      </c>
      <c r="I731" s="1">
        <v>42697</v>
      </c>
      <c r="J731">
        <v>18.53</v>
      </c>
      <c r="K731" s="1">
        <v>42662</v>
      </c>
      <c r="L731">
        <v>97.92</v>
      </c>
    </row>
    <row r="732" spans="1:12" x14ac:dyDescent="0.25">
      <c r="A732" s="1">
        <v>42699</v>
      </c>
      <c r="B732">
        <v>12.34</v>
      </c>
      <c r="C732" s="1">
        <v>42699</v>
      </c>
      <c r="D732">
        <v>21.27</v>
      </c>
      <c r="E732" s="1">
        <v>42663</v>
      </c>
      <c r="F732">
        <v>59.617199999999997</v>
      </c>
      <c r="G732" s="1">
        <v>42699</v>
      </c>
      <c r="H732">
        <v>53.46</v>
      </c>
      <c r="I732" s="1">
        <v>42699</v>
      </c>
      <c r="J732">
        <v>18.47</v>
      </c>
      <c r="K732" s="1">
        <v>42663</v>
      </c>
      <c r="L732">
        <v>98.314999999999998</v>
      </c>
    </row>
    <row r="733" spans="1:12" x14ac:dyDescent="0.25">
      <c r="A733" s="1">
        <v>42702</v>
      </c>
      <c r="B733">
        <v>13.15</v>
      </c>
      <c r="C733" s="1">
        <v>42702</v>
      </c>
      <c r="D733">
        <v>22.22</v>
      </c>
      <c r="E733" s="1">
        <v>42664</v>
      </c>
      <c r="F733">
        <v>57.089199999999998</v>
      </c>
      <c r="G733" s="1">
        <v>42702</v>
      </c>
      <c r="H733">
        <v>52.56</v>
      </c>
      <c r="I733" s="1">
        <v>42702</v>
      </c>
      <c r="J733">
        <v>17.39</v>
      </c>
      <c r="K733" s="1">
        <v>42664</v>
      </c>
      <c r="L733">
        <v>98.694999999999993</v>
      </c>
    </row>
    <row r="734" spans="1:12" x14ac:dyDescent="0.25">
      <c r="A734" s="1">
        <v>42703</v>
      </c>
      <c r="B734">
        <v>12.9</v>
      </c>
      <c r="C734" s="1">
        <v>42703</v>
      </c>
      <c r="D734">
        <v>21.99</v>
      </c>
      <c r="E734" s="1">
        <v>42667</v>
      </c>
      <c r="F734">
        <v>56.790900000000001</v>
      </c>
      <c r="G734" s="1">
        <v>42703</v>
      </c>
      <c r="H734">
        <v>55.09</v>
      </c>
      <c r="I734" s="1">
        <v>42703</v>
      </c>
      <c r="J734">
        <v>17.28</v>
      </c>
      <c r="K734" s="1">
        <v>42667</v>
      </c>
      <c r="L734">
        <v>98.756</v>
      </c>
    </row>
    <row r="735" spans="1:12" x14ac:dyDescent="0.25">
      <c r="A735" s="1">
        <v>42704</v>
      </c>
      <c r="B735">
        <v>13.33</v>
      </c>
      <c r="C735" s="1">
        <v>42704</v>
      </c>
      <c r="D735">
        <v>21.35</v>
      </c>
      <c r="E735" s="1">
        <v>42668</v>
      </c>
      <c r="F735">
        <v>57.414099999999998</v>
      </c>
      <c r="G735" s="1">
        <v>42704</v>
      </c>
      <c r="H735">
        <v>44.25</v>
      </c>
      <c r="I735" s="1">
        <v>42704</v>
      </c>
      <c r="J735">
        <v>19.18</v>
      </c>
      <c r="K735" s="1">
        <v>42668</v>
      </c>
      <c r="L735">
        <v>98.718999999999994</v>
      </c>
    </row>
    <row r="736" spans="1:12" x14ac:dyDescent="0.25">
      <c r="A736" s="1">
        <v>42705</v>
      </c>
      <c r="B736">
        <v>14.07</v>
      </c>
      <c r="C736" s="1">
        <v>42705</v>
      </c>
      <c r="D736">
        <v>22.92</v>
      </c>
      <c r="E736" s="1">
        <v>42669</v>
      </c>
      <c r="F736">
        <v>59.5122</v>
      </c>
      <c r="G736" s="1">
        <v>42705</v>
      </c>
      <c r="H736">
        <v>40.450000000000003</v>
      </c>
      <c r="I736" s="1">
        <v>42705</v>
      </c>
      <c r="J736">
        <v>19.39</v>
      </c>
      <c r="K736" s="1">
        <v>42669</v>
      </c>
      <c r="L736">
        <v>98.629000000000005</v>
      </c>
    </row>
    <row r="737" spans="1:12" x14ac:dyDescent="0.25">
      <c r="A737" s="1">
        <v>42706</v>
      </c>
      <c r="B737">
        <v>14.12</v>
      </c>
      <c r="C737" s="1">
        <v>42706</v>
      </c>
      <c r="D737">
        <v>22.94</v>
      </c>
      <c r="E737" s="1">
        <v>42670</v>
      </c>
      <c r="F737">
        <v>62.532400000000003</v>
      </c>
      <c r="G737" s="1">
        <v>42706</v>
      </c>
      <c r="H737">
        <v>35.51</v>
      </c>
      <c r="I737" s="1">
        <v>42706</v>
      </c>
      <c r="J737">
        <v>18.440000000000001</v>
      </c>
      <c r="K737" s="1">
        <v>42670</v>
      </c>
      <c r="L737">
        <v>98.888000000000005</v>
      </c>
    </row>
    <row r="738" spans="1:12" x14ac:dyDescent="0.25">
      <c r="A738" s="1">
        <v>42709</v>
      </c>
      <c r="B738">
        <v>12.14</v>
      </c>
      <c r="C738" s="1">
        <v>42709</v>
      </c>
      <c r="D738">
        <v>20.85</v>
      </c>
      <c r="E738" s="1">
        <v>42671</v>
      </c>
      <c r="F738">
        <v>64.375</v>
      </c>
      <c r="G738" s="1">
        <v>42709</v>
      </c>
      <c r="H738">
        <v>37</v>
      </c>
      <c r="I738" s="1">
        <v>42709</v>
      </c>
      <c r="J738">
        <v>17.559999999999999</v>
      </c>
      <c r="K738" s="1">
        <v>42671</v>
      </c>
      <c r="L738">
        <v>98.347999999999999</v>
      </c>
    </row>
    <row r="739" spans="1:12" x14ac:dyDescent="0.25">
      <c r="A739" s="1">
        <v>42710</v>
      </c>
      <c r="B739">
        <v>11.79</v>
      </c>
      <c r="C739" s="1">
        <v>42710</v>
      </c>
      <c r="D739">
        <v>19.98</v>
      </c>
      <c r="E739" s="1">
        <v>42674</v>
      </c>
      <c r="F739">
        <v>65.465000000000003</v>
      </c>
      <c r="G739" s="1">
        <v>42710</v>
      </c>
      <c r="H739">
        <v>37.11</v>
      </c>
      <c r="I739" s="1">
        <v>42710</v>
      </c>
      <c r="J739">
        <v>17.059999999999999</v>
      </c>
      <c r="K739" s="1">
        <v>42674</v>
      </c>
      <c r="L739">
        <v>98.444999999999993</v>
      </c>
    </row>
    <row r="740" spans="1:12" x14ac:dyDescent="0.25">
      <c r="A740" s="1">
        <v>42711</v>
      </c>
      <c r="B740">
        <v>12.22</v>
      </c>
      <c r="C740" s="1">
        <v>42711</v>
      </c>
      <c r="D740">
        <v>20.02</v>
      </c>
      <c r="E740" s="1">
        <v>42675</v>
      </c>
      <c r="F740">
        <v>67.763999999999996</v>
      </c>
      <c r="G740" s="1">
        <v>42711</v>
      </c>
      <c r="H740">
        <v>36.049999999999997</v>
      </c>
      <c r="I740" s="1">
        <v>42711</v>
      </c>
      <c r="J740">
        <v>16.87</v>
      </c>
      <c r="K740" s="1">
        <v>42675</v>
      </c>
      <c r="L740">
        <v>97.698999999999998</v>
      </c>
    </row>
    <row r="741" spans="1:12" x14ac:dyDescent="0.25">
      <c r="A741" s="1">
        <v>42712</v>
      </c>
      <c r="B741">
        <v>12.64</v>
      </c>
      <c r="C741" s="1">
        <v>42712</v>
      </c>
      <c r="D741">
        <v>20.420000000000002</v>
      </c>
      <c r="E741" s="1">
        <v>42676</v>
      </c>
      <c r="F741">
        <v>69.247600000000006</v>
      </c>
      <c r="G741" s="1">
        <v>42712</v>
      </c>
      <c r="H741">
        <v>35.03</v>
      </c>
      <c r="I741" s="1">
        <v>42712</v>
      </c>
      <c r="J741">
        <v>16.48</v>
      </c>
      <c r="K741" s="1">
        <v>42676</v>
      </c>
      <c r="L741">
        <v>97.397999999999996</v>
      </c>
    </row>
    <row r="742" spans="1:12" x14ac:dyDescent="0.25">
      <c r="A742" s="1">
        <v>42713</v>
      </c>
      <c r="B742">
        <v>11.75</v>
      </c>
      <c r="C742" s="1">
        <v>42713</v>
      </c>
      <c r="D742">
        <v>19.55</v>
      </c>
      <c r="E742" s="1">
        <v>42677</v>
      </c>
      <c r="F742">
        <v>72.573400000000007</v>
      </c>
      <c r="G742" s="1">
        <v>42713</v>
      </c>
      <c r="H742">
        <v>35.21</v>
      </c>
      <c r="I742" s="1">
        <v>42713</v>
      </c>
      <c r="J742">
        <v>18.66</v>
      </c>
      <c r="K742" s="1">
        <v>42677</v>
      </c>
      <c r="L742">
        <v>97.156999999999996</v>
      </c>
    </row>
    <row r="743" spans="1:12" x14ac:dyDescent="0.25">
      <c r="A743" s="1">
        <v>42716</v>
      </c>
      <c r="B743">
        <v>12.64</v>
      </c>
      <c r="C743" s="1">
        <v>42716</v>
      </c>
      <c r="D743">
        <v>19.829999999999998</v>
      </c>
      <c r="E743" s="1">
        <v>42678</v>
      </c>
      <c r="F743">
        <v>74.613500000000002</v>
      </c>
      <c r="G743" s="1">
        <v>42716</v>
      </c>
      <c r="H743">
        <v>30.3</v>
      </c>
      <c r="I743" s="1">
        <v>42716</v>
      </c>
      <c r="J743">
        <v>16.97</v>
      </c>
      <c r="K743" s="1">
        <v>42678</v>
      </c>
      <c r="L743">
        <v>97.064999999999998</v>
      </c>
    </row>
    <row r="744" spans="1:12" x14ac:dyDescent="0.25">
      <c r="A744" s="1">
        <v>42717</v>
      </c>
      <c r="B744">
        <v>12.72</v>
      </c>
      <c r="C744" s="1">
        <v>42717</v>
      </c>
      <c r="D744">
        <v>19.010000000000002</v>
      </c>
      <c r="E744" s="1">
        <v>42681</v>
      </c>
      <c r="F744">
        <v>72.343199999999996</v>
      </c>
      <c r="G744" s="1">
        <v>42717</v>
      </c>
      <c r="H744">
        <v>31.35</v>
      </c>
      <c r="I744" s="1">
        <v>42717</v>
      </c>
      <c r="J744">
        <v>16.170000000000002</v>
      </c>
      <c r="K744" s="1">
        <v>42681</v>
      </c>
      <c r="L744">
        <v>97.781000000000006</v>
      </c>
    </row>
    <row r="745" spans="1:12" x14ac:dyDescent="0.25">
      <c r="A745" s="1">
        <v>42718</v>
      </c>
      <c r="B745">
        <v>13.19</v>
      </c>
      <c r="C745" s="1">
        <v>42718</v>
      </c>
      <c r="D745">
        <v>21.67</v>
      </c>
      <c r="E745" s="1">
        <v>42682</v>
      </c>
      <c r="F745">
        <v>68.467799999999997</v>
      </c>
      <c r="G745" s="1">
        <v>42718</v>
      </c>
      <c r="H745">
        <v>33.97</v>
      </c>
      <c r="I745" s="1">
        <v>42718</v>
      </c>
      <c r="J745">
        <v>18.21</v>
      </c>
      <c r="K745" s="1">
        <v>42682</v>
      </c>
      <c r="L745">
        <v>97.861000000000004</v>
      </c>
    </row>
    <row r="746" spans="1:12" x14ac:dyDescent="0.25">
      <c r="A746" s="1">
        <v>42719</v>
      </c>
      <c r="B746">
        <v>12.79</v>
      </c>
      <c r="C746" s="1">
        <v>42719</v>
      </c>
      <c r="D746">
        <v>21.14</v>
      </c>
      <c r="E746" s="1">
        <v>42683</v>
      </c>
      <c r="F746">
        <v>76.328199999999995</v>
      </c>
      <c r="G746" s="1">
        <v>42719</v>
      </c>
      <c r="H746">
        <v>33.58</v>
      </c>
      <c r="I746" s="1">
        <v>42719</v>
      </c>
      <c r="J746">
        <v>17.89</v>
      </c>
      <c r="K746" s="1">
        <v>42683</v>
      </c>
      <c r="L746">
        <v>98.504000000000005</v>
      </c>
    </row>
    <row r="747" spans="1:12" x14ac:dyDescent="0.25">
      <c r="A747" s="1">
        <v>42720</v>
      </c>
      <c r="B747">
        <v>12.2</v>
      </c>
      <c r="C747" s="1">
        <v>42720</v>
      </c>
      <c r="D747">
        <v>19.309999999999999</v>
      </c>
      <c r="E747" s="1">
        <v>42684</v>
      </c>
      <c r="F747">
        <v>82.570700000000002</v>
      </c>
      <c r="G747" s="1">
        <v>42720</v>
      </c>
      <c r="H747">
        <v>29.18</v>
      </c>
      <c r="I747" s="1">
        <v>42720</v>
      </c>
      <c r="J747">
        <v>17.55</v>
      </c>
      <c r="K747" s="1">
        <v>42684</v>
      </c>
      <c r="L747">
        <v>98.784999999999997</v>
      </c>
    </row>
    <row r="748" spans="1:12" x14ac:dyDescent="0.25">
      <c r="A748" s="1">
        <v>42723</v>
      </c>
      <c r="B748">
        <v>11.71</v>
      </c>
      <c r="C748" s="1">
        <v>42723</v>
      </c>
      <c r="D748">
        <v>19.399999999999999</v>
      </c>
      <c r="E748" s="1">
        <v>42685</v>
      </c>
      <c r="F748">
        <v>82.570700000000002</v>
      </c>
      <c r="G748" s="1">
        <v>42723</v>
      </c>
      <c r="H748">
        <v>29.23</v>
      </c>
      <c r="I748" s="1">
        <v>42723</v>
      </c>
      <c r="J748">
        <v>16.05</v>
      </c>
      <c r="K748" s="1">
        <v>42685</v>
      </c>
      <c r="L748">
        <v>99.06</v>
      </c>
    </row>
    <row r="749" spans="1:12" x14ac:dyDescent="0.25">
      <c r="A749" s="1">
        <v>42724</v>
      </c>
      <c r="B749">
        <v>11.45</v>
      </c>
      <c r="C749" s="1">
        <v>42724</v>
      </c>
      <c r="D749">
        <v>19.510000000000002</v>
      </c>
      <c r="E749" s="1">
        <v>42688</v>
      </c>
      <c r="F749">
        <v>89.217799999999997</v>
      </c>
      <c r="G749" s="1">
        <v>42724</v>
      </c>
      <c r="H749">
        <v>27.43</v>
      </c>
      <c r="I749" s="1">
        <v>42724</v>
      </c>
      <c r="J749">
        <v>16.690000000000001</v>
      </c>
      <c r="K749" s="1">
        <v>42688</v>
      </c>
      <c r="L749">
        <v>100.11</v>
      </c>
    </row>
    <row r="750" spans="1:12" x14ac:dyDescent="0.25">
      <c r="A750" s="1">
        <v>42725</v>
      </c>
      <c r="B750">
        <v>11.27</v>
      </c>
      <c r="C750" s="1">
        <v>42725</v>
      </c>
      <c r="D750">
        <v>19.170000000000002</v>
      </c>
      <c r="E750" s="1">
        <v>42689</v>
      </c>
      <c r="F750">
        <v>84.117400000000004</v>
      </c>
      <c r="G750" s="1">
        <v>42725</v>
      </c>
      <c r="H750">
        <v>28.39</v>
      </c>
      <c r="I750" s="1">
        <v>42725</v>
      </c>
      <c r="J750">
        <v>15.82</v>
      </c>
      <c r="K750" s="1">
        <v>42689</v>
      </c>
      <c r="L750">
        <v>100.23</v>
      </c>
    </row>
    <row r="751" spans="1:12" x14ac:dyDescent="0.25">
      <c r="A751" s="1">
        <v>42726</v>
      </c>
      <c r="B751">
        <v>11.43</v>
      </c>
      <c r="C751" s="1">
        <v>42726</v>
      </c>
      <c r="D751">
        <v>20.48</v>
      </c>
      <c r="E751" s="1">
        <v>42690</v>
      </c>
      <c r="F751">
        <v>80.124600000000001</v>
      </c>
      <c r="G751" s="1">
        <v>42726</v>
      </c>
      <c r="H751">
        <v>30.29</v>
      </c>
      <c r="I751" s="1">
        <v>42726</v>
      </c>
      <c r="J751">
        <v>15.28</v>
      </c>
      <c r="K751" s="1">
        <v>42690</v>
      </c>
      <c r="L751">
        <v>100.41</v>
      </c>
    </row>
    <row r="752" spans="1:12" x14ac:dyDescent="0.25">
      <c r="A752" s="1">
        <v>42727</v>
      </c>
      <c r="B752">
        <v>11.44</v>
      </c>
      <c r="C752" s="1">
        <v>42727</v>
      </c>
      <c r="D752">
        <v>19.27</v>
      </c>
      <c r="E752" s="1">
        <v>42691</v>
      </c>
      <c r="F752">
        <v>77.5351</v>
      </c>
      <c r="G752" s="1">
        <v>42727</v>
      </c>
      <c r="H752">
        <v>29.9</v>
      </c>
      <c r="I752" s="1">
        <v>42727</v>
      </c>
      <c r="J752">
        <v>16.36</v>
      </c>
      <c r="K752" s="1">
        <v>42691</v>
      </c>
      <c r="L752">
        <v>100.89</v>
      </c>
    </row>
    <row r="753" spans="1:12" x14ac:dyDescent="0.25">
      <c r="A753" s="1">
        <v>42731</v>
      </c>
      <c r="B753">
        <v>11.99</v>
      </c>
      <c r="C753" s="1">
        <v>42731</v>
      </c>
      <c r="D753">
        <v>20.2</v>
      </c>
      <c r="E753" s="1">
        <v>42692</v>
      </c>
      <c r="F753">
        <v>81.647300000000001</v>
      </c>
      <c r="G753" s="1">
        <v>42731</v>
      </c>
      <c r="H753">
        <v>30</v>
      </c>
      <c r="I753" s="1">
        <v>42731</v>
      </c>
      <c r="J753">
        <v>16.68</v>
      </c>
      <c r="K753" s="1">
        <v>42692</v>
      </c>
      <c r="L753">
        <v>101.21</v>
      </c>
    </row>
    <row r="754" spans="1:12" x14ac:dyDescent="0.25">
      <c r="A754" s="1">
        <v>42732</v>
      </c>
      <c r="B754">
        <v>12.95</v>
      </c>
      <c r="C754" s="1">
        <v>42732</v>
      </c>
      <c r="D754">
        <v>20.43</v>
      </c>
      <c r="E754" s="1">
        <v>42695</v>
      </c>
      <c r="F754">
        <v>80.579300000000003</v>
      </c>
      <c r="G754" s="1">
        <v>42732</v>
      </c>
      <c r="H754">
        <v>29.91</v>
      </c>
      <c r="I754" s="1">
        <v>42732</v>
      </c>
      <c r="J754">
        <v>16.04</v>
      </c>
      <c r="K754" s="1">
        <v>42695</v>
      </c>
      <c r="L754">
        <v>101.05</v>
      </c>
    </row>
    <row r="755" spans="1:12" x14ac:dyDescent="0.25">
      <c r="A755" s="1">
        <v>42733</v>
      </c>
      <c r="B755">
        <v>13.37</v>
      </c>
      <c r="C755" s="1">
        <v>42733</v>
      </c>
      <c r="D755">
        <v>21.13</v>
      </c>
      <c r="E755" s="1">
        <v>42696</v>
      </c>
      <c r="F755">
        <v>76.461600000000004</v>
      </c>
      <c r="G755" s="1">
        <v>42733</v>
      </c>
      <c r="H755">
        <v>30.01</v>
      </c>
      <c r="I755" s="1">
        <v>42733</v>
      </c>
      <c r="J755">
        <v>15.68</v>
      </c>
      <c r="K755" s="1">
        <v>42696</v>
      </c>
      <c r="L755">
        <v>101.04</v>
      </c>
    </row>
    <row r="756" spans="1:12" x14ac:dyDescent="0.25">
      <c r="A756" s="1">
        <v>42734</v>
      </c>
      <c r="B756">
        <v>14.04</v>
      </c>
      <c r="C756" s="1">
        <v>42734</v>
      </c>
      <c r="D756">
        <v>22.33</v>
      </c>
      <c r="E756" s="1">
        <v>42697</v>
      </c>
      <c r="F756">
        <v>78.639700000000005</v>
      </c>
      <c r="G756" s="1">
        <v>42734</v>
      </c>
      <c r="H756">
        <v>30.83</v>
      </c>
      <c r="I756" s="1">
        <v>42734</v>
      </c>
      <c r="J756">
        <v>16.23</v>
      </c>
      <c r="K756" s="1">
        <v>42697</v>
      </c>
      <c r="L756">
        <v>101.7</v>
      </c>
    </row>
    <row r="757" spans="1:12" x14ac:dyDescent="0.25">
      <c r="A757" s="1">
        <v>42738</v>
      </c>
      <c r="B757">
        <v>12.85</v>
      </c>
      <c r="C757" s="1">
        <v>42738</v>
      </c>
      <c r="D757">
        <v>21.63</v>
      </c>
      <c r="E757" s="1">
        <v>42698</v>
      </c>
      <c r="F757">
        <v>78.639700000000005</v>
      </c>
      <c r="G757" s="1">
        <v>42738</v>
      </c>
      <c r="H757">
        <v>32.880000000000003</v>
      </c>
      <c r="I757" s="1">
        <v>42738</v>
      </c>
      <c r="J757">
        <v>16.260000000000002</v>
      </c>
      <c r="K757" s="1">
        <v>42698</v>
      </c>
      <c r="L757">
        <v>101.7</v>
      </c>
    </row>
    <row r="758" spans="1:12" x14ac:dyDescent="0.25">
      <c r="A758" s="1">
        <v>42739</v>
      </c>
      <c r="B758">
        <v>11.85</v>
      </c>
      <c r="C758" s="1">
        <v>42739</v>
      </c>
      <c r="D758">
        <v>20.239999999999998</v>
      </c>
      <c r="E758" s="1">
        <v>42699</v>
      </c>
      <c r="F758">
        <v>79.692999999999998</v>
      </c>
      <c r="G758" s="1">
        <v>42739</v>
      </c>
      <c r="H758">
        <v>32.36</v>
      </c>
      <c r="I758" s="1">
        <v>42739</v>
      </c>
      <c r="J758">
        <v>15.16</v>
      </c>
      <c r="K758" s="1">
        <v>42699</v>
      </c>
      <c r="L758">
        <v>101.49</v>
      </c>
    </row>
    <row r="759" spans="1:12" x14ac:dyDescent="0.25">
      <c r="A759" s="1">
        <v>42740</v>
      </c>
      <c r="B759">
        <v>11.67</v>
      </c>
      <c r="C759" s="1">
        <v>42740</v>
      </c>
      <c r="D759">
        <v>19.46</v>
      </c>
      <c r="E759" s="1">
        <v>42702</v>
      </c>
      <c r="F759">
        <v>78.735200000000006</v>
      </c>
      <c r="G759" s="1">
        <v>42740</v>
      </c>
      <c r="H759">
        <v>31.56</v>
      </c>
      <c r="I759" s="1">
        <v>42740</v>
      </c>
      <c r="J759">
        <v>14.98</v>
      </c>
      <c r="K759" s="1">
        <v>42702</v>
      </c>
      <c r="L759">
        <v>101.33</v>
      </c>
    </row>
    <row r="760" spans="1:12" x14ac:dyDescent="0.25">
      <c r="A760" s="1">
        <v>42741</v>
      </c>
      <c r="B760">
        <v>11.32</v>
      </c>
      <c r="C760" s="1">
        <v>42741</v>
      </c>
      <c r="D760">
        <v>19.21</v>
      </c>
      <c r="E760" s="1">
        <v>42703</v>
      </c>
      <c r="F760">
        <v>77.303899999999999</v>
      </c>
      <c r="G760" s="1">
        <v>42741</v>
      </c>
      <c r="H760">
        <v>30.47</v>
      </c>
      <c r="I760" s="1">
        <v>42741</v>
      </c>
      <c r="J760">
        <v>14.55</v>
      </c>
      <c r="K760" s="1">
        <v>42703</v>
      </c>
      <c r="L760">
        <v>100.93</v>
      </c>
    </row>
    <row r="761" spans="1:12" x14ac:dyDescent="0.25">
      <c r="A761" s="1">
        <v>42744</v>
      </c>
      <c r="B761">
        <v>11.56</v>
      </c>
      <c r="C761" s="1">
        <v>42744</v>
      </c>
      <c r="D761">
        <v>19.14</v>
      </c>
      <c r="E761" s="1">
        <v>42704</v>
      </c>
      <c r="F761">
        <v>80.955299999999994</v>
      </c>
      <c r="G761" s="1">
        <v>42744</v>
      </c>
      <c r="H761">
        <v>33.729999999999997</v>
      </c>
      <c r="I761" s="1">
        <v>42744</v>
      </c>
      <c r="J761">
        <v>14.38</v>
      </c>
      <c r="K761" s="1">
        <v>42704</v>
      </c>
      <c r="L761">
        <v>101.5</v>
      </c>
    </row>
    <row r="762" spans="1:12" x14ac:dyDescent="0.25">
      <c r="A762" s="1">
        <v>42745</v>
      </c>
      <c r="B762">
        <v>11.49</v>
      </c>
      <c r="C762" s="1">
        <v>42745</v>
      </c>
      <c r="D762">
        <v>19.05</v>
      </c>
      <c r="E762" s="1">
        <v>42705</v>
      </c>
      <c r="F762">
        <v>86.629199999999997</v>
      </c>
      <c r="G762" s="1">
        <v>42745</v>
      </c>
      <c r="H762">
        <v>33.61</v>
      </c>
      <c r="I762" s="1">
        <v>42745</v>
      </c>
      <c r="J762">
        <v>14.32</v>
      </c>
      <c r="K762" s="1">
        <v>42705</v>
      </c>
      <c r="L762">
        <v>101.04</v>
      </c>
    </row>
    <row r="763" spans="1:12" x14ac:dyDescent="0.25">
      <c r="A763" s="1">
        <v>42746</v>
      </c>
      <c r="B763">
        <v>11.26</v>
      </c>
      <c r="C763" s="1">
        <v>42746</v>
      </c>
      <c r="D763">
        <v>18.89</v>
      </c>
      <c r="E763" s="1">
        <v>42706</v>
      </c>
      <c r="F763">
        <v>82.058000000000007</v>
      </c>
      <c r="G763" s="1">
        <v>42746</v>
      </c>
      <c r="H763">
        <v>32.950000000000003</v>
      </c>
      <c r="I763" s="1">
        <v>42746</v>
      </c>
      <c r="J763">
        <v>14.96</v>
      </c>
      <c r="K763" s="1">
        <v>42706</v>
      </c>
      <c r="L763">
        <v>100.77</v>
      </c>
    </row>
    <row r="764" spans="1:12" x14ac:dyDescent="0.25">
      <c r="A764" s="1">
        <v>42747</v>
      </c>
      <c r="B764">
        <v>11.54</v>
      </c>
      <c r="C764" s="1">
        <v>42747</v>
      </c>
      <c r="D764">
        <v>19.18</v>
      </c>
      <c r="E764" s="1">
        <v>42709</v>
      </c>
      <c r="F764">
        <v>79.838099999999997</v>
      </c>
      <c r="G764" s="1">
        <v>42747</v>
      </c>
      <c r="H764">
        <v>32.369999999999997</v>
      </c>
      <c r="I764" s="1">
        <v>42747</v>
      </c>
      <c r="J764">
        <v>14.6</v>
      </c>
      <c r="K764" s="1">
        <v>42709</v>
      </c>
      <c r="L764">
        <v>100.09</v>
      </c>
    </row>
    <row r="765" spans="1:12" x14ac:dyDescent="0.25">
      <c r="A765" s="1">
        <v>42748</v>
      </c>
      <c r="B765">
        <v>11.23</v>
      </c>
      <c r="C765" s="1">
        <v>42748</v>
      </c>
      <c r="D765">
        <v>18.23</v>
      </c>
      <c r="E765" s="1">
        <v>42710</v>
      </c>
      <c r="F765">
        <v>76.565200000000004</v>
      </c>
      <c r="G765" s="1">
        <v>42748</v>
      </c>
      <c r="H765">
        <v>30.73</v>
      </c>
      <c r="I765" s="1">
        <v>42748</v>
      </c>
      <c r="J765">
        <v>14.63</v>
      </c>
      <c r="K765" s="1">
        <v>42710</v>
      </c>
      <c r="L765">
        <v>100.49</v>
      </c>
    </row>
    <row r="766" spans="1:12" x14ac:dyDescent="0.25">
      <c r="A766" s="1">
        <v>42752</v>
      </c>
      <c r="B766">
        <v>11.87</v>
      </c>
      <c r="C766" s="1">
        <v>42752</v>
      </c>
      <c r="D766">
        <v>18.68</v>
      </c>
      <c r="E766" s="1">
        <v>42711</v>
      </c>
      <c r="F766">
        <v>73.441199999999995</v>
      </c>
      <c r="G766" s="1">
        <v>42752</v>
      </c>
      <c r="H766">
        <v>31.25</v>
      </c>
      <c r="I766" s="1">
        <v>42752</v>
      </c>
      <c r="J766">
        <v>15.67</v>
      </c>
      <c r="K766" s="1">
        <v>42711</v>
      </c>
      <c r="L766">
        <v>100.23</v>
      </c>
    </row>
    <row r="767" spans="1:12" x14ac:dyDescent="0.25">
      <c r="A767" s="1">
        <v>42753</v>
      </c>
      <c r="B767">
        <v>12.48</v>
      </c>
      <c r="C767" s="1">
        <v>42753</v>
      </c>
      <c r="D767">
        <v>18.63</v>
      </c>
      <c r="E767" s="1">
        <v>42712</v>
      </c>
      <c r="F767">
        <v>73.110200000000006</v>
      </c>
      <c r="G767" s="1">
        <v>42753</v>
      </c>
      <c r="H767">
        <v>31.24</v>
      </c>
      <c r="I767" s="1">
        <v>42753</v>
      </c>
      <c r="J767">
        <v>15.25</v>
      </c>
      <c r="K767" s="1">
        <v>42712</v>
      </c>
      <c r="L767">
        <v>101.1</v>
      </c>
    </row>
    <row r="768" spans="1:12" x14ac:dyDescent="0.25">
      <c r="A768" s="1">
        <v>42754</v>
      </c>
      <c r="B768">
        <v>12.78</v>
      </c>
      <c r="C768" s="1">
        <v>42754</v>
      </c>
      <c r="D768">
        <v>18.88</v>
      </c>
      <c r="E768" s="1">
        <v>42713</v>
      </c>
      <c r="F768">
        <v>75.547899999999998</v>
      </c>
      <c r="G768" s="1">
        <v>42754</v>
      </c>
      <c r="H768">
        <v>30.88</v>
      </c>
      <c r="I768" s="1">
        <v>42754</v>
      </c>
      <c r="J768">
        <v>15.11</v>
      </c>
      <c r="K768" s="1">
        <v>42713</v>
      </c>
      <c r="L768">
        <v>101.59</v>
      </c>
    </row>
    <row r="769" spans="1:12" x14ac:dyDescent="0.25">
      <c r="A769" s="1">
        <v>42755</v>
      </c>
      <c r="B769">
        <v>11.54</v>
      </c>
      <c r="C769" s="1">
        <v>42755</v>
      </c>
      <c r="D769">
        <v>16.96</v>
      </c>
      <c r="E769" s="1">
        <v>42716</v>
      </c>
      <c r="F769">
        <v>76.394099999999995</v>
      </c>
      <c r="G769" s="1">
        <v>42755</v>
      </c>
      <c r="H769">
        <v>29.19</v>
      </c>
      <c r="I769" s="1">
        <v>42755</v>
      </c>
      <c r="J769">
        <v>14.38</v>
      </c>
      <c r="K769" s="1">
        <v>42716</v>
      </c>
      <c r="L769">
        <v>101.03</v>
      </c>
    </row>
    <row r="770" spans="1:12" x14ac:dyDescent="0.25">
      <c r="A770" s="1">
        <v>42758</v>
      </c>
      <c r="B770">
        <v>11.77</v>
      </c>
      <c r="C770" s="1">
        <v>42758</v>
      </c>
      <c r="D770">
        <v>17.71</v>
      </c>
      <c r="E770" s="1">
        <v>42717</v>
      </c>
      <c r="F770">
        <v>75.358599999999996</v>
      </c>
      <c r="G770" s="1">
        <v>42758</v>
      </c>
      <c r="H770">
        <v>30.79</v>
      </c>
      <c r="I770" s="1">
        <v>42758</v>
      </c>
      <c r="J770">
        <v>15.15</v>
      </c>
      <c r="K770" s="1">
        <v>42717</v>
      </c>
      <c r="L770">
        <v>101.07</v>
      </c>
    </row>
    <row r="771" spans="1:12" x14ac:dyDescent="0.25">
      <c r="A771" s="1">
        <v>42759</v>
      </c>
      <c r="B771">
        <v>11.07</v>
      </c>
      <c r="C771" s="1">
        <v>42759</v>
      </c>
      <c r="D771">
        <v>17.39</v>
      </c>
      <c r="E771" s="1">
        <v>42718</v>
      </c>
      <c r="F771">
        <v>75.837599999999995</v>
      </c>
      <c r="G771" s="1">
        <v>42759</v>
      </c>
      <c r="H771">
        <v>29.59</v>
      </c>
      <c r="I771" s="1">
        <v>42759</v>
      </c>
      <c r="J771">
        <v>14.65</v>
      </c>
      <c r="K771" s="1">
        <v>42718</v>
      </c>
      <c r="L771">
        <v>101.76</v>
      </c>
    </row>
    <row r="772" spans="1:12" x14ac:dyDescent="0.25">
      <c r="A772" s="1">
        <v>42760</v>
      </c>
      <c r="B772">
        <v>10.81</v>
      </c>
      <c r="C772" s="1">
        <v>42760</v>
      </c>
      <c r="D772">
        <v>17.05</v>
      </c>
      <c r="E772" s="1">
        <v>42719</v>
      </c>
      <c r="F772">
        <v>78.612200000000001</v>
      </c>
      <c r="G772" s="1">
        <v>42760</v>
      </c>
      <c r="H772">
        <v>30.41</v>
      </c>
      <c r="I772" s="1">
        <v>42760</v>
      </c>
      <c r="J772">
        <v>14.47</v>
      </c>
      <c r="K772" s="1">
        <v>42719</v>
      </c>
      <c r="L772">
        <v>103.02</v>
      </c>
    </row>
    <row r="773" spans="1:12" x14ac:dyDescent="0.25">
      <c r="A773" s="1">
        <v>42761</v>
      </c>
      <c r="B773">
        <v>10.63</v>
      </c>
      <c r="C773" s="1">
        <v>42761</v>
      </c>
      <c r="D773">
        <v>17.43</v>
      </c>
      <c r="E773" s="1">
        <v>42720</v>
      </c>
      <c r="F773">
        <v>78.219899999999996</v>
      </c>
      <c r="G773" s="1">
        <v>42761</v>
      </c>
      <c r="H773">
        <v>29.59</v>
      </c>
      <c r="I773" s="1">
        <v>42761</v>
      </c>
      <c r="J773">
        <v>14.74</v>
      </c>
      <c r="K773" s="1">
        <v>42720</v>
      </c>
      <c r="L773">
        <v>102.95</v>
      </c>
    </row>
    <row r="774" spans="1:12" x14ac:dyDescent="0.25">
      <c r="A774" s="1">
        <v>42762</v>
      </c>
      <c r="B774">
        <v>10.58</v>
      </c>
      <c r="C774" s="1">
        <v>42762</v>
      </c>
      <c r="D774">
        <v>16.73</v>
      </c>
      <c r="E774" s="1">
        <v>42723</v>
      </c>
      <c r="F774">
        <v>75.243499999999997</v>
      </c>
      <c r="G774" s="1">
        <v>42762</v>
      </c>
      <c r="H774">
        <v>29.78</v>
      </c>
      <c r="I774" s="1">
        <v>42762</v>
      </c>
      <c r="J774">
        <v>14.34</v>
      </c>
      <c r="K774" s="1">
        <v>42723</v>
      </c>
      <c r="L774">
        <v>103.14</v>
      </c>
    </row>
    <row r="775" spans="1:12" x14ac:dyDescent="0.25">
      <c r="A775" s="1">
        <v>42765</v>
      </c>
      <c r="B775">
        <v>11.88</v>
      </c>
      <c r="C775" s="1">
        <v>42765</v>
      </c>
      <c r="D775">
        <v>18.559999999999999</v>
      </c>
      <c r="E775" s="1">
        <v>42724</v>
      </c>
      <c r="F775">
        <v>75.4572</v>
      </c>
      <c r="G775" s="1">
        <v>42765</v>
      </c>
      <c r="H775">
        <v>30.94</v>
      </c>
      <c r="I775" s="1">
        <v>42765</v>
      </c>
      <c r="J775">
        <v>15.19</v>
      </c>
      <c r="K775" s="1">
        <v>42724</v>
      </c>
      <c r="L775">
        <v>103.29</v>
      </c>
    </row>
    <row r="776" spans="1:12" x14ac:dyDescent="0.25">
      <c r="A776" s="1">
        <v>42766</v>
      </c>
      <c r="B776">
        <v>11.99</v>
      </c>
      <c r="C776" s="1">
        <v>42766</v>
      </c>
      <c r="D776">
        <v>18.62</v>
      </c>
      <c r="E776" s="1">
        <v>42725</v>
      </c>
      <c r="F776">
        <v>73.971000000000004</v>
      </c>
      <c r="G776" s="1">
        <v>42766</v>
      </c>
      <c r="H776">
        <v>31.33</v>
      </c>
      <c r="I776" s="1">
        <v>42766</v>
      </c>
      <c r="J776">
        <v>15.27</v>
      </c>
      <c r="K776" s="1">
        <v>42725</v>
      </c>
      <c r="L776">
        <v>103.02</v>
      </c>
    </row>
    <row r="777" spans="1:12" x14ac:dyDescent="0.25">
      <c r="A777" s="1">
        <v>42767</v>
      </c>
      <c r="B777">
        <v>11.81</v>
      </c>
      <c r="C777" s="1">
        <v>42767</v>
      </c>
      <c r="D777">
        <v>17.95</v>
      </c>
      <c r="E777" s="1">
        <v>42726</v>
      </c>
      <c r="F777">
        <v>74.0548</v>
      </c>
      <c r="G777" s="1">
        <v>42767</v>
      </c>
      <c r="H777">
        <v>30.65</v>
      </c>
      <c r="I777" s="1">
        <v>42767</v>
      </c>
      <c r="J777">
        <v>14.8</v>
      </c>
      <c r="K777" s="1">
        <v>42726</v>
      </c>
      <c r="L777">
        <v>103.09</v>
      </c>
    </row>
    <row r="778" spans="1:12" x14ac:dyDescent="0.25">
      <c r="A778" s="1">
        <v>42768</v>
      </c>
      <c r="B778">
        <v>11.93</v>
      </c>
      <c r="C778" s="1">
        <v>42768</v>
      </c>
      <c r="D778">
        <v>17.3</v>
      </c>
      <c r="E778" s="1">
        <v>42727</v>
      </c>
      <c r="F778">
        <v>72.572599999999994</v>
      </c>
      <c r="G778" s="1">
        <v>42768</v>
      </c>
      <c r="H778">
        <v>29.39</v>
      </c>
      <c r="I778" s="1">
        <v>42768</v>
      </c>
      <c r="J778">
        <v>15.04</v>
      </c>
      <c r="K778" s="1">
        <v>42727</v>
      </c>
      <c r="L778">
        <v>103.01</v>
      </c>
    </row>
    <row r="779" spans="1:12" x14ac:dyDescent="0.25">
      <c r="A779" s="1">
        <v>42769</v>
      </c>
      <c r="B779">
        <v>10.97</v>
      </c>
      <c r="C779" s="1">
        <v>42769</v>
      </c>
      <c r="D779">
        <v>16.45</v>
      </c>
      <c r="E779" s="1">
        <v>42730</v>
      </c>
      <c r="F779">
        <v>72.572599999999994</v>
      </c>
      <c r="G779" s="1">
        <v>42769</v>
      </c>
      <c r="H779">
        <v>28.11</v>
      </c>
      <c r="I779" s="1">
        <v>42769</v>
      </c>
      <c r="J779">
        <v>15.04</v>
      </c>
      <c r="K779" s="1">
        <v>42730</v>
      </c>
      <c r="L779">
        <v>102.97</v>
      </c>
    </row>
    <row r="780" spans="1:12" x14ac:dyDescent="0.25">
      <c r="A780" s="1">
        <v>42772</v>
      </c>
      <c r="B780">
        <v>11.37</v>
      </c>
      <c r="C780" s="1">
        <v>42772</v>
      </c>
      <c r="D780">
        <v>16.760000000000002</v>
      </c>
      <c r="E780" s="1">
        <v>42731</v>
      </c>
      <c r="F780">
        <v>70.664199999999994</v>
      </c>
      <c r="G780" s="1">
        <v>42772</v>
      </c>
      <c r="H780">
        <v>29.37</v>
      </c>
      <c r="I780" s="1">
        <v>42772</v>
      </c>
      <c r="J780">
        <v>15.74</v>
      </c>
      <c r="K780" s="1">
        <v>42731</v>
      </c>
      <c r="L780">
        <v>103.02</v>
      </c>
    </row>
    <row r="781" spans="1:12" x14ac:dyDescent="0.25">
      <c r="A781" s="1">
        <v>42773</v>
      </c>
      <c r="B781">
        <v>11.29</v>
      </c>
      <c r="C781" s="1">
        <v>42773</v>
      </c>
      <c r="D781">
        <v>17.38</v>
      </c>
      <c r="E781" s="1">
        <v>42732</v>
      </c>
      <c r="F781">
        <v>70.790899999999993</v>
      </c>
      <c r="G781" s="1">
        <v>42773</v>
      </c>
      <c r="H781">
        <v>29.61</v>
      </c>
      <c r="I781" s="1">
        <v>42773</v>
      </c>
      <c r="J781">
        <v>15.26</v>
      </c>
      <c r="K781" s="1">
        <v>42732</v>
      </c>
      <c r="L781">
        <v>103.3</v>
      </c>
    </row>
    <row r="782" spans="1:12" x14ac:dyDescent="0.25">
      <c r="A782" s="1">
        <v>42774</v>
      </c>
      <c r="B782">
        <v>11.45</v>
      </c>
      <c r="C782" s="1">
        <v>42774</v>
      </c>
      <c r="D782">
        <v>17.11</v>
      </c>
      <c r="E782" s="1">
        <v>42733</v>
      </c>
      <c r="F782">
        <v>71.276399999999995</v>
      </c>
      <c r="G782" s="1">
        <v>42774</v>
      </c>
      <c r="H782">
        <v>29.09</v>
      </c>
      <c r="I782" s="1">
        <v>42774</v>
      </c>
      <c r="J782">
        <v>15.2</v>
      </c>
      <c r="K782" s="1">
        <v>42733</v>
      </c>
      <c r="L782">
        <v>102.68</v>
      </c>
    </row>
    <row r="783" spans="1:12" x14ac:dyDescent="0.25">
      <c r="A783" s="1">
        <v>42775</v>
      </c>
      <c r="B783">
        <v>10.88</v>
      </c>
      <c r="C783" s="1">
        <v>42775</v>
      </c>
      <c r="D783">
        <v>16.809999999999999</v>
      </c>
      <c r="E783" s="1">
        <v>42734</v>
      </c>
      <c r="F783">
        <v>71.6297</v>
      </c>
      <c r="G783" s="1">
        <v>42775</v>
      </c>
      <c r="H783">
        <v>28.25</v>
      </c>
      <c r="I783" s="1">
        <v>42775</v>
      </c>
      <c r="J783">
        <v>14.88</v>
      </c>
      <c r="K783" s="1">
        <v>42734</v>
      </c>
      <c r="L783">
        <v>102.21</v>
      </c>
    </row>
    <row r="784" spans="1:12" x14ac:dyDescent="0.25">
      <c r="A784" s="1">
        <v>42776</v>
      </c>
      <c r="B784">
        <v>10.85</v>
      </c>
      <c r="C784" s="1">
        <v>42776</v>
      </c>
      <c r="D784">
        <v>16.25</v>
      </c>
      <c r="E784" s="1">
        <v>42737</v>
      </c>
      <c r="F784">
        <v>71.6297</v>
      </c>
      <c r="G784" s="1">
        <v>42776</v>
      </c>
      <c r="H784">
        <v>26.43</v>
      </c>
      <c r="I784" s="1">
        <v>42776</v>
      </c>
      <c r="J784">
        <v>14.88</v>
      </c>
      <c r="K784" s="1">
        <v>42737</v>
      </c>
      <c r="L784">
        <v>102.78</v>
      </c>
    </row>
    <row r="785" spans="1:12" x14ac:dyDescent="0.25">
      <c r="A785" s="1">
        <v>42779</v>
      </c>
      <c r="B785">
        <v>11.07</v>
      </c>
      <c r="C785" s="1">
        <v>42779</v>
      </c>
      <c r="D785">
        <v>16.36</v>
      </c>
      <c r="E785" s="1">
        <v>42738</v>
      </c>
      <c r="F785">
        <v>76.7316</v>
      </c>
      <c r="G785" s="1">
        <v>42779</v>
      </c>
      <c r="H785">
        <v>26.99</v>
      </c>
      <c r="I785" s="1">
        <v>42779</v>
      </c>
      <c r="J785">
        <v>14.61</v>
      </c>
      <c r="K785" s="1">
        <v>42738</v>
      </c>
      <c r="L785">
        <v>103.21</v>
      </c>
    </row>
    <row r="786" spans="1:12" x14ac:dyDescent="0.25">
      <c r="A786" s="1">
        <v>42780</v>
      </c>
      <c r="B786">
        <v>10.74</v>
      </c>
      <c r="C786" s="1">
        <v>42780</v>
      </c>
      <c r="D786">
        <v>15.72</v>
      </c>
      <c r="E786" s="1">
        <v>42739</v>
      </c>
      <c r="F786">
        <v>76.407700000000006</v>
      </c>
      <c r="G786" s="1">
        <v>42780</v>
      </c>
      <c r="H786">
        <v>27.49</v>
      </c>
      <c r="I786" s="1">
        <v>42780</v>
      </c>
      <c r="J786">
        <v>14.21</v>
      </c>
      <c r="K786" s="1">
        <v>42739</v>
      </c>
      <c r="L786">
        <v>102.7</v>
      </c>
    </row>
    <row r="787" spans="1:12" x14ac:dyDescent="0.25">
      <c r="A787" s="1">
        <v>42781</v>
      </c>
      <c r="B787">
        <v>11.97</v>
      </c>
      <c r="C787" s="1">
        <v>42781</v>
      </c>
      <c r="D787">
        <v>16.05</v>
      </c>
      <c r="E787" s="1">
        <v>42740</v>
      </c>
      <c r="F787">
        <v>76.502899999999997</v>
      </c>
      <c r="G787" s="1">
        <v>42781</v>
      </c>
      <c r="H787">
        <v>27.75</v>
      </c>
      <c r="I787" s="1">
        <v>42781</v>
      </c>
      <c r="J787">
        <v>13.71</v>
      </c>
      <c r="K787" s="1">
        <v>42740</v>
      </c>
      <c r="L787">
        <v>101.52</v>
      </c>
    </row>
    <row r="788" spans="1:12" x14ac:dyDescent="0.25">
      <c r="A788" s="1">
        <v>42782</v>
      </c>
      <c r="B788">
        <v>11.76</v>
      </c>
      <c r="C788" s="1">
        <v>42782</v>
      </c>
      <c r="D788">
        <v>15.86</v>
      </c>
      <c r="E788" s="1">
        <v>42741</v>
      </c>
      <c r="F788">
        <v>75.237499999999997</v>
      </c>
      <c r="G788" s="1">
        <v>42782</v>
      </c>
      <c r="H788">
        <v>27.37</v>
      </c>
      <c r="I788" s="1">
        <v>42782</v>
      </c>
      <c r="J788">
        <v>13.75</v>
      </c>
      <c r="K788" s="1">
        <v>42741</v>
      </c>
      <c r="L788">
        <v>102.22</v>
      </c>
    </row>
    <row r="789" spans="1:12" x14ac:dyDescent="0.25">
      <c r="A789" s="1">
        <v>42783</v>
      </c>
      <c r="B789">
        <v>11.49</v>
      </c>
      <c r="C789" s="1">
        <v>42783</v>
      </c>
      <c r="D789">
        <v>15.23</v>
      </c>
      <c r="E789" s="1">
        <v>42744</v>
      </c>
      <c r="F789">
        <v>74.828800000000001</v>
      </c>
      <c r="G789" s="1">
        <v>42783</v>
      </c>
      <c r="H789">
        <v>25.29</v>
      </c>
      <c r="I789" s="1">
        <v>42783</v>
      </c>
      <c r="J789">
        <v>13.27</v>
      </c>
      <c r="K789" s="1">
        <v>42744</v>
      </c>
      <c r="L789">
        <v>101.93</v>
      </c>
    </row>
    <row r="790" spans="1:12" x14ac:dyDescent="0.25">
      <c r="A790" s="1">
        <v>42787</v>
      </c>
      <c r="B790">
        <v>11.57</v>
      </c>
      <c r="C790" s="1">
        <v>42787</v>
      </c>
      <c r="D790">
        <v>16.2</v>
      </c>
      <c r="E790" s="1">
        <v>42745</v>
      </c>
      <c r="F790">
        <v>73.258399999999995</v>
      </c>
      <c r="G790" s="1">
        <v>42787</v>
      </c>
      <c r="H790">
        <v>25.79</v>
      </c>
      <c r="I790" s="1">
        <v>42787</v>
      </c>
      <c r="J790">
        <v>13.72</v>
      </c>
      <c r="K790" s="1">
        <v>42745</v>
      </c>
      <c r="L790">
        <v>102.01</v>
      </c>
    </row>
    <row r="791" spans="1:12" x14ac:dyDescent="0.25">
      <c r="A791" s="1">
        <v>42788</v>
      </c>
      <c r="B791">
        <v>11.74</v>
      </c>
      <c r="C791" s="1">
        <v>42788</v>
      </c>
      <c r="D791">
        <v>16.68</v>
      </c>
      <c r="E791" s="1">
        <v>42746</v>
      </c>
      <c r="F791">
        <v>72.825699999999998</v>
      </c>
      <c r="G791" s="1">
        <v>42788</v>
      </c>
      <c r="H791">
        <v>27.09</v>
      </c>
      <c r="I791" s="1">
        <v>42788</v>
      </c>
      <c r="J791">
        <v>13.26</v>
      </c>
      <c r="K791" s="1">
        <v>42746</v>
      </c>
      <c r="L791">
        <v>101.78</v>
      </c>
    </row>
    <row r="792" spans="1:12" x14ac:dyDescent="0.25">
      <c r="A792" s="1">
        <v>42789</v>
      </c>
      <c r="B792">
        <v>11.71</v>
      </c>
      <c r="C792" s="1">
        <v>42789</v>
      </c>
      <c r="D792">
        <v>16.7</v>
      </c>
      <c r="E792" s="1">
        <v>42747</v>
      </c>
      <c r="F792">
        <v>73.744</v>
      </c>
      <c r="G792" s="1">
        <v>42789</v>
      </c>
      <c r="H792">
        <v>25.79</v>
      </c>
      <c r="I792" s="1">
        <v>42789</v>
      </c>
      <c r="J792">
        <v>13.68</v>
      </c>
      <c r="K792" s="1">
        <v>42747</v>
      </c>
      <c r="L792">
        <v>101.35</v>
      </c>
    </row>
    <row r="793" spans="1:12" x14ac:dyDescent="0.25">
      <c r="A793" s="1">
        <v>42790</v>
      </c>
      <c r="B793">
        <v>11.47</v>
      </c>
      <c r="C793" s="1">
        <v>42790</v>
      </c>
      <c r="D793">
        <v>17.52</v>
      </c>
      <c r="E793" s="1">
        <v>42748</v>
      </c>
      <c r="F793">
        <v>74.500500000000002</v>
      </c>
      <c r="G793" s="1">
        <v>42790</v>
      </c>
      <c r="H793">
        <v>25.72</v>
      </c>
      <c r="I793" s="1">
        <v>42790</v>
      </c>
      <c r="J793">
        <v>13.54</v>
      </c>
      <c r="K793" s="1">
        <v>42748</v>
      </c>
      <c r="L793">
        <v>101.18</v>
      </c>
    </row>
    <row r="794" spans="1:12" x14ac:dyDescent="0.25">
      <c r="A794" s="1">
        <v>42793</v>
      </c>
      <c r="B794">
        <v>12.09</v>
      </c>
      <c r="C794" s="1">
        <v>42793</v>
      </c>
      <c r="D794">
        <v>17.7</v>
      </c>
      <c r="E794" s="1">
        <v>42751</v>
      </c>
      <c r="F794">
        <v>74.500500000000002</v>
      </c>
      <c r="G794" s="1">
        <v>42793</v>
      </c>
      <c r="H794">
        <v>25.01</v>
      </c>
      <c r="I794" s="1">
        <v>42793</v>
      </c>
      <c r="J794">
        <v>14.44</v>
      </c>
      <c r="K794" s="1">
        <v>42751</v>
      </c>
      <c r="L794">
        <v>101.18</v>
      </c>
    </row>
    <row r="795" spans="1:12" x14ac:dyDescent="0.25">
      <c r="A795" s="1">
        <v>42794</v>
      </c>
      <c r="B795">
        <v>12.92</v>
      </c>
      <c r="C795" s="1">
        <v>42794</v>
      </c>
      <c r="D795">
        <v>18.670000000000002</v>
      </c>
      <c r="E795" s="1">
        <v>42752</v>
      </c>
      <c r="F795">
        <v>73.938999999999993</v>
      </c>
      <c r="G795" s="1">
        <v>42794</v>
      </c>
      <c r="H795">
        <v>25.46</v>
      </c>
      <c r="I795" s="1">
        <v>42794</v>
      </c>
      <c r="J795">
        <v>14.3</v>
      </c>
      <c r="K795" s="1">
        <v>42752</v>
      </c>
      <c r="L795">
        <v>100.33</v>
      </c>
    </row>
    <row r="796" spans="1:12" x14ac:dyDescent="0.25">
      <c r="A796" s="1">
        <v>42795</v>
      </c>
      <c r="B796">
        <v>12.54</v>
      </c>
      <c r="C796" s="1">
        <v>42795</v>
      </c>
      <c r="D796">
        <v>18.059999999999999</v>
      </c>
      <c r="E796" s="1">
        <v>42753</v>
      </c>
      <c r="F796">
        <v>73.942300000000003</v>
      </c>
      <c r="G796" s="1">
        <v>42795</v>
      </c>
      <c r="H796">
        <v>24.67</v>
      </c>
      <c r="I796" s="1">
        <v>42795</v>
      </c>
      <c r="J796">
        <v>14.41</v>
      </c>
      <c r="K796" s="1">
        <v>42753</v>
      </c>
      <c r="L796">
        <v>100.93</v>
      </c>
    </row>
    <row r="797" spans="1:12" x14ac:dyDescent="0.25">
      <c r="A797" s="1">
        <v>42796</v>
      </c>
      <c r="B797">
        <v>11.81</v>
      </c>
      <c r="C797" s="1">
        <v>42796</v>
      </c>
      <c r="D797">
        <v>19.059999999999999</v>
      </c>
      <c r="E797" s="1">
        <v>42754</v>
      </c>
      <c r="F797">
        <v>78.322100000000006</v>
      </c>
      <c r="G797" s="1">
        <v>42796</v>
      </c>
      <c r="H797">
        <v>25.94</v>
      </c>
      <c r="I797" s="1">
        <v>42796</v>
      </c>
      <c r="J797">
        <v>13.89</v>
      </c>
      <c r="K797" s="1">
        <v>42754</v>
      </c>
      <c r="L797">
        <v>101.15</v>
      </c>
    </row>
    <row r="798" spans="1:12" x14ac:dyDescent="0.25">
      <c r="A798" s="1">
        <v>42797</v>
      </c>
      <c r="B798">
        <v>10.96</v>
      </c>
      <c r="C798" s="1">
        <v>42797</v>
      </c>
      <c r="D798">
        <v>17.809999999999999</v>
      </c>
      <c r="E798" s="1">
        <v>42755</v>
      </c>
      <c r="F798">
        <v>76.705699999999993</v>
      </c>
      <c r="G798" s="1">
        <v>42797</v>
      </c>
      <c r="H798">
        <v>25.59</v>
      </c>
      <c r="I798" s="1">
        <v>42797</v>
      </c>
      <c r="J798">
        <v>13.66</v>
      </c>
      <c r="K798" s="1">
        <v>42755</v>
      </c>
      <c r="L798">
        <v>100.74</v>
      </c>
    </row>
    <row r="799" spans="1:12" x14ac:dyDescent="0.25">
      <c r="A799" s="1">
        <v>42800</v>
      </c>
      <c r="B799">
        <v>11.24</v>
      </c>
      <c r="C799" s="1">
        <v>42800</v>
      </c>
      <c r="D799">
        <v>17.53</v>
      </c>
      <c r="E799" s="1">
        <v>42758</v>
      </c>
      <c r="F799">
        <v>75.517200000000003</v>
      </c>
      <c r="G799" s="1">
        <v>42800</v>
      </c>
      <c r="H799">
        <v>26.96</v>
      </c>
      <c r="I799" s="1">
        <v>42800</v>
      </c>
      <c r="J799">
        <v>13.24</v>
      </c>
      <c r="K799" s="1">
        <v>42758</v>
      </c>
      <c r="L799">
        <v>100.16</v>
      </c>
    </row>
    <row r="800" spans="1:12" x14ac:dyDescent="0.25">
      <c r="A800" s="1">
        <v>42801</v>
      </c>
      <c r="B800">
        <v>11.45</v>
      </c>
      <c r="C800" s="1">
        <v>42801</v>
      </c>
      <c r="D800">
        <v>16.71</v>
      </c>
      <c r="E800" s="1">
        <v>42759</v>
      </c>
      <c r="F800">
        <v>75.529899999999998</v>
      </c>
      <c r="G800" s="1">
        <v>42801</v>
      </c>
      <c r="H800">
        <v>26.46</v>
      </c>
      <c r="I800" s="1">
        <v>42801</v>
      </c>
      <c r="J800">
        <v>13.22</v>
      </c>
      <c r="K800" s="1">
        <v>42759</v>
      </c>
      <c r="L800">
        <v>100.35</v>
      </c>
    </row>
    <row r="801" spans="1:12" x14ac:dyDescent="0.25">
      <c r="A801" s="1">
        <v>42802</v>
      </c>
      <c r="B801">
        <v>11.86</v>
      </c>
      <c r="C801" s="1">
        <v>42802</v>
      </c>
      <c r="D801">
        <v>17.670000000000002</v>
      </c>
      <c r="E801" s="1">
        <v>42760</v>
      </c>
      <c r="F801">
        <v>77.061300000000003</v>
      </c>
      <c r="G801" s="1">
        <v>42802</v>
      </c>
      <c r="H801">
        <v>31.74</v>
      </c>
      <c r="I801" s="1">
        <v>42802</v>
      </c>
      <c r="J801">
        <v>13.58</v>
      </c>
      <c r="K801" s="1">
        <v>42760</v>
      </c>
      <c r="L801">
        <v>100.03</v>
      </c>
    </row>
    <row r="802" spans="1:12" x14ac:dyDescent="0.25">
      <c r="A802" s="1">
        <v>42803</v>
      </c>
      <c r="B802">
        <v>12.3</v>
      </c>
      <c r="C802" s="1">
        <v>42803</v>
      </c>
      <c r="D802">
        <v>18.309999999999999</v>
      </c>
      <c r="E802" s="1">
        <v>42761</v>
      </c>
      <c r="F802">
        <v>74.694400000000002</v>
      </c>
      <c r="G802" s="1">
        <v>42803</v>
      </c>
      <c r="H802">
        <v>31.98</v>
      </c>
      <c r="I802" s="1">
        <v>42803</v>
      </c>
      <c r="J802">
        <v>13.62</v>
      </c>
      <c r="K802" s="1">
        <v>42761</v>
      </c>
      <c r="L802">
        <v>100.38</v>
      </c>
    </row>
    <row r="803" spans="1:12" x14ac:dyDescent="0.25">
      <c r="A803" s="1">
        <v>42804</v>
      </c>
      <c r="B803">
        <v>11.66</v>
      </c>
      <c r="C803" s="1">
        <v>42804</v>
      </c>
      <c r="D803">
        <v>17.07</v>
      </c>
      <c r="E803" s="1">
        <v>42762</v>
      </c>
      <c r="F803">
        <v>72.187700000000007</v>
      </c>
      <c r="G803" s="1">
        <v>42804</v>
      </c>
      <c r="H803">
        <v>33.450000000000003</v>
      </c>
      <c r="I803" s="1">
        <v>42804</v>
      </c>
      <c r="J803">
        <v>13.03</v>
      </c>
      <c r="K803" s="1">
        <v>42762</v>
      </c>
      <c r="L803">
        <v>100.53</v>
      </c>
    </row>
    <row r="804" spans="1:12" x14ac:dyDescent="0.25">
      <c r="A804" s="1">
        <v>42807</v>
      </c>
      <c r="B804">
        <v>11.35</v>
      </c>
      <c r="C804" s="1">
        <v>42807</v>
      </c>
      <c r="D804">
        <v>15.21</v>
      </c>
      <c r="E804" s="1">
        <v>42765</v>
      </c>
      <c r="F804">
        <v>72.357200000000006</v>
      </c>
      <c r="G804" s="1">
        <v>42807</v>
      </c>
      <c r="H804">
        <v>32.39</v>
      </c>
      <c r="I804" s="1">
        <v>42807</v>
      </c>
      <c r="J804">
        <v>11.27</v>
      </c>
      <c r="K804" s="1">
        <v>42765</v>
      </c>
      <c r="L804">
        <v>100.43</v>
      </c>
    </row>
    <row r="805" spans="1:12" x14ac:dyDescent="0.25">
      <c r="A805" s="1">
        <v>42808</v>
      </c>
      <c r="B805">
        <v>12.3</v>
      </c>
      <c r="C805" s="1">
        <v>42808</v>
      </c>
      <c r="D805">
        <v>15.75</v>
      </c>
      <c r="E805" s="1">
        <v>42766</v>
      </c>
      <c r="F805">
        <v>72.515299999999996</v>
      </c>
      <c r="G805" s="1">
        <v>42808</v>
      </c>
      <c r="H805">
        <v>33.19</v>
      </c>
      <c r="I805" s="1">
        <v>42808</v>
      </c>
      <c r="J805">
        <v>11.57</v>
      </c>
      <c r="K805" s="1">
        <v>42766</v>
      </c>
      <c r="L805">
        <v>99.512</v>
      </c>
    </row>
    <row r="806" spans="1:12" x14ac:dyDescent="0.25">
      <c r="A806" s="1">
        <v>42809</v>
      </c>
      <c r="B806">
        <v>11.63</v>
      </c>
      <c r="C806" s="1">
        <v>42809</v>
      </c>
      <c r="D806">
        <v>14.93</v>
      </c>
      <c r="E806" s="1">
        <v>42767</v>
      </c>
      <c r="F806">
        <v>70.837800000000001</v>
      </c>
      <c r="G806" s="1">
        <v>42809</v>
      </c>
      <c r="H806">
        <v>30.08</v>
      </c>
      <c r="I806" s="1">
        <v>42809</v>
      </c>
      <c r="J806">
        <v>11.23</v>
      </c>
      <c r="K806" s="1">
        <v>42767</v>
      </c>
      <c r="L806">
        <v>99.641000000000005</v>
      </c>
    </row>
    <row r="807" spans="1:12" x14ac:dyDescent="0.25">
      <c r="A807" s="1">
        <v>42810</v>
      </c>
      <c r="B807">
        <v>11.21</v>
      </c>
      <c r="C807" s="1">
        <v>42810</v>
      </c>
      <c r="D807">
        <v>14.93</v>
      </c>
      <c r="E807" s="1">
        <v>42768</v>
      </c>
      <c r="F807">
        <v>69.923100000000005</v>
      </c>
      <c r="G807" s="1">
        <v>42810</v>
      </c>
      <c r="H807">
        <v>28.63</v>
      </c>
      <c r="I807" s="1">
        <v>42810</v>
      </c>
      <c r="J807">
        <v>11.12</v>
      </c>
      <c r="K807" s="1">
        <v>42768</v>
      </c>
      <c r="L807">
        <v>99.79</v>
      </c>
    </row>
    <row r="808" spans="1:12" x14ac:dyDescent="0.25">
      <c r="A808" s="1">
        <v>42811</v>
      </c>
      <c r="B808">
        <v>11.28</v>
      </c>
      <c r="C808" s="1">
        <v>42811</v>
      </c>
      <c r="D808">
        <v>13.97</v>
      </c>
      <c r="E808" s="1">
        <v>42769</v>
      </c>
      <c r="F808">
        <v>67.389700000000005</v>
      </c>
      <c r="G808" s="1">
        <v>42811</v>
      </c>
      <c r="H808">
        <v>27.45</v>
      </c>
      <c r="I808" s="1">
        <v>42811</v>
      </c>
      <c r="J808">
        <v>10.8</v>
      </c>
      <c r="K808" s="1">
        <v>42769</v>
      </c>
      <c r="L808">
        <v>99.867999999999995</v>
      </c>
    </row>
    <row r="809" spans="1:12" x14ac:dyDescent="0.25">
      <c r="A809" s="1">
        <v>42814</v>
      </c>
      <c r="B809">
        <v>11.34</v>
      </c>
      <c r="C809" s="1">
        <v>42814</v>
      </c>
      <c r="D809">
        <v>15.49</v>
      </c>
      <c r="E809" s="1">
        <v>42772</v>
      </c>
      <c r="F809">
        <v>67.554400000000001</v>
      </c>
      <c r="G809" s="1">
        <v>42814</v>
      </c>
      <c r="H809">
        <v>28.11</v>
      </c>
      <c r="I809" s="1">
        <v>42814</v>
      </c>
      <c r="J809">
        <v>11.35</v>
      </c>
      <c r="K809" s="1">
        <v>42772</v>
      </c>
      <c r="L809">
        <v>99.906999999999996</v>
      </c>
    </row>
    <row r="810" spans="1:12" x14ac:dyDescent="0.25">
      <c r="A810" s="1">
        <v>42815</v>
      </c>
      <c r="B810">
        <v>12.47</v>
      </c>
      <c r="C810" s="1">
        <v>42815</v>
      </c>
      <c r="D810">
        <v>17.95</v>
      </c>
      <c r="E810" s="1">
        <v>42773</v>
      </c>
      <c r="F810">
        <v>68.069999999999993</v>
      </c>
      <c r="G810" s="1">
        <v>42815</v>
      </c>
      <c r="H810">
        <v>30.57</v>
      </c>
      <c r="I810" s="1">
        <v>42815</v>
      </c>
      <c r="J810">
        <v>12.13</v>
      </c>
      <c r="K810" s="1">
        <v>42773</v>
      </c>
      <c r="L810">
        <v>100.26</v>
      </c>
    </row>
    <row r="811" spans="1:12" x14ac:dyDescent="0.25">
      <c r="A811" s="1">
        <v>42816</v>
      </c>
      <c r="B811">
        <v>12.81</v>
      </c>
      <c r="C811" s="1">
        <v>42816</v>
      </c>
      <c r="D811">
        <v>17.75</v>
      </c>
      <c r="E811" s="1">
        <v>42774</v>
      </c>
      <c r="F811">
        <v>68.742500000000007</v>
      </c>
      <c r="G811" s="1">
        <v>42816</v>
      </c>
      <c r="H811">
        <v>30.05</v>
      </c>
      <c r="I811" s="1">
        <v>42816</v>
      </c>
      <c r="J811">
        <v>12.28</v>
      </c>
      <c r="K811" s="1">
        <v>42774</v>
      </c>
      <c r="L811">
        <v>100.28</v>
      </c>
    </row>
    <row r="812" spans="1:12" x14ac:dyDescent="0.25">
      <c r="A812" s="1">
        <v>42817</v>
      </c>
      <c r="B812">
        <v>13.12</v>
      </c>
      <c r="C812" s="1">
        <v>42817</v>
      </c>
      <c r="D812">
        <v>18.28</v>
      </c>
      <c r="E812" s="1">
        <v>42775</v>
      </c>
      <c r="F812">
        <v>68.945300000000003</v>
      </c>
      <c r="G812" s="1">
        <v>42817</v>
      </c>
      <c r="H812">
        <v>29.79</v>
      </c>
      <c r="I812" s="1">
        <v>42817</v>
      </c>
      <c r="J812">
        <v>12.58</v>
      </c>
      <c r="K812" s="1">
        <v>42775</v>
      </c>
      <c r="L812">
        <v>100.65</v>
      </c>
    </row>
    <row r="813" spans="1:12" x14ac:dyDescent="0.25">
      <c r="A813" s="1">
        <v>42818</v>
      </c>
      <c r="B813">
        <v>12.96</v>
      </c>
      <c r="C813" s="1">
        <v>42818</v>
      </c>
      <c r="D813">
        <v>17.809999999999999</v>
      </c>
      <c r="E813" s="1">
        <v>42776</v>
      </c>
      <c r="F813">
        <v>69.628200000000007</v>
      </c>
      <c r="G813" s="1">
        <v>42818</v>
      </c>
      <c r="H813">
        <v>30.99</v>
      </c>
      <c r="I813" s="1">
        <v>42818</v>
      </c>
      <c r="J813">
        <v>12.06</v>
      </c>
      <c r="K813" s="1">
        <v>42776</v>
      </c>
      <c r="L813">
        <v>100.8</v>
      </c>
    </row>
    <row r="814" spans="1:12" x14ac:dyDescent="0.25">
      <c r="A814" s="1">
        <v>42821</v>
      </c>
      <c r="B814">
        <v>12.5</v>
      </c>
      <c r="C814" s="1">
        <v>42821</v>
      </c>
      <c r="D814">
        <v>18.05</v>
      </c>
      <c r="E814" s="1">
        <v>42779</v>
      </c>
      <c r="F814">
        <v>68.828599999999994</v>
      </c>
      <c r="G814" s="1">
        <v>42821</v>
      </c>
      <c r="H814">
        <v>30.78</v>
      </c>
      <c r="I814" s="1">
        <v>42821</v>
      </c>
      <c r="J814">
        <v>12.51</v>
      </c>
      <c r="K814" s="1">
        <v>42779</v>
      </c>
      <c r="L814">
        <v>100.96</v>
      </c>
    </row>
    <row r="815" spans="1:12" x14ac:dyDescent="0.25">
      <c r="A815" s="1">
        <v>42822</v>
      </c>
      <c r="B815">
        <v>11.53</v>
      </c>
      <c r="C815" s="1">
        <v>42822</v>
      </c>
      <c r="D815">
        <v>17.350000000000001</v>
      </c>
      <c r="E815" s="1">
        <v>42780</v>
      </c>
      <c r="F815">
        <v>67.255300000000005</v>
      </c>
      <c r="G815" s="1">
        <v>42822</v>
      </c>
      <c r="H815">
        <v>29.92</v>
      </c>
      <c r="I815" s="1">
        <v>42822</v>
      </c>
      <c r="J815">
        <v>12.35</v>
      </c>
      <c r="K815" s="1">
        <v>42780</v>
      </c>
      <c r="L815">
        <v>101.25</v>
      </c>
    </row>
    <row r="816" spans="1:12" x14ac:dyDescent="0.25">
      <c r="A816" s="1">
        <v>42823</v>
      </c>
      <c r="B816">
        <v>11.42</v>
      </c>
      <c r="C816" s="1">
        <v>42823</v>
      </c>
      <c r="D816">
        <v>16.21</v>
      </c>
      <c r="E816" s="1">
        <v>42781</v>
      </c>
      <c r="F816">
        <v>65.514099999999999</v>
      </c>
      <c r="G816" s="1">
        <v>42823</v>
      </c>
      <c r="H816">
        <v>28.54</v>
      </c>
      <c r="I816" s="1">
        <v>42823</v>
      </c>
      <c r="J816">
        <v>11.65</v>
      </c>
      <c r="K816" s="1">
        <v>42781</v>
      </c>
      <c r="L816">
        <v>101.18</v>
      </c>
    </row>
    <row r="817" spans="1:12" x14ac:dyDescent="0.25">
      <c r="A817" s="1">
        <v>42824</v>
      </c>
      <c r="B817">
        <v>11.54</v>
      </c>
      <c r="C817" s="1">
        <v>42824</v>
      </c>
      <c r="D817">
        <v>15.9</v>
      </c>
      <c r="E817" s="1">
        <v>42782</v>
      </c>
      <c r="F817">
        <v>68.229799999999997</v>
      </c>
      <c r="G817" s="1">
        <v>42824</v>
      </c>
      <c r="H817">
        <v>27.82</v>
      </c>
      <c r="I817" s="1">
        <v>42824</v>
      </c>
      <c r="J817">
        <v>12.09</v>
      </c>
      <c r="K817" s="1">
        <v>42782</v>
      </c>
      <c r="L817">
        <v>100.44</v>
      </c>
    </row>
    <row r="818" spans="1:12" x14ac:dyDescent="0.25">
      <c r="A818" s="1">
        <v>42825</v>
      </c>
      <c r="B818">
        <v>12.37</v>
      </c>
      <c r="C818" s="1">
        <v>42825</v>
      </c>
      <c r="D818">
        <v>15.99</v>
      </c>
      <c r="E818" s="1">
        <v>42783</v>
      </c>
      <c r="F818">
        <v>69.783900000000003</v>
      </c>
      <c r="G818" s="1">
        <v>42825</v>
      </c>
      <c r="H818">
        <v>27.59</v>
      </c>
      <c r="I818" s="1">
        <v>42825</v>
      </c>
      <c r="J818">
        <v>12.41</v>
      </c>
      <c r="K818" s="1">
        <v>42783</v>
      </c>
      <c r="L818">
        <v>100.95</v>
      </c>
    </row>
    <row r="819" spans="1:12" x14ac:dyDescent="0.25">
      <c r="A819" s="1">
        <v>42828</v>
      </c>
      <c r="B819">
        <v>12.38</v>
      </c>
      <c r="C819" s="1">
        <v>42828</v>
      </c>
      <c r="D819">
        <v>16.45</v>
      </c>
      <c r="E819" s="1">
        <v>42786</v>
      </c>
      <c r="F819">
        <v>69.783900000000003</v>
      </c>
      <c r="G819" s="1">
        <v>42828</v>
      </c>
      <c r="H819">
        <v>26.89</v>
      </c>
      <c r="I819" s="1">
        <v>42828</v>
      </c>
      <c r="J819">
        <v>12.61</v>
      </c>
      <c r="K819" s="1">
        <v>42786</v>
      </c>
      <c r="L819">
        <v>100.95</v>
      </c>
    </row>
    <row r="820" spans="1:12" x14ac:dyDescent="0.25">
      <c r="A820" s="1">
        <v>42829</v>
      </c>
      <c r="B820">
        <v>11.79</v>
      </c>
      <c r="C820" s="1">
        <v>42829</v>
      </c>
      <c r="D820">
        <v>16.72</v>
      </c>
      <c r="E820" s="1">
        <v>42787</v>
      </c>
      <c r="F820">
        <v>68.721800000000002</v>
      </c>
      <c r="G820" s="1">
        <v>42829</v>
      </c>
      <c r="H820">
        <v>27.97</v>
      </c>
      <c r="I820" s="1">
        <v>42829</v>
      </c>
      <c r="J820">
        <v>12.41</v>
      </c>
      <c r="K820" s="1">
        <v>42787</v>
      </c>
      <c r="L820">
        <v>101.37</v>
      </c>
    </row>
    <row r="821" spans="1:12" x14ac:dyDescent="0.25">
      <c r="A821" s="1">
        <v>42830</v>
      </c>
      <c r="B821">
        <v>12.89</v>
      </c>
      <c r="C821" s="1">
        <v>42830</v>
      </c>
      <c r="D821">
        <v>16.600000000000001</v>
      </c>
      <c r="E821" s="1">
        <v>42788</v>
      </c>
      <c r="F821">
        <v>69.262699999999995</v>
      </c>
      <c r="G821" s="1">
        <v>42830</v>
      </c>
      <c r="H821">
        <v>27.73</v>
      </c>
      <c r="I821" s="1">
        <v>42830</v>
      </c>
      <c r="J821">
        <v>13.23</v>
      </c>
      <c r="K821" s="1">
        <v>42788</v>
      </c>
      <c r="L821">
        <v>101.22</v>
      </c>
    </row>
    <row r="822" spans="1:12" x14ac:dyDescent="0.25">
      <c r="A822" s="1">
        <v>42831</v>
      </c>
      <c r="B822">
        <v>12.39</v>
      </c>
      <c r="C822" s="1">
        <v>42831</v>
      </c>
      <c r="D822">
        <v>16.940000000000001</v>
      </c>
      <c r="E822" s="1">
        <v>42789</v>
      </c>
      <c r="F822">
        <v>68.641000000000005</v>
      </c>
      <c r="G822" s="1">
        <v>42831</v>
      </c>
      <c r="H822">
        <v>26.79</v>
      </c>
      <c r="I822" s="1">
        <v>42831</v>
      </c>
      <c r="J822">
        <v>12.85</v>
      </c>
      <c r="K822" s="1">
        <v>42789</v>
      </c>
      <c r="L822">
        <v>101.05</v>
      </c>
    </row>
    <row r="823" spans="1:12" x14ac:dyDescent="0.25">
      <c r="A823" s="1">
        <v>42832</v>
      </c>
      <c r="B823">
        <v>12.87</v>
      </c>
      <c r="C823" s="1">
        <v>42832</v>
      </c>
      <c r="D823">
        <v>17.53</v>
      </c>
      <c r="E823" s="1">
        <v>42790</v>
      </c>
      <c r="F823">
        <v>69.848500000000001</v>
      </c>
      <c r="G823" s="1">
        <v>42832</v>
      </c>
      <c r="H823">
        <v>27.46</v>
      </c>
      <c r="I823" s="1">
        <v>42832</v>
      </c>
      <c r="J823">
        <v>13.45</v>
      </c>
      <c r="K823" s="1">
        <v>42790</v>
      </c>
      <c r="L823">
        <v>101.09</v>
      </c>
    </row>
    <row r="824" spans="1:12" x14ac:dyDescent="0.25">
      <c r="A824" s="1">
        <v>42835</v>
      </c>
      <c r="B824">
        <v>14.05</v>
      </c>
      <c r="C824" s="1">
        <v>42835</v>
      </c>
      <c r="D824">
        <v>18.21</v>
      </c>
      <c r="E824" s="1">
        <v>42793</v>
      </c>
      <c r="F824">
        <v>70.891099999999994</v>
      </c>
      <c r="G824" s="1">
        <v>42835</v>
      </c>
      <c r="H824">
        <v>26.71</v>
      </c>
      <c r="I824" s="1">
        <v>42835</v>
      </c>
      <c r="J824">
        <v>13.75</v>
      </c>
      <c r="K824" s="1">
        <v>42793</v>
      </c>
      <c r="L824">
        <v>101.13</v>
      </c>
    </row>
    <row r="825" spans="1:12" x14ac:dyDescent="0.25">
      <c r="A825" s="1">
        <v>42836</v>
      </c>
      <c r="B825">
        <v>15.07</v>
      </c>
      <c r="C825" s="1">
        <v>42836</v>
      </c>
      <c r="D825">
        <v>19.559999999999999</v>
      </c>
      <c r="E825" s="1">
        <v>42794</v>
      </c>
      <c r="F825">
        <v>71.293700000000001</v>
      </c>
      <c r="G825" s="1">
        <v>42836</v>
      </c>
      <c r="H825">
        <v>27.27</v>
      </c>
      <c r="I825" s="1">
        <v>42836</v>
      </c>
      <c r="J825">
        <v>15.2</v>
      </c>
      <c r="K825" s="1">
        <v>42794</v>
      </c>
      <c r="L825">
        <v>101.12</v>
      </c>
    </row>
    <row r="826" spans="1:12" x14ac:dyDescent="0.25">
      <c r="A826" s="1">
        <v>42837</v>
      </c>
      <c r="B826">
        <v>15.77</v>
      </c>
      <c r="C826" s="1">
        <v>42837</v>
      </c>
      <c r="D826">
        <v>19.329999999999998</v>
      </c>
      <c r="E826" s="1">
        <v>42795</v>
      </c>
      <c r="F826">
        <v>70.132599999999996</v>
      </c>
      <c r="G826" s="1">
        <v>42837</v>
      </c>
      <c r="H826">
        <v>26.92</v>
      </c>
      <c r="I826" s="1">
        <v>42837</v>
      </c>
      <c r="J826">
        <v>16.079999999999998</v>
      </c>
      <c r="K826" s="1">
        <v>42795</v>
      </c>
      <c r="L826">
        <v>101.78</v>
      </c>
    </row>
    <row r="827" spans="1:12" x14ac:dyDescent="0.25">
      <c r="A827" s="1">
        <v>42838</v>
      </c>
      <c r="B827">
        <v>15.96</v>
      </c>
      <c r="C827" s="1">
        <v>42838</v>
      </c>
      <c r="D827">
        <v>20.11</v>
      </c>
      <c r="E827" s="1">
        <v>42796</v>
      </c>
      <c r="F827">
        <v>69.539000000000001</v>
      </c>
      <c r="G827" s="1">
        <v>42838</v>
      </c>
      <c r="H827">
        <v>26.02</v>
      </c>
      <c r="I827" s="1">
        <v>42838</v>
      </c>
      <c r="J827">
        <v>16.2</v>
      </c>
      <c r="K827" s="1">
        <v>42796</v>
      </c>
      <c r="L827">
        <v>102.2</v>
      </c>
    </row>
    <row r="828" spans="1:12" x14ac:dyDescent="0.25">
      <c r="A828" s="1">
        <v>42842</v>
      </c>
      <c r="B828">
        <v>14.66</v>
      </c>
      <c r="C828" s="1">
        <v>42842</v>
      </c>
      <c r="D828">
        <v>20.36</v>
      </c>
      <c r="E828" s="1">
        <v>42797</v>
      </c>
      <c r="F828">
        <v>65.787000000000006</v>
      </c>
      <c r="G828" s="1">
        <v>42842</v>
      </c>
      <c r="H828">
        <v>25.8</v>
      </c>
      <c r="I828" s="1">
        <v>42842</v>
      </c>
      <c r="J828">
        <v>16.2</v>
      </c>
      <c r="K828" s="1">
        <v>42797</v>
      </c>
      <c r="L828">
        <v>101.54</v>
      </c>
    </row>
    <row r="829" spans="1:12" x14ac:dyDescent="0.25">
      <c r="A829" s="1">
        <v>42843</v>
      </c>
      <c r="B829">
        <v>14.42</v>
      </c>
      <c r="C829" s="1">
        <v>42843</v>
      </c>
      <c r="D829">
        <v>20.72</v>
      </c>
      <c r="E829" s="1">
        <v>42800</v>
      </c>
      <c r="F829">
        <v>65.409800000000004</v>
      </c>
      <c r="G829" s="1">
        <v>42843</v>
      </c>
      <c r="H829">
        <v>26.88</v>
      </c>
      <c r="I829" s="1">
        <v>42843</v>
      </c>
      <c r="J829">
        <v>15.67</v>
      </c>
      <c r="K829" s="1">
        <v>42800</v>
      </c>
      <c r="L829">
        <v>101.64</v>
      </c>
    </row>
    <row r="830" spans="1:12" x14ac:dyDescent="0.25">
      <c r="A830" s="1">
        <v>42844</v>
      </c>
      <c r="B830">
        <v>14.93</v>
      </c>
      <c r="C830" s="1">
        <v>42844</v>
      </c>
      <c r="D830">
        <v>20.53</v>
      </c>
      <c r="E830" s="1">
        <v>42801</v>
      </c>
      <c r="F830">
        <v>66.032899999999998</v>
      </c>
      <c r="G830" s="1">
        <v>42844</v>
      </c>
      <c r="H830">
        <v>29.81</v>
      </c>
      <c r="I830" s="1">
        <v>42844</v>
      </c>
      <c r="J830">
        <v>14.5</v>
      </c>
      <c r="K830" s="1">
        <v>42801</v>
      </c>
      <c r="L830">
        <v>101.81</v>
      </c>
    </row>
    <row r="831" spans="1:12" x14ac:dyDescent="0.25">
      <c r="A831" s="1">
        <v>42845</v>
      </c>
      <c r="B831">
        <v>14.15</v>
      </c>
      <c r="C831" s="1">
        <v>42845</v>
      </c>
      <c r="D831">
        <v>20.09</v>
      </c>
      <c r="E831" s="1">
        <v>42802</v>
      </c>
      <c r="F831">
        <v>66.609399999999994</v>
      </c>
      <c r="G831" s="1">
        <v>42845</v>
      </c>
      <c r="H831">
        <v>27.96</v>
      </c>
      <c r="I831" s="1">
        <v>42845</v>
      </c>
      <c r="J831">
        <v>14.54</v>
      </c>
      <c r="K831" s="1">
        <v>42802</v>
      </c>
      <c r="L831">
        <v>102.07</v>
      </c>
    </row>
    <row r="832" spans="1:12" x14ac:dyDescent="0.25">
      <c r="A832" s="1">
        <v>42846</v>
      </c>
      <c r="B832">
        <v>14.63</v>
      </c>
      <c r="C832" s="1">
        <v>42846</v>
      </c>
      <c r="D832">
        <v>20.29</v>
      </c>
      <c r="E832" s="1">
        <v>42803</v>
      </c>
      <c r="F832">
        <v>69.181200000000004</v>
      </c>
      <c r="G832" s="1">
        <v>42846</v>
      </c>
      <c r="H832">
        <v>30.06</v>
      </c>
      <c r="I832" s="1">
        <v>42846</v>
      </c>
      <c r="J832">
        <v>15.31</v>
      </c>
      <c r="K832" s="1">
        <v>42803</v>
      </c>
      <c r="L832">
        <v>101.85</v>
      </c>
    </row>
    <row r="833" spans="1:12" x14ac:dyDescent="0.25">
      <c r="A833" s="1">
        <v>42849</v>
      </c>
      <c r="B833">
        <v>10.84</v>
      </c>
      <c r="C833" s="1">
        <v>42849</v>
      </c>
      <c r="D833">
        <v>15.11</v>
      </c>
      <c r="E833" s="1">
        <v>42804</v>
      </c>
      <c r="F833">
        <v>67.700100000000006</v>
      </c>
      <c r="G833" s="1">
        <v>42849</v>
      </c>
      <c r="H833">
        <v>29.88</v>
      </c>
      <c r="I833" s="1">
        <v>42849</v>
      </c>
      <c r="J833">
        <v>12.29</v>
      </c>
      <c r="K833" s="1">
        <v>42804</v>
      </c>
      <c r="L833">
        <v>101.25</v>
      </c>
    </row>
    <row r="834" spans="1:12" x14ac:dyDescent="0.25">
      <c r="A834" s="1">
        <v>42850</v>
      </c>
      <c r="B834">
        <v>10.76</v>
      </c>
      <c r="C834" s="1">
        <v>42850</v>
      </c>
      <c r="D834">
        <v>15.13</v>
      </c>
      <c r="E834" s="1">
        <v>42807</v>
      </c>
      <c r="F834">
        <v>65.637600000000006</v>
      </c>
      <c r="G834" s="1">
        <v>42850</v>
      </c>
      <c r="H834">
        <v>29.39</v>
      </c>
      <c r="I834" s="1">
        <v>42850</v>
      </c>
      <c r="J834">
        <v>12.45</v>
      </c>
      <c r="K834" s="1">
        <v>42807</v>
      </c>
      <c r="L834">
        <v>101.31</v>
      </c>
    </row>
    <row r="835" spans="1:12" x14ac:dyDescent="0.25">
      <c r="A835" s="1">
        <v>42851</v>
      </c>
      <c r="B835">
        <v>10.85</v>
      </c>
      <c r="C835" s="1">
        <v>42851</v>
      </c>
      <c r="D835">
        <v>15.03</v>
      </c>
      <c r="E835" s="1">
        <v>42808</v>
      </c>
      <c r="F835">
        <v>65.182000000000002</v>
      </c>
      <c r="G835" s="1">
        <v>42851</v>
      </c>
      <c r="H835">
        <v>29.32</v>
      </c>
      <c r="I835" s="1">
        <v>42851</v>
      </c>
      <c r="J835">
        <v>12.02</v>
      </c>
      <c r="K835" s="1">
        <v>42808</v>
      </c>
      <c r="L835">
        <v>101.7</v>
      </c>
    </row>
    <row r="836" spans="1:12" x14ac:dyDescent="0.25">
      <c r="A836" s="1">
        <v>42852</v>
      </c>
      <c r="B836">
        <v>10.36</v>
      </c>
      <c r="C836" s="1">
        <v>42852</v>
      </c>
      <c r="D836">
        <v>15.01</v>
      </c>
      <c r="E836" s="1">
        <v>42809</v>
      </c>
      <c r="F836">
        <v>61.62</v>
      </c>
      <c r="G836" s="1">
        <v>42852</v>
      </c>
      <c r="H836">
        <v>29.88</v>
      </c>
      <c r="I836" s="1">
        <v>42852</v>
      </c>
      <c r="J836">
        <v>11.53</v>
      </c>
      <c r="K836" s="1">
        <v>42809</v>
      </c>
      <c r="L836">
        <v>100.74</v>
      </c>
    </row>
    <row r="837" spans="1:12" x14ac:dyDescent="0.25">
      <c r="A837" s="1">
        <v>42853</v>
      </c>
      <c r="B837">
        <v>10.82</v>
      </c>
      <c r="C837" s="1">
        <v>42853</v>
      </c>
      <c r="D837">
        <v>14.76</v>
      </c>
      <c r="E837" s="1">
        <v>42810</v>
      </c>
      <c r="F837">
        <v>60.439700000000002</v>
      </c>
      <c r="G837" s="1">
        <v>42853</v>
      </c>
      <c r="H837">
        <v>28.55</v>
      </c>
      <c r="I837" s="1">
        <v>42853</v>
      </c>
      <c r="J837">
        <v>11.6</v>
      </c>
      <c r="K837" s="1">
        <v>42810</v>
      </c>
      <c r="L837">
        <v>100.36</v>
      </c>
    </row>
    <row r="838" spans="1:12" x14ac:dyDescent="0.25">
      <c r="A838" s="1">
        <v>42856</v>
      </c>
      <c r="B838">
        <v>10.11</v>
      </c>
      <c r="C838" s="1">
        <v>42856</v>
      </c>
      <c r="D838">
        <v>14.81</v>
      </c>
      <c r="E838" s="1">
        <v>42811</v>
      </c>
      <c r="F838">
        <v>60.721600000000002</v>
      </c>
      <c r="G838" s="1">
        <v>42856</v>
      </c>
      <c r="H838">
        <v>29.42</v>
      </c>
      <c r="I838" s="1">
        <v>42856</v>
      </c>
      <c r="J838">
        <v>12.35</v>
      </c>
      <c r="K838" s="1">
        <v>42811</v>
      </c>
      <c r="L838">
        <v>100.3</v>
      </c>
    </row>
    <row r="839" spans="1:12" x14ac:dyDescent="0.25">
      <c r="A839" s="1">
        <v>42857</v>
      </c>
      <c r="B839">
        <v>10.59</v>
      </c>
      <c r="C839" s="1">
        <v>42857</v>
      </c>
      <c r="D839">
        <v>15.13</v>
      </c>
      <c r="E839" s="1">
        <v>42814</v>
      </c>
      <c r="F839">
        <v>59.815100000000001</v>
      </c>
      <c r="G839" s="1">
        <v>42857</v>
      </c>
      <c r="H839">
        <v>32.229999999999997</v>
      </c>
      <c r="I839" s="1">
        <v>42857</v>
      </c>
      <c r="J839">
        <v>12.38</v>
      </c>
      <c r="K839" s="1">
        <v>42814</v>
      </c>
      <c r="L839">
        <v>100.41</v>
      </c>
    </row>
    <row r="840" spans="1:12" x14ac:dyDescent="0.25">
      <c r="A840" s="1">
        <v>42858</v>
      </c>
      <c r="B840">
        <v>10.68</v>
      </c>
      <c r="C840" s="1">
        <v>42858</v>
      </c>
      <c r="D840">
        <v>15.87</v>
      </c>
      <c r="E840" s="1">
        <v>42815</v>
      </c>
      <c r="F840">
        <v>62.134700000000002</v>
      </c>
      <c r="G840" s="1">
        <v>42858</v>
      </c>
      <c r="H840">
        <v>32.799999999999997</v>
      </c>
      <c r="I840" s="1">
        <v>42858</v>
      </c>
      <c r="J840">
        <v>12.54</v>
      </c>
      <c r="K840" s="1">
        <v>42815</v>
      </c>
      <c r="L840">
        <v>99.813000000000002</v>
      </c>
    </row>
    <row r="841" spans="1:12" x14ac:dyDescent="0.25">
      <c r="A841" s="1">
        <v>42859</v>
      </c>
      <c r="B841">
        <v>10.46</v>
      </c>
      <c r="C841" s="1">
        <v>42859</v>
      </c>
      <c r="D841">
        <v>17.47</v>
      </c>
      <c r="E841" s="1">
        <v>42816</v>
      </c>
      <c r="F841">
        <v>64.090900000000005</v>
      </c>
      <c r="G841" s="1">
        <v>42859</v>
      </c>
      <c r="H841">
        <v>34.67</v>
      </c>
      <c r="I841" s="1">
        <v>42859</v>
      </c>
      <c r="J841">
        <v>12.41</v>
      </c>
      <c r="K841" s="1">
        <v>42816</v>
      </c>
      <c r="L841">
        <v>99.677000000000007</v>
      </c>
    </row>
    <row r="842" spans="1:12" x14ac:dyDescent="0.25">
      <c r="A842" s="1">
        <v>42860</v>
      </c>
      <c r="B842">
        <v>10.57</v>
      </c>
      <c r="C842" s="1">
        <v>42860</v>
      </c>
      <c r="D842">
        <v>16.600000000000001</v>
      </c>
      <c r="E842" s="1">
        <v>42817</v>
      </c>
      <c r="F842">
        <v>65.216800000000006</v>
      </c>
      <c r="G842" s="1">
        <v>42860</v>
      </c>
      <c r="H842">
        <v>33.83</v>
      </c>
      <c r="I842" s="1">
        <v>42860</v>
      </c>
      <c r="J842">
        <v>12.01</v>
      </c>
      <c r="K842" s="1">
        <v>42817</v>
      </c>
      <c r="L842">
        <v>99.76</v>
      </c>
    </row>
    <row r="843" spans="1:12" x14ac:dyDescent="0.25">
      <c r="A843" s="1">
        <v>42863</v>
      </c>
      <c r="B843">
        <v>9.77</v>
      </c>
      <c r="C843" s="1">
        <v>42863</v>
      </c>
      <c r="D843">
        <v>16.190000000000001</v>
      </c>
      <c r="E843" s="1">
        <v>42818</v>
      </c>
      <c r="F843">
        <v>64.451400000000007</v>
      </c>
      <c r="G843" s="1">
        <v>42863</v>
      </c>
      <c r="H843">
        <v>33.85</v>
      </c>
      <c r="I843" s="1">
        <v>42863</v>
      </c>
      <c r="J843">
        <v>11.95</v>
      </c>
      <c r="K843" s="1">
        <v>42818</v>
      </c>
      <c r="L843">
        <v>99.626999999999995</v>
      </c>
    </row>
    <row r="844" spans="1:12" x14ac:dyDescent="0.25">
      <c r="A844" s="1">
        <v>42864</v>
      </c>
      <c r="B844">
        <v>9.9600000000000009</v>
      </c>
      <c r="C844" s="1">
        <v>42864</v>
      </c>
      <c r="D844">
        <v>16.23</v>
      </c>
      <c r="E844" s="1">
        <v>42821</v>
      </c>
      <c r="F844">
        <v>62.683199999999999</v>
      </c>
      <c r="G844" s="1">
        <v>42864</v>
      </c>
      <c r="H844">
        <v>34.21</v>
      </c>
      <c r="I844" s="1">
        <v>42864</v>
      </c>
      <c r="J844">
        <v>12.1</v>
      </c>
      <c r="K844" s="1">
        <v>42821</v>
      </c>
      <c r="L844">
        <v>99.165999999999997</v>
      </c>
    </row>
    <row r="845" spans="1:12" x14ac:dyDescent="0.25">
      <c r="A845" s="1">
        <v>42865</v>
      </c>
      <c r="B845">
        <v>10.210000000000001</v>
      </c>
      <c r="C845" s="1">
        <v>42865</v>
      </c>
      <c r="D845">
        <v>15.53</v>
      </c>
      <c r="E845" s="1">
        <v>42822</v>
      </c>
      <c r="F845">
        <v>61.950899999999997</v>
      </c>
      <c r="G845" s="1">
        <v>42865</v>
      </c>
      <c r="H845">
        <v>34.020000000000003</v>
      </c>
      <c r="I845" s="1">
        <v>42865</v>
      </c>
      <c r="J845">
        <v>11.2</v>
      </c>
      <c r="K845" s="1">
        <v>42822</v>
      </c>
      <c r="L845">
        <v>99.712000000000003</v>
      </c>
    </row>
    <row r="846" spans="1:12" x14ac:dyDescent="0.25">
      <c r="A846" s="1">
        <v>42866</v>
      </c>
      <c r="B846">
        <v>10.6</v>
      </c>
      <c r="C846" s="1">
        <v>42866</v>
      </c>
      <c r="D846">
        <v>16.23</v>
      </c>
      <c r="E846" s="1">
        <v>42823</v>
      </c>
      <c r="F846">
        <v>61.020299999999999</v>
      </c>
      <c r="G846" s="1">
        <v>42866</v>
      </c>
      <c r="H846">
        <v>33.72</v>
      </c>
      <c r="I846" s="1">
        <v>42866</v>
      </c>
      <c r="J846">
        <v>11.24</v>
      </c>
      <c r="K846" s="1">
        <v>42823</v>
      </c>
      <c r="L846">
        <v>99.998000000000005</v>
      </c>
    </row>
    <row r="847" spans="1:12" x14ac:dyDescent="0.25">
      <c r="A847" s="1">
        <v>42867</v>
      </c>
      <c r="B847">
        <v>10.4</v>
      </c>
      <c r="C847" s="1">
        <v>42867</v>
      </c>
      <c r="D847">
        <v>16.47</v>
      </c>
      <c r="E847" s="1">
        <v>42824</v>
      </c>
      <c r="F847">
        <v>60.935499999999998</v>
      </c>
      <c r="G847" s="1">
        <v>42867</v>
      </c>
      <c r="H847">
        <v>33.72</v>
      </c>
      <c r="I847" s="1">
        <v>42867</v>
      </c>
      <c r="J847">
        <v>11.13</v>
      </c>
      <c r="K847" s="1">
        <v>42824</v>
      </c>
      <c r="L847">
        <v>100.41</v>
      </c>
    </row>
    <row r="848" spans="1:12" x14ac:dyDescent="0.25">
      <c r="A848" s="1">
        <v>42870</v>
      </c>
      <c r="B848">
        <v>10.42</v>
      </c>
      <c r="C848" s="1">
        <v>42870</v>
      </c>
      <c r="D848">
        <v>16.21</v>
      </c>
      <c r="E848" s="1">
        <v>42825</v>
      </c>
      <c r="F848">
        <v>60.698700000000002</v>
      </c>
      <c r="G848" s="1">
        <v>42870</v>
      </c>
      <c r="H848">
        <v>33.1</v>
      </c>
      <c r="I848" s="1">
        <v>42870</v>
      </c>
      <c r="J848">
        <v>11.28</v>
      </c>
      <c r="K848" s="1">
        <v>42825</v>
      </c>
      <c r="L848">
        <v>100.35</v>
      </c>
    </row>
    <row r="849" spans="1:12" x14ac:dyDescent="0.25">
      <c r="A849" s="1">
        <v>42871</v>
      </c>
      <c r="B849">
        <v>10.65</v>
      </c>
      <c r="C849" s="1">
        <v>42871</v>
      </c>
      <c r="D849">
        <v>16.350000000000001</v>
      </c>
      <c r="E849" s="1">
        <v>42828</v>
      </c>
      <c r="F849">
        <v>61.228000000000002</v>
      </c>
      <c r="G849" s="1">
        <v>42871</v>
      </c>
      <c r="H849">
        <v>33.44</v>
      </c>
      <c r="I849" s="1">
        <v>42871</v>
      </c>
      <c r="J849">
        <v>11.19</v>
      </c>
      <c r="K849" s="1">
        <v>42828</v>
      </c>
      <c r="L849">
        <v>100.54</v>
      </c>
    </row>
    <row r="850" spans="1:12" x14ac:dyDescent="0.25">
      <c r="A850" s="1">
        <v>42872</v>
      </c>
      <c r="B850">
        <v>15.59</v>
      </c>
      <c r="C850" s="1">
        <v>42872</v>
      </c>
      <c r="D850">
        <v>20.53</v>
      </c>
      <c r="E850" s="1">
        <v>42829</v>
      </c>
      <c r="F850">
        <v>64.765699999999995</v>
      </c>
      <c r="G850" s="1">
        <v>42872</v>
      </c>
      <c r="H850">
        <v>33.9</v>
      </c>
      <c r="I850" s="1">
        <v>42872</v>
      </c>
      <c r="J850">
        <v>13.03</v>
      </c>
      <c r="K850" s="1">
        <v>42829</v>
      </c>
      <c r="L850">
        <v>100.54</v>
      </c>
    </row>
    <row r="851" spans="1:12" x14ac:dyDescent="0.25">
      <c r="A851" s="1">
        <v>42873</v>
      </c>
      <c r="B851">
        <v>14.66</v>
      </c>
      <c r="C851" s="1">
        <v>42873</v>
      </c>
      <c r="D851">
        <v>20.48</v>
      </c>
      <c r="E851" s="1">
        <v>42830</v>
      </c>
      <c r="F851">
        <v>63.715299999999999</v>
      </c>
      <c r="G851" s="1">
        <v>42873</v>
      </c>
      <c r="H851">
        <v>32.799999999999997</v>
      </c>
      <c r="I851" s="1">
        <v>42873</v>
      </c>
      <c r="J851">
        <v>12.95</v>
      </c>
      <c r="K851" s="1">
        <v>42830</v>
      </c>
      <c r="L851">
        <v>100.56</v>
      </c>
    </row>
    <row r="852" spans="1:12" x14ac:dyDescent="0.25">
      <c r="A852" s="1">
        <v>42874</v>
      </c>
      <c r="B852">
        <v>12.04</v>
      </c>
      <c r="C852" s="1">
        <v>42874</v>
      </c>
      <c r="D852">
        <v>17.98</v>
      </c>
      <c r="E852" s="1">
        <v>42831</v>
      </c>
      <c r="F852">
        <v>68.252899999999997</v>
      </c>
      <c r="G852" s="1">
        <v>42874</v>
      </c>
      <c r="H852">
        <v>29.76</v>
      </c>
      <c r="I852" s="1">
        <v>42874</v>
      </c>
      <c r="J852">
        <v>12.04</v>
      </c>
      <c r="K852" s="1">
        <v>42831</v>
      </c>
      <c r="L852">
        <v>100.67</v>
      </c>
    </row>
    <row r="853" spans="1:12" x14ac:dyDescent="0.25">
      <c r="A853" s="1">
        <v>42877</v>
      </c>
      <c r="B853">
        <v>10.93</v>
      </c>
      <c r="C853" s="1">
        <v>42877</v>
      </c>
      <c r="D853">
        <v>17</v>
      </c>
      <c r="E853" s="1">
        <v>42832</v>
      </c>
      <c r="F853">
        <v>68.660200000000003</v>
      </c>
      <c r="G853" s="1">
        <v>42877</v>
      </c>
      <c r="H853">
        <v>30.59</v>
      </c>
      <c r="I853" s="1">
        <v>42877</v>
      </c>
      <c r="J853">
        <v>12.32</v>
      </c>
      <c r="K853" s="1">
        <v>42832</v>
      </c>
      <c r="L853">
        <v>101.18</v>
      </c>
    </row>
    <row r="854" spans="1:12" x14ac:dyDescent="0.25">
      <c r="A854" s="1">
        <v>42878</v>
      </c>
      <c r="B854">
        <v>10.72</v>
      </c>
      <c r="C854" s="1">
        <v>42878</v>
      </c>
      <c r="D854">
        <v>16.55</v>
      </c>
      <c r="E854" s="1">
        <v>42835</v>
      </c>
      <c r="F854">
        <v>68.497299999999996</v>
      </c>
      <c r="G854" s="1">
        <v>42878</v>
      </c>
      <c r="H854">
        <v>31.77</v>
      </c>
      <c r="I854" s="1">
        <v>42878</v>
      </c>
      <c r="J854">
        <v>11.89</v>
      </c>
      <c r="K854" s="1">
        <v>42835</v>
      </c>
      <c r="L854">
        <v>101.02</v>
      </c>
    </row>
    <row r="855" spans="1:12" x14ac:dyDescent="0.25">
      <c r="A855" s="1">
        <v>42879</v>
      </c>
      <c r="B855">
        <v>10.02</v>
      </c>
      <c r="C855" s="1">
        <v>42879</v>
      </c>
      <c r="D855">
        <v>16.239999999999998</v>
      </c>
      <c r="E855" s="1">
        <v>42836</v>
      </c>
      <c r="F855">
        <v>70.558499999999995</v>
      </c>
      <c r="G855" s="1">
        <v>42879</v>
      </c>
      <c r="H855">
        <v>30.94</v>
      </c>
      <c r="I855" s="1">
        <v>42879</v>
      </c>
      <c r="J855">
        <v>11.75</v>
      </c>
      <c r="K855" s="1">
        <v>42836</v>
      </c>
      <c r="L855">
        <v>100.71</v>
      </c>
    </row>
    <row r="856" spans="1:12" x14ac:dyDescent="0.25">
      <c r="A856" s="1">
        <v>42880</v>
      </c>
      <c r="B856">
        <v>9.99</v>
      </c>
      <c r="C856" s="1">
        <v>42880</v>
      </c>
      <c r="D856">
        <v>15.64</v>
      </c>
      <c r="E856" s="1">
        <v>42837</v>
      </c>
      <c r="F856">
        <v>73.422600000000003</v>
      </c>
      <c r="G856" s="1">
        <v>42880</v>
      </c>
      <c r="H856">
        <v>33.03</v>
      </c>
      <c r="I856" s="1">
        <v>42880</v>
      </c>
      <c r="J856">
        <v>11.2</v>
      </c>
      <c r="K856" s="1">
        <v>42837</v>
      </c>
      <c r="L856">
        <v>100.78</v>
      </c>
    </row>
    <row r="857" spans="1:12" x14ac:dyDescent="0.25">
      <c r="A857" s="1">
        <v>42881</v>
      </c>
      <c r="B857">
        <v>9.81</v>
      </c>
      <c r="C857" s="1">
        <v>42881</v>
      </c>
      <c r="D857">
        <v>15.77</v>
      </c>
      <c r="E857" s="1">
        <v>42838</v>
      </c>
      <c r="F857">
        <v>74.484700000000004</v>
      </c>
      <c r="G857" s="1">
        <v>42881</v>
      </c>
      <c r="H857">
        <v>30.04</v>
      </c>
      <c r="I857" s="1">
        <v>42881</v>
      </c>
      <c r="J857">
        <v>11.59</v>
      </c>
      <c r="K857" s="1">
        <v>42838</v>
      </c>
      <c r="L857">
        <v>100.49</v>
      </c>
    </row>
    <row r="858" spans="1:12" x14ac:dyDescent="0.25">
      <c r="A858" s="1">
        <v>42885</v>
      </c>
      <c r="B858">
        <v>10.38</v>
      </c>
      <c r="C858" s="1">
        <v>42885</v>
      </c>
      <c r="D858">
        <v>16.690000000000001</v>
      </c>
      <c r="E858" s="1">
        <v>42839</v>
      </c>
      <c r="F858">
        <v>74.484700000000004</v>
      </c>
      <c r="G858" s="1">
        <v>42885</v>
      </c>
      <c r="H858">
        <v>30.3</v>
      </c>
      <c r="I858" s="1">
        <v>42885</v>
      </c>
      <c r="J858">
        <v>11.62</v>
      </c>
      <c r="K858" s="1">
        <v>42839</v>
      </c>
      <c r="L858">
        <v>100.51</v>
      </c>
    </row>
    <row r="859" spans="1:12" x14ac:dyDescent="0.25">
      <c r="A859" s="1">
        <v>42886</v>
      </c>
      <c r="B859">
        <v>10.41</v>
      </c>
      <c r="C859" s="1">
        <v>42886</v>
      </c>
      <c r="D859">
        <v>17.059999999999999</v>
      </c>
      <c r="E859" s="1">
        <v>42842</v>
      </c>
      <c r="F859">
        <v>70.956800000000001</v>
      </c>
      <c r="G859" s="1">
        <v>42886</v>
      </c>
      <c r="H859">
        <v>32.29</v>
      </c>
      <c r="I859" s="1">
        <v>42886</v>
      </c>
      <c r="J859">
        <v>11.82</v>
      </c>
      <c r="K859" s="1">
        <v>42842</v>
      </c>
      <c r="L859">
        <v>100.29</v>
      </c>
    </row>
    <row r="860" spans="1:12" x14ac:dyDescent="0.25">
      <c r="A860" s="1">
        <v>42887</v>
      </c>
      <c r="B860">
        <v>9.89</v>
      </c>
      <c r="C860" s="1">
        <v>42887</v>
      </c>
      <c r="D860">
        <v>16.3</v>
      </c>
      <c r="E860" s="1">
        <v>42843</v>
      </c>
      <c r="F860">
        <v>72.866600000000005</v>
      </c>
      <c r="G860" s="1">
        <v>42887</v>
      </c>
      <c r="H860">
        <v>31.19</v>
      </c>
      <c r="I860" s="1">
        <v>42887</v>
      </c>
      <c r="J860">
        <v>11.81</v>
      </c>
      <c r="K860" s="1">
        <v>42843</v>
      </c>
      <c r="L860">
        <v>99.498999999999995</v>
      </c>
    </row>
    <row r="861" spans="1:12" x14ac:dyDescent="0.25">
      <c r="A861" s="1">
        <v>42888</v>
      </c>
      <c r="B861">
        <v>9.75</v>
      </c>
      <c r="C861" s="1">
        <v>42888</v>
      </c>
      <c r="D861">
        <v>15.8</v>
      </c>
      <c r="E861" s="1">
        <v>42844</v>
      </c>
      <c r="F861">
        <v>73.126800000000003</v>
      </c>
      <c r="G861" s="1">
        <v>42888</v>
      </c>
      <c r="H861">
        <v>32.47</v>
      </c>
      <c r="I861" s="1">
        <v>42888</v>
      </c>
      <c r="J861">
        <v>12.09</v>
      </c>
      <c r="K861" s="1">
        <v>42844</v>
      </c>
      <c r="L861">
        <v>99.738</v>
      </c>
    </row>
    <row r="862" spans="1:12" x14ac:dyDescent="0.25">
      <c r="A862" s="1">
        <v>42891</v>
      </c>
      <c r="B862">
        <v>10.07</v>
      </c>
      <c r="C862" s="1">
        <v>42891</v>
      </c>
      <c r="D862">
        <v>16.03</v>
      </c>
      <c r="E862" s="1">
        <v>42845</v>
      </c>
      <c r="F862">
        <v>73.856099999999998</v>
      </c>
      <c r="G862" s="1">
        <v>42891</v>
      </c>
      <c r="H862">
        <v>33.71</v>
      </c>
      <c r="I862" s="1">
        <v>42891</v>
      </c>
      <c r="J862">
        <v>12.44</v>
      </c>
      <c r="K862" s="1">
        <v>42845</v>
      </c>
      <c r="L862">
        <v>99.778000000000006</v>
      </c>
    </row>
    <row r="863" spans="1:12" x14ac:dyDescent="0.25">
      <c r="A863" s="1">
        <v>42892</v>
      </c>
      <c r="B863">
        <v>10.45</v>
      </c>
      <c r="C863" s="1">
        <v>42892</v>
      </c>
      <c r="D863">
        <v>16.14</v>
      </c>
      <c r="E863" s="1">
        <v>42846</v>
      </c>
      <c r="F863">
        <v>77.153700000000001</v>
      </c>
      <c r="G863" s="1">
        <v>42892</v>
      </c>
      <c r="H863">
        <v>32.119999999999997</v>
      </c>
      <c r="I863" s="1">
        <v>42892</v>
      </c>
      <c r="J863">
        <v>13.23</v>
      </c>
      <c r="K863" s="1">
        <v>42846</v>
      </c>
      <c r="L863">
        <v>99.977000000000004</v>
      </c>
    </row>
    <row r="864" spans="1:12" x14ac:dyDescent="0.25">
      <c r="A864" s="1">
        <v>42893</v>
      </c>
      <c r="B864">
        <v>10.39</v>
      </c>
      <c r="C864" s="1">
        <v>42893</v>
      </c>
      <c r="D864">
        <v>16.13</v>
      </c>
      <c r="E864" s="1">
        <v>42849</v>
      </c>
      <c r="F864">
        <v>63.270899999999997</v>
      </c>
      <c r="G864" s="1">
        <v>42893</v>
      </c>
      <c r="H864">
        <v>34.229999999999997</v>
      </c>
      <c r="I864" s="1">
        <v>42893</v>
      </c>
      <c r="J864">
        <v>13.16</v>
      </c>
      <c r="K864" s="1">
        <v>42849</v>
      </c>
      <c r="L864">
        <v>99.091999999999999</v>
      </c>
    </row>
    <row r="865" spans="1:12" x14ac:dyDescent="0.25">
      <c r="A865" s="1">
        <v>42894</v>
      </c>
      <c r="B865">
        <v>10.16</v>
      </c>
      <c r="C865" s="1">
        <v>42894</v>
      </c>
      <c r="D865">
        <v>15.64</v>
      </c>
      <c r="E865" s="1">
        <v>42850</v>
      </c>
      <c r="F865">
        <v>62.363199999999999</v>
      </c>
      <c r="G865" s="1">
        <v>42894</v>
      </c>
      <c r="H865">
        <v>33.840000000000003</v>
      </c>
      <c r="I865" s="1">
        <v>42894</v>
      </c>
      <c r="J865">
        <v>12.62</v>
      </c>
      <c r="K865" s="1">
        <v>42850</v>
      </c>
      <c r="L865">
        <v>98.784999999999997</v>
      </c>
    </row>
    <row r="866" spans="1:12" x14ac:dyDescent="0.25">
      <c r="A866" s="1">
        <v>42895</v>
      </c>
      <c r="B866">
        <v>10.7</v>
      </c>
      <c r="C866" s="1">
        <v>42895</v>
      </c>
      <c r="D866">
        <v>16.16</v>
      </c>
      <c r="E866" s="1">
        <v>42851</v>
      </c>
      <c r="F866">
        <v>60.954300000000003</v>
      </c>
      <c r="G866" s="1">
        <v>42895</v>
      </c>
      <c r="H866">
        <v>32.590000000000003</v>
      </c>
      <c r="I866" s="1">
        <v>42895</v>
      </c>
      <c r="J866">
        <v>12.5</v>
      </c>
      <c r="K866" s="1">
        <v>42851</v>
      </c>
      <c r="L866">
        <v>99.045000000000002</v>
      </c>
    </row>
    <row r="867" spans="1:12" x14ac:dyDescent="0.25">
      <c r="A867" s="1">
        <v>42898</v>
      </c>
      <c r="B867">
        <v>11.46</v>
      </c>
      <c r="C867" s="1">
        <v>42898</v>
      </c>
      <c r="D867">
        <v>16.54</v>
      </c>
      <c r="E867" s="1">
        <v>42852</v>
      </c>
      <c r="F867">
        <v>59.819099999999999</v>
      </c>
      <c r="G867" s="1">
        <v>42898</v>
      </c>
      <c r="H867">
        <v>33.950000000000003</v>
      </c>
      <c r="I867" s="1">
        <v>42898</v>
      </c>
      <c r="J867">
        <v>12.41</v>
      </c>
      <c r="K867" s="1">
        <v>42852</v>
      </c>
      <c r="L867">
        <v>99.075999999999993</v>
      </c>
    </row>
    <row r="868" spans="1:12" x14ac:dyDescent="0.25">
      <c r="A868" s="1">
        <v>42899</v>
      </c>
      <c r="B868">
        <v>10.42</v>
      </c>
      <c r="C868" s="1">
        <v>42899</v>
      </c>
      <c r="D868">
        <v>16.16</v>
      </c>
      <c r="E868" s="1">
        <v>42853</v>
      </c>
      <c r="F868">
        <v>60.192500000000003</v>
      </c>
      <c r="G868" s="1">
        <v>42899</v>
      </c>
      <c r="H868">
        <v>32.340000000000003</v>
      </c>
      <c r="I868" s="1">
        <v>42899</v>
      </c>
      <c r="J868">
        <v>12.16</v>
      </c>
      <c r="K868" s="1">
        <v>42853</v>
      </c>
      <c r="L868">
        <v>99.05</v>
      </c>
    </row>
    <row r="869" spans="1:12" x14ac:dyDescent="0.25">
      <c r="A869" s="1">
        <v>42900</v>
      </c>
      <c r="B869">
        <v>10.64</v>
      </c>
      <c r="C869" s="1">
        <v>42900</v>
      </c>
      <c r="D869">
        <v>16.41</v>
      </c>
      <c r="E869" s="1">
        <v>42856</v>
      </c>
      <c r="F869">
        <v>59.399299999999997</v>
      </c>
      <c r="G869" s="1">
        <v>42900</v>
      </c>
      <c r="H869">
        <v>32.020000000000003</v>
      </c>
      <c r="I869" s="1">
        <v>42900</v>
      </c>
      <c r="J869">
        <v>11.5</v>
      </c>
      <c r="K869" s="1">
        <v>42856</v>
      </c>
      <c r="L869">
        <v>99.076999999999998</v>
      </c>
    </row>
    <row r="870" spans="1:12" x14ac:dyDescent="0.25">
      <c r="A870" s="1">
        <v>42901</v>
      </c>
      <c r="B870">
        <v>10.9</v>
      </c>
      <c r="C870" s="1">
        <v>42901</v>
      </c>
      <c r="D870">
        <v>15.92</v>
      </c>
      <c r="E870" s="1">
        <v>42857</v>
      </c>
      <c r="F870">
        <v>60.323999999999998</v>
      </c>
      <c r="G870" s="1">
        <v>42901</v>
      </c>
      <c r="H870">
        <v>31.9</v>
      </c>
      <c r="I870" s="1">
        <v>42901</v>
      </c>
      <c r="J870">
        <v>11.03</v>
      </c>
      <c r="K870" s="1">
        <v>42857</v>
      </c>
      <c r="L870">
        <v>98.975999999999999</v>
      </c>
    </row>
    <row r="871" spans="1:12" x14ac:dyDescent="0.25">
      <c r="A871" s="1">
        <v>42902</v>
      </c>
      <c r="B871">
        <v>10.38</v>
      </c>
      <c r="C871" s="1">
        <v>42902</v>
      </c>
      <c r="D871">
        <v>15.39</v>
      </c>
      <c r="E871" s="1">
        <v>42858</v>
      </c>
      <c r="F871">
        <v>59.384</v>
      </c>
      <c r="G871" s="1">
        <v>42902</v>
      </c>
      <c r="H871">
        <v>27.93</v>
      </c>
      <c r="I871" s="1">
        <v>42902</v>
      </c>
      <c r="J871">
        <v>10.16</v>
      </c>
      <c r="K871" s="1">
        <v>42858</v>
      </c>
      <c r="L871">
        <v>99.209000000000003</v>
      </c>
    </row>
    <row r="872" spans="1:12" x14ac:dyDescent="0.25">
      <c r="A872" s="1">
        <v>42905</v>
      </c>
      <c r="B872">
        <v>10.37</v>
      </c>
      <c r="C872" s="1">
        <v>42905</v>
      </c>
      <c r="D872">
        <v>13.73</v>
      </c>
      <c r="E872" s="1">
        <v>42859</v>
      </c>
      <c r="F872">
        <v>60.080399999999997</v>
      </c>
      <c r="G872" s="1">
        <v>42905</v>
      </c>
      <c r="H872">
        <v>30.34</v>
      </c>
      <c r="I872" s="1">
        <v>42905</v>
      </c>
      <c r="J872">
        <v>10.69</v>
      </c>
      <c r="K872" s="1">
        <v>42859</v>
      </c>
      <c r="L872">
        <v>98.796999999999997</v>
      </c>
    </row>
    <row r="873" spans="1:12" x14ac:dyDescent="0.25">
      <c r="A873" s="1">
        <v>42906</v>
      </c>
      <c r="B873">
        <v>10.86</v>
      </c>
      <c r="C873" s="1">
        <v>42906</v>
      </c>
      <c r="D873">
        <v>14.62</v>
      </c>
      <c r="E873" s="1">
        <v>42860</v>
      </c>
      <c r="F873">
        <v>58.724200000000003</v>
      </c>
      <c r="G873" s="1">
        <v>42906</v>
      </c>
      <c r="H873">
        <v>32.49</v>
      </c>
      <c r="I873" s="1">
        <v>42906</v>
      </c>
      <c r="J873">
        <v>11.14</v>
      </c>
      <c r="K873" s="1">
        <v>42860</v>
      </c>
      <c r="L873">
        <v>98.647999999999996</v>
      </c>
    </row>
    <row r="874" spans="1:12" x14ac:dyDescent="0.25">
      <c r="A874" s="1">
        <v>42907</v>
      </c>
      <c r="B874">
        <v>10.75</v>
      </c>
      <c r="C874" s="1">
        <v>42907</v>
      </c>
      <c r="D874">
        <v>14.26</v>
      </c>
      <c r="E874" s="1">
        <v>42863</v>
      </c>
      <c r="F874">
        <v>55.410499999999999</v>
      </c>
      <c r="G874" s="1">
        <v>42907</v>
      </c>
      <c r="H874">
        <v>33.32</v>
      </c>
      <c r="I874" s="1">
        <v>42907</v>
      </c>
      <c r="J874">
        <v>11.25</v>
      </c>
      <c r="K874" s="1">
        <v>42863</v>
      </c>
      <c r="L874">
        <v>99.06</v>
      </c>
    </row>
    <row r="875" spans="1:12" x14ac:dyDescent="0.25">
      <c r="A875" s="1">
        <v>42908</v>
      </c>
      <c r="B875">
        <v>10.48</v>
      </c>
      <c r="C875" s="1">
        <v>42908</v>
      </c>
      <c r="D875">
        <v>13.77</v>
      </c>
      <c r="E875" s="1">
        <v>42864</v>
      </c>
      <c r="F875">
        <v>55.220300000000002</v>
      </c>
      <c r="G875" s="1">
        <v>42908</v>
      </c>
      <c r="H875">
        <v>32.65</v>
      </c>
      <c r="I875" s="1">
        <v>42908</v>
      </c>
      <c r="J875">
        <v>11.24</v>
      </c>
      <c r="K875" s="1">
        <v>42864</v>
      </c>
      <c r="L875">
        <v>99.658000000000001</v>
      </c>
    </row>
    <row r="876" spans="1:12" x14ac:dyDescent="0.25">
      <c r="A876" s="1">
        <v>42909</v>
      </c>
      <c r="B876">
        <v>10.02</v>
      </c>
      <c r="C876" s="1">
        <v>42909</v>
      </c>
      <c r="D876">
        <v>13.28</v>
      </c>
      <c r="E876" s="1">
        <v>42865</v>
      </c>
      <c r="F876">
        <v>55.029800000000002</v>
      </c>
      <c r="G876" s="1">
        <v>42909</v>
      </c>
      <c r="H876">
        <v>31.92</v>
      </c>
      <c r="I876" s="1">
        <v>42909</v>
      </c>
      <c r="J876">
        <v>10.86</v>
      </c>
      <c r="K876" s="1">
        <v>42865</v>
      </c>
      <c r="L876">
        <v>99.668999999999997</v>
      </c>
    </row>
    <row r="877" spans="1:12" x14ac:dyDescent="0.25">
      <c r="A877" s="1">
        <v>42912</v>
      </c>
      <c r="B877">
        <v>9.9</v>
      </c>
      <c r="C877" s="1">
        <v>42912</v>
      </c>
      <c r="D877">
        <v>14.38</v>
      </c>
      <c r="E877" s="1">
        <v>42866</v>
      </c>
      <c r="F877">
        <v>54.466999999999999</v>
      </c>
      <c r="G877" s="1">
        <v>42912</v>
      </c>
      <c r="H877">
        <v>31.77</v>
      </c>
      <c r="I877" s="1">
        <v>42912</v>
      </c>
      <c r="J877">
        <v>11.05</v>
      </c>
      <c r="K877" s="1">
        <v>42866</v>
      </c>
      <c r="L877">
        <v>99.623000000000005</v>
      </c>
    </row>
    <row r="878" spans="1:12" x14ac:dyDescent="0.25">
      <c r="A878" s="1">
        <v>42913</v>
      </c>
      <c r="B878">
        <v>11.06</v>
      </c>
      <c r="C878" s="1">
        <v>42913</v>
      </c>
      <c r="D878">
        <v>15.95</v>
      </c>
      <c r="E878" s="1">
        <v>42867</v>
      </c>
      <c r="F878">
        <v>55.711500000000001</v>
      </c>
      <c r="G878" s="1">
        <v>42913</v>
      </c>
      <c r="H878">
        <v>32.28</v>
      </c>
      <c r="I878" s="1">
        <v>42913</v>
      </c>
      <c r="J878">
        <v>11.96</v>
      </c>
      <c r="K878" s="1">
        <v>42867</v>
      </c>
      <c r="L878">
        <v>99.251999999999995</v>
      </c>
    </row>
    <row r="879" spans="1:12" x14ac:dyDescent="0.25">
      <c r="A879" s="1">
        <v>42914</v>
      </c>
      <c r="B879">
        <v>10.029999999999999</v>
      </c>
      <c r="C879" s="1">
        <v>42914</v>
      </c>
      <c r="D879">
        <v>15.3</v>
      </c>
      <c r="E879" s="1">
        <v>42870</v>
      </c>
      <c r="F879">
        <v>56.729300000000002</v>
      </c>
      <c r="G879" s="1">
        <v>42914</v>
      </c>
      <c r="H879">
        <v>30.8</v>
      </c>
      <c r="I879" s="1">
        <v>42914</v>
      </c>
      <c r="J879">
        <v>11.38</v>
      </c>
      <c r="K879" s="1">
        <v>42870</v>
      </c>
      <c r="L879">
        <v>98.911000000000001</v>
      </c>
    </row>
    <row r="880" spans="1:12" x14ac:dyDescent="0.25">
      <c r="A880" s="1">
        <v>42915</v>
      </c>
      <c r="B880">
        <v>11.44</v>
      </c>
      <c r="C880" s="1">
        <v>42915</v>
      </c>
      <c r="D880">
        <v>17.100000000000001</v>
      </c>
      <c r="E880" s="1">
        <v>42871</v>
      </c>
      <c r="F880">
        <v>55.497100000000003</v>
      </c>
      <c r="G880" s="1">
        <v>42915</v>
      </c>
      <c r="H880">
        <v>30.46</v>
      </c>
      <c r="I880" s="1">
        <v>42915</v>
      </c>
      <c r="J880">
        <v>11.21</v>
      </c>
      <c r="K880" s="1">
        <v>42871</v>
      </c>
      <c r="L880">
        <v>98.105000000000004</v>
      </c>
    </row>
    <row r="881" spans="1:12" x14ac:dyDescent="0.25">
      <c r="A881" s="1">
        <v>42916</v>
      </c>
      <c r="B881">
        <v>11.18</v>
      </c>
      <c r="C881" s="1">
        <v>42916</v>
      </c>
      <c r="D881">
        <v>15.97</v>
      </c>
      <c r="E881" s="1">
        <v>42872</v>
      </c>
      <c r="F881">
        <v>62.576900000000002</v>
      </c>
      <c r="G881" s="1">
        <v>42916</v>
      </c>
      <c r="H881">
        <v>28.7</v>
      </c>
      <c r="I881" s="1">
        <v>42916</v>
      </c>
      <c r="J881">
        <v>11</v>
      </c>
      <c r="K881" s="1">
        <v>42872</v>
      </c>
      <c r="L881">
        <v>97.575000000000003</v>
      </c>
    </row>
    <row r="882" spans="1:12" x14ac:dyDescent="0.25">
      <c r="A882" s="1">
        <v>42919</v>
      </c>
      <c r="B882">
        <v>11.22</v>
      </c>
      <c r="C882" s="1">
        <v>42919</v>
      </c>
      <c r="D882">
        <v>15.92</v>
      </c>
      <c r="E882" s="1">
        <v>42873</v>
      </c>
      <c r="F882">
        <v>58.9788</v>
      </c>
      <c r="G882" s="1">
        <v>42919</v>
      </c>
      <c r="H882">
        <v>30.26</v>
      </c>
      <c r="I882" s="1">
        <v>42919</v>
      </c>
      <c r="J882">
        <v>11.93</v>
      </c>
      <c r="K882" s="1">
        <v>42873</v>
      </c>
      <c r="L882">
        <v>97.879000000000005</v>
      </c>
    </row>
    <row r="883" spans="1:12" x14ac:dyDescent="0.25">
      <c r="A883" s="1">
        <v>42921</v>
      </c>
      <c r="B883">
        <v>11.07</v>
      </c>
      <c r="C883" s="1">
        <v>42921</v>
      </c>
      <c r="D883">
        <v>16.68</v>
      </c>
      <c r="E883" s="1">
        <v>42874</v>
      </c>
      <c r="F883">
        <v>57.824800000000003</v>
      </c>
      <c r="G883" s="1">
        <v>42921</v>
      </c>
      <c r="H883">
        <v>32.61</v>
      </c>
      <c r="I883" s="1">
        <v>42921</v>
      </c>
      <c r="J883">
        <v>11.88</v>
      </c>
      <c r="K883" s="1">
        <v>42874</v>
      </c>
      <c r="L883">
        <v>97.141999999999996</v>
      </c>
    </row>
    <row r="884" spans="1:12" x14ac:dyDescent="0.25">
      <c r="A884" s="1">
        <v>42922</v>
      </c>
      <c r="B884">
        <v>12.54</v>
      </c>
      <c r="C884" s="1">
        <v>42922</v>
      </c>
      <c r="D884">
        <v>17.98</v>
      </c>
      <c r="E884" s="1">
        <v>42877</v>
      </c>
      <c r="F884">
        <v>55.4739</v>
      </c>
      <c r="G884" s="1">
        <v>42922</v>
      </c>
      <c r="H884">
        <v>32.82</v>
      </c>
      <c r="I884" s="1">
        <v>42922</v>
      </c>
      <c r="J884">
        <v>11.72</v>
      </c>
      <c r="K884" s="1">
        <v>42877</v>
      </c>
      <c r="L884">
        <v>96.983999999999995</v>
      </c>
    </row>
    <row r="885" spans="1:12" x14ac:dyDescent="0.25">
      <c r="A885" s="1">
        <v>42923</v>
      </c>
      <c r="B885">
        <v>11.19</v>
      </c>
      <c r="C885" s="1">
        <v>42923</v>
      </c>
      <c r="D885">
        <v>16.87</v>
      </c>
      <c r="E885" s="1">
        <v>42878</v>
      </c>
      <c r="F885">
        <v>55.772799999999997</v>
      </c>
      <c r="G885" s="1">
        <v>42923</v>
      </c>
      <c r="H885">
        <v>33.17</v>
      </c>
      <c r="I885" s="1">
        <v>42923</v>
      </c>
      <c r="J885">
        <v>12.54</v>
      </c>
      <c r="K885" s="1">
        <v>42878</v>
      </c>
      <c r="L885">
        <v>97.350999999999999</v>
      </c>
    </row>
    <row r="886" spans="1:12" x14ac:dyDescent="0.25">
      <c r="A886" s="1">
        <v>42926</v>
      </c>
      <c r="B886">
        <v>11.11</v>
      </c>
      <c r="C886" s="1">
        <v>42926</v>
      </c>
      <c r="D886">
        <v>16.059999999999999</v>
      </c>
      <c r="E886" s="1">
        <v>42879</v>
      </c>
      <c r="F886">
        <v>54.405799999999999</v>
      </c>
      <c r="G886" s="1">
        <v>42926</v>
      </c>
      <c r="H886">
        <v>33.229999999999997</v>
      </c>
      <c r="I886" s="1">
        <v>42926</v>
      </c>
      <c r="J886">
        <v>12.22</v>
      </c>
      <c r="K886" s="1">
        <v>42879</v>
      </c>
      <c r="L886">
        <v>97.238</v>
      </c>
    </row>
    <row r="887" spans="1:12" x14ac:dyDescent="0.25">
      <c r="A887" s="1">
        <v>42927</v>
      </c>
      <c r="B887">
        <v>10.89</v>
      </c>
      <c r="C887" s="1">
        <v>42927</v>
      </c>
      <c r="D887">
        <v>16.440000000000001</v>
      </c>
      <c r="E887" s="1">
        <v>42880</v>
      </c>
      <c r="F887">
        <v>54.320099999999996</v>
      </c>
      <c r="G887" s="1">
        <v>42927</v>
      </c>
      <c r="H887">
        <v>33.61</v>
      </c>
      <c r="I887" s="1">
        <v>42927</v>
      </c>
      <c r="J887">
        <v>12.3</v>
      </c>
      <c r="K887" s="1">
        <v>42880</v>
      </c>
      <c r="L887">
        <v>97.248000000000005</v>
      </c>
    </row>
    <row r="888" spans="1:12" x14ac:dyDescent="0.25">
      <c r="A888" s="1">
        <v>42928</v>
      </c>
      <c r="B888">
        <v>10.3</v>
      </c>
      <c r="C888" s="1">
        <v>42928</v>
      </c>
      <c r="D888">
        <v>15.28</v>
      </c>
      <c r="E888" s="1">
        <v>42881</v>
      </c>
      <c r="F888">
        <v>54.052799999999998</v>
      </c>
      <c r="G888" s="1">
        <v>42928</v>
      </c>
      <c r="H888">
        <v>32.479999999999997</v>
      </c>
      <c r="I888" s="1">
        <v>42928</v>
      </c>
      <c r="J888">
        <v>11.56</v>
      </c>
      <c r="K888" s="1">
        <v>42881</v>
      </c>
      <c r="L888">
        <v>97.441999999999993</v>
      </c>
    </row>
    <row r="889" spans="1:12" x14ac:dyDescent="0.25">
      <c r="A889" s="1">
        <v>42929</v>
      </c>
      <c r="B889">
        <v>9.9</v>
      </c>
      <c r="C889" s="1">
        <v>42929</v>
      </c>
      <c r="D889">
        <v>14.62</v>
      </c>
      <c r="E889" s="1">
        <v>42884</v>
      </c>
      <c r="F889">
        <v>54.052799999999998</v>
      </c>
      <c r="G889" s="1">
        <v>42929</v>
      </c>
      <c r="H889">
        <v>31.76</v>
      </c>
      <c r="I889" s="1">
        <v>42929</v>
      </c>
      <c r="J889">
        <v>11.29</v>
      </c>
      <c r="K889" s="1">
        <v>42884</v>
      </c>
      <c r="L889">
        <v>97.441999999999993</v>
      </c>
    </row>
    <row r="890" spans="1:12" x14ac:dyDescent="0.25">
      <c r="A890" s="1">
        <v>42930</v>
      </c>
      <c r="B890">
        <v>9.51</v>
      </c>
      <c r="C890" s="1">
        <v>42930</v>
      </c>
      <c r="D890">
        <v>14.36</v>
      </c>
      <c r="E890" s="1">
        <v>42885</v>
      </c>
      <c r="F890">
        <v>53.490900000000003</v>
      </c>
      <c r="G890" s="1">
        <v>42930</v>
      </c>
      <c r="H890">
        <v>30.28</v>
      </c>
      <c r="I890" s="1">
        <v>42930</v>
      </c>
      <c r="J890">
        <v>11.11</v>
      </c>
      <c r="K890" s="1">
        <v>42885</v>
      </c>
      <c r="L890">
        <v>97.28</v>
      </c>
    </row>
    <row r="891" spans="1:12" x14ac:dyDescent="0.25">
      <c r="A891" s="1">
        <v>42933</v>
      </c>
      <c r="B891">
        <v>9.82</v>
      </c>
      <c r="C891" s="1">
        <v>42933</v>
      </c>
      <c r="D891">
        <v>14.35</v>
      </c>
      <c r="E891" s="1">
        <v>42886</v>
      </c>
      <c r="F891">
        <v>53.950899999999997</v>
      </c>
      <c r="G891" s="1">
        <v>42933</v>
      </c>
      <c r="H891">
        <v>30.61</v>
      </c>
      <c r="I891" s="1">
        <v>42933</v>
      </c>
      <c r="J891">
        <v>11.08</v>
      </c>
      <c r="K891" s="1">
        <v>42886</v>
      </c>
      <c r="L891">
        <v>96.921999999999997</v>
      </c>
    </row>
    <row r="892" spans="1:12" x14ac:dyDescent="0.25">
      <c r="A892" s="1">
        <v>42934</v>
      </c>
      <c r="B892">
        <v>9.89</v>
      </c>
      <c r="C892" s="1">
        <v>42934</v>
      </c>
      <c r="D892">
        <v>14.14</v>
      </c>
      <c r="E892" s="1">
        <v>42887</v>
      </c>
      <c r="F892">
        <v>53.997300000000003</v>
      </c>
      <c r="G892" s="1">
        <v>42934</v>
      </c>
      <c r="H892">
        <v>29.96</v>
      </c>
      <c r="I892" s="1">
        <v>42934</v>
      </c>
      <c r="J892">
        <v>11.14</v>
      </c>
      <c r="K892" s="1">
        <v>42887</v>
      </c>
      <c r="L892">
        <v>97.197999999999993</v>
      </c>
    </row>
    <row r="893" spans="1:12" x14ac:dyDescent="0.25">
      <c r="A893" s="1">
        <v>42935</v>
      </c>
      <c r="B893">
        <v>9.7899999999999991</v>
      </c>
      <c r="C893" s="1">
        <v>42935</v>
      </c>
      <c r="D893">
        <v>14.19</v>
      </c>
      <c r="E893" s="1">
        <v>42888</v>
      </c>
      <c r="F893">
        <v>53.735999999999997</v>
      </c>
      <c r="G893" s="1">
        <v>42935</v>
      </c>
      <c r="H893">
        <v>29.55</v>
      </c>
      <c r="I893" s="1">
        <v>42935</v>
      </c>
      <c r="J893">
        <v>11.08</v>
      </c>
      <c r="K893" s="1">
        <v>42888</v>
      </c>
      <c r="L893">
        <v>96.715000000000003</v>
      </c>
    </row>
    <row r="894" spans="1:12" x14ac:dyDescent="0.25">
      <c r="A894" s="1">
        <v>42936</v>
      </c>
      <c r="B894">
        <v>9.58</v>
      </c>
      <c r="C894" s="1">
        <v>42936</v>
      </c>
      <c r="D894">
        <v>14.24</v>
      </c>
      <c r="E894" s="1">
        <v>42891</v>
      </c>
      <c r="F894">
        <v>52.997399999999999</v>
      </c>
      <c r="G894" s="1">
        <v>42936</v>
      </c>
      <c r="H894">
        <v>29.25</v>
      </c>
      <c r="I894" s="1">
        <v>42936</v>
      </c>
      <c r="J894">
        <v>10.85</v>
      </c>
      <c r="K894" s="1">
        <v>42891</v>
      </c>
      <c r="L894">
        <v>96.799000000000007</v>
      </c>
    </row>
    <row r="895" spans="1:12" x14ac:dyDescent="0.25">
      <c r="A895" s="1">
        <v>42937</v>
      </c>
      <c r="B895">
        <v>9.36</v>
      </c>
      <c r="C895" s="1">
        <v>42937</v>
      </c>
      <c r="D895">
        <v>14.32</v>
      </c>
      <c r="E895" s="1">
        <v>42892</v>
      </c>
      <c r="F895">
        <v>53.219700000000003</v>
      </c>
      <c r="G895" s="1">
        <v>42937</v>
      </c>
      <c r="H895">
        <v>29.25</v>
      </c>
      <c r="I895" s="1">
        <v>42937</v>
      </c>
      <c r="J895">
        <v>11.22</v>
      </c>
      <c r="K895" s="1">
        <v>42892</v>
      </c>
      <c r="L895">
        <v>96.635999999999996</v>
      </c>
    </row>
    <row r="896" spans="1:12" x14ac:dyDescent="0.25">
      <c r="A896" s="1">
        <v>42940</v>
      </c>
      <c r="B896">
        <v>9.43</v>
      </c>
      <c r="C896" s="1">
        <v>42940</v>
      </c>
      <c r="D896">
        <v>14.71</v>
      </c>
      <c r="E896" s="1">
        <v>42893</v>
      </c>
      <c r="F896">
        <v>54.798900000000003</v>
      </c>
      <c r="G896" s="1">
        <v>42940</v>
      </c>
      <c r="H896">
        <v>29.24</v>
      </c>
      <c r="I896" s="1">
        <v>42940</v>
      </c>
      <c r="J896">
        <v>11.8</v>
      </c>
      <c r="K896" s="1">
        <v>42893</v>
      </c>
      <c r="L896">
        <v>96.748000000000005</v>
      </c>
    </row>
    <row r="897" spans="1:12" x14ac:dyDescent="0.25">
      <c r="A897" s="1">
        <v>42941</v>
      </c>
      <c r="B897">
        <v>9.43</v>
      </c>
      <c r="C897" s="1">
        <v>42941</v>
      </c>
      <c r="D897">
        <v>14.73</v>
      </c>
      <c r="E897" s="1">
        <v>42894</v>
      </c>
      <c r="F897">
        <v>53.730600000000003</v>
      </c>
      <c r="G897" s="1">
        <v>42941</v>
      </c>
      <c r="H897">
        <v>29.18</v>
      </c>
      <c r="I897" s="1">
        <v>42941</v>
      </c>
      <c r="J897">
        <v>12.07</v>
      </c>
      <c r="K897" s="1">
        <v>42894</v>
      </c>
      <c r="L897">
        <v>96.918000000000006</v>
      </c>
    </row>
    <row r="898" spans="1:12" x14ac:dyDescent="0.25">
      <c r="A898" s="1">
        <v>42942</v>
      </c>
      <c r="B898">
        <v>9.6</v>
      </c>
      <c r="C898" s="1">
        <v>42942</v>
      </c>
      <c r="D898">
        <v>14.16</v>
      </c>
      <c r="E898" s="1">
        <v>42895</v>
      </c>
      <c r="F898">
        <v>52.5578</v>
      </c>
      <c r="G898" s="1">
        <v>42942</v>
      </c>
      <c r="H898">
        <v>29.44</v>
      </c>
      <c r="I898" s="1">
        <v>42942</v>
      </c>
      <c r="J898">
        <v>11.63</v>
      </c>
      <c r="K898" s="1">
        <v>42895</v>
      </c>
      <c r="L898">
        <v>97.274000000000001</v>
      </c>
    </row>
    <row r="899" spans="1:12" x14ac:dyDescent="0.25">
      <c r="A899" s="1">
        <v>42943</v>
      </c>
      <c r="B899">
        <v>10.11</v>
      </c>
      <c r="C899" s="1">
        <v>42943</v>
      </c>
      <c r="D899">
        <v>14.78</v>
      </c>
      <c r="E899" s="1">
        <v>42898</v>
      </c>
      <c r="F899">
        <v>52.316200000000002</v>
      </c>
      <c r="G899" s="1">
        <v>42943</v>
      </c>
      <c r="H899">
        <v>29.81</v>
      </c>
      <c r="I899" s="1">
        <v>42943</v>
      </c>
      <c r="J899">
        <v>11.24</v>
      </c>
      <c r="K899" s="1">
        <v>42898</v>
      </c>
      <c r="L899">
        <v>97.138000000000005</v>
      </c>
    </row>
    <row r="900" spans="1:12" x14ac:dyDescent="0.25">
      <c r="A900" s="1">
        <v>42944</v>
      </c>
      <c r="B900">
        <v>10.29</v>
      </c>
      <c r="C900" s="1">
        <v>42944</v>
      </c>
      <c r="D900">
        <v>14.6</v>
      </c>
      <c r="E900" s="1">
        <v>42899</v>
      </c>
      <c r="F900">
        <v>51.665100000000002</v>
      </c>
      <c r="G900" s="1">
        <v>42944</v>
      </c>
      <c r="H900">
        <v>29.86</v>
      </c>
      <c r="I900" s="1">
        <v>42944</v>
      </c>
      <c r="J900">
        <v>11.44</v>
      </c>
      <c r="K900" s="1">
        <v>42899</v>
      </c>
      <c r="L900">
        <v>96.974999999999994</v>
      </c>
    </row>
    <row r="901" spans="1:12" x14ac:dyDescent="0.25">
      <c r="A901" s="1">
        <v>42947</v>
      </c>
      <c r="B901">
        <v>10.26</v>
      </c>
      <c r="C901" s="1">
        <v>42947</v>
      </c>
      <c r="D901">
        <v>14.52</v>
      </c>
      <c r="E901" s="1">
        <v>42900</v>
      </c>
      <c r="F901">
        <v>52.215000000000003</v>
      </c>
      <c r="G901" s="1">
        <v>42947</v>
      </c>
      <c r="H901">
        <v>30.84</v>
      </c>
      <c r="I901" s="1">
        <v>42947</v>
      </c>
      <c r="J901">
        <v>11.61</v>
      </c>
      <c r="K901" s="1">
        <v>42900</v>
      </c>
      <c r="L901">
        <v>96.938999999999993</v>
      </c>
    </row>
    <row r="902" spans="1:12" x14ac:dyDescent="0.25">
      <c r="A902" s="1">
        <v>42948</v>
      </c>
      <c r="B902">
        <v>10.09</v>
      </c>
      <c r="C902" s="1">
        <v>42948</v>
      </c>
      <c r="D902">
        <v>14.47</v>
      </c>
      <c r="E902" s="1">
        <v>42901</v>
      </c>
      <c r="F902">
        <v>51.592799999999997</v>
      </c>
      <c r="G902" s="1">
        <v>42948</v>
      </c>
      <c r="H902">
        <v>30.54</v>
      </c>
      <c r="I902" s="1">
        <v>42948</v>
      </c>
      <c r="J902">
        <v>11.28</v>
      </c>
      <c r="K902" s="1">
        <v>42901</v>
      </c>
      <c r="L902">
        <v>97.433000000000007</v>
      </c>
    </row>
    <row r="903" spans="1:12" x14ac:dyDescent="0.25">
      <c r="A903" s="1">
        <v>42949</v>
      </c>
      <c r="B903">
        <v>10.28</v>
      </c>
      <c r="C903" s="1">
        <v>42949</v>
      </c>
      <c r="D903">
        <v>14.5</v>
      </c>
      <c r="E903" s="1">
        <v>42902</v>
      </c>
      <c r="F903">
        <v>51.483899999999998</v>
      </c>
      <c r="G903" s="1">
        <v>42949</v>
      </c>
      <c r="H903">
        <v>30.43</v>
      </c>
      <c r="I903" s="1">
        <v>42949</v>
      </c>
      <c r="J903">
        <v>11.24</v>
      </c>
      <c r="K903" s="1">
        <v>42902</v>
      </c>
      <c r="L903">
        <v>97.164000000000001</v>
      </c>
    </row>
    <row r="904" spans="1:12" x14ac:dyDescent="0.25">
      <c r="A904" s="1">
        <v>42950</v>
      </c>
      <c r="B904">
        <v>10.44</v>
      </c>
      <c r="C904" s="1">
        <v>42950</v>
      </c>
      <c r="D904">
        <v>15.24</v>
      </c>
      <c r="E904" s="1">
        <v>42905</v>
      </c>
      <c r="F904">
        <v>51.600499999999997</v>
      </c>
      <c r="G904" s="1">
        <v>42950</v>
      </c>
      <c r="H904">
        <v>29.65</v>
      </c>
      <c r="I904" s="1">
        <v>42950</v>
      </c>
      <c r="J904">
        <v>11.31</v>
      </c>
      <c r="K904" s="1">
        <v>42905</v>
      </c>
      <c r="L904">
        <v>97.548000000000002</v>
      </c>
    </row>
    <row r="905" spans="1:12" x14ac:dyDescent="0.25">
      <c r="A905" s="1">
        <v>42951</v>
      </c>
      <c r="B905">
        <v>10.029999999999999</v>
      </c>
      <c r="C905" s="1">
        <v>42951</v>
      </c>
      <c r="D905">
        <v>14.69</v>
      </c>
      <c r="E905" s="1">
        <v>42906</v>
      </c>
      <c r="F905">
        <v>51.595500000000001</v>
      </c>
      <c r="G905" s="1">
        <v>42951</v>
      </c>
      <c r="H905">
        <v>28.53</v>
      </c>
      <c r="I905" s="1">
        <v>42951</v>
      </c>
      <c r="J905">
        <v>10.87</v>
      </c>
      <c r="K905" s="1">
        <v>42906</v>
      </c>
      <c r="L905">
        <v>97.76</v>
      </c>
    </row>
    <row r="906" spans="1:12" x14ac:dyDescent="0.25">
      <c r="A906" s="1">
        <v>42954</v>
      </c>
      <c r="B906">
        <v>9.93</v>
      </c>
      <c r="C906" s="1">
        <v>42954</v>
      </c>
      <c r="D906">
        <v>14.99</v>
      </c>
      <c r="E906" s="1">
        <v>42907</v>
      </c>
      <c r="F906">
        <v>51.637300000000003</v>
      </c>
      <c r="G906" s="1">
        <v>42954</v>
      </c>
      <c r="H906">
        <v>28.73</v>
      </c>
      <c r="I906" s="1">
        <v>42954</v>
      </c>
      <c r="J906">
        <v>10.73</v>
      </c>
      <c r="K906" s="1">
        <v>42907</v>
      </c>
      <c r="L906">
        <v>97.558999999999997</v>
      </c>
    </row>
    <row r="907" spans="1:12" x14ac:dyDescent="0.25">
      <c r="A907" s="1">
        <v>42955</v>
      </c>
      <c r="B907">
        <v>10.96</v>
      </c>
      <c r="C907" s="1">
        <v>42955</v>
      </c>
      <c r="D907">
        <v>15.68</v>
      </c>
      <c r="E907" s="1">
        <v>42908</v>
      </c>
      <c r="F907">
        <v>51.131799999999998</v>
      </c>
      <c r="G907" s="1">
        <v>42955</v>
      </c>
      <c r="H907">
        <v>29.44</v>
      </c>
      <c r="I907" s="1">
        <v>42955</v>
      </c>
      <c r="J907">
        <v>11.1</v>
      </c>
      <c r="K907" s="1">
        <v>42908</v>
      </c>
      <c r="L907">
        <v>97.593000000000004</v>
      </c>
    </row>
    <row r="908" spans="1:12" x14ac:dyDescent="0.25">
      <c r="A908" s="1">
        <v>42956</v>
      </c>
      <c r="B908">
        <v>11.11</v>
      </c>
      <c r="C908" s="1">
        <v>42956</v>
      </c>
      <c r="D908">
        <v>17.12</v>
      </c>
      <c r="E908" s="1">
        <v>42909</v>
      </c>
      <c r="F908">
        <v>51.157499999999999</v>
      </c>
      <c r="G908" s="1">
        <v>42956</v>
      </c>
      <c r="H908">
        <v>29.06</v>
      </c>
      <c r="I908" s="1">
        <v>42956</v>
      </c>
      <c r="J908">
        <v>12.31</v>
      </c>
      <c r="K908" s="1">
        <v>42909</v>
      </c>
      <c r="L908">
        <v>97.263999999999996</v>
      </c>
    </row>
    <row r="909" spans="1:12" x14ac:dyDescent="0.25">
      <c r="A909" s="1">
        <v>42957</v>
      </c>
      <c r="B909">
        <v>16.04</v>
      </c>
      <c r="C909" s="1">
        <v>42957</v>
      </c>
      <c r="D909">
        <v>22.21</v>
      </c>
      <c r="E909" s="1">
        <v>42912</v>
      </c>
      <c r="F909">
        <v>50.018300000000004</v>
      </c>
      <c r="G909" s="1">
        <v>42957</v>
      </c>
      <c r="H909">
        <v>29.27</v>
      </c>
      <c r="I909" s="1">
        <v>42957</v>
      </c>
      <c r="J909">
        <v>13.43</v>
      </c>
      <c r="K909" s="1">
        <v>42912</v>
      </c>
      <c r="L909">
        <v>97.426000000000002</v>
      </c>
    </row>
    <row r="910" spans="1:12" x14ac:dyDescent="0.25">
      <c r="A910" s="1">
        <v>42958</v>
      </c>
      <c r="B910">
        <v>15.51</v>
      </c>
      <c r="C910" s="1">
        <v>42958</v>
      </c>
      <c r="D910">
        <v>20.83</v>
      </c>
      <c r="E910" s="1">
        <v>42913</v>
      </c>
      <c r="F910">
        <v>52.103099999999998</v>
      </c>
      <c r="G910" s="1">
        <v>42958</v>
      </c>
      <c r="H910">
        <v>28.41</v>
      </c>
      <c r="I910" s="1">
        <v>42958</v>
      </c>
      <c r="J910">
        <v>13.45</v>
      </c>
      <c r="K910" s="1">
        <v>42913</v>
      </c>
      <c r="L910">
        <v>96.394000000000005</v>
      </c>
    </row>
    <row r="911" spans="1:12" x14ac:dyDescent="0.25">
      <c r="A911" s="1">
        <v>42961</v>
      </c>
      <c r="B911">
        <v>12.33</v>
      </c>
      <c r="C911" s="1">
        <v>42961</v>
      </c>
      <c r="D911">
        <v>17.45</v>
      </c>
      <c r="E911" s="1">
        <v>42914</v>
      </c>
      <c r="F911">
        <v>52.508299999999998</v>
      </c>
      <c r="G911" s="1">
        <v>42961</v>
      </c>
      <c r="H911">
        <v>29.16</v>
      </c>
      <c r="I911" s="1">
        <v>42961</v>
      </c>
      <c r="J911">
        <v>12.11</v>
      </c>
      <c r="K911" s="1">
        <v>42914</v>
      </c>
      <c r="L911">
        <v>96.01</v>
      </c>
    </row>
    <row r="912" spans="1:12" x14ac:dyDescent="0.25">
      <c r="A912" s="1">
        <v>42962</v>
      </c>
      <c r="B912">
        <v>12.04</v>
      </c>
      <c r="C912" s="1">
        <v>42962</v>
      </c>
      <c r="D912">
        <v>17</v>
      </c>
      <c r="E912" s="1">
        <v>42915</v>
      </c>
      <c r="F912">
        <v>54.661499999999997</v>
      </c>
      <c r="G912" s="1">
        <v>42962</v>
      </c>
      <c r="H912">
        <v>29.31</v>
      </c>
      <c r="I912" s="1">
        <v>42962</v>
      </c>
      <c r="J912">
        <v>12.2</v>
      </c>
      <c r="K912" s="1">
        <v>42915</v>
      </c>
      <c r="L912">
        <v>95.628</v>
      </c>
    </row>
    <row r="913" spans="1:12" x14ac:dyDescent="0.25">
      <c r="A913" s="1">
        <v>42963</v>
      </c>
      <c r="B913">
        <v>11.74</v>
      </c>
      <c r="C913" s="1">
        <v>42963</v>
      </c>
      <c r="D913">
        <v>16.010000000000002</v>
      </c>
      <c r="E913" s="1">
        <v>42916</v>
      </c>
      <c r="F913">
        <v>55.220100000000002</v>
      </c>
      <c r="G913" s="1">
        <v>42963</v>
      </c>
      <c r="H913">
        <v>29.18</v>
      </c>
      <c r="I913" s="1">
        <v>42963</v>
      </c>
      <c r="J913">
        <v>12.58</v>
      </c>
      <c r="K913" s="1">
        <v>42916</v>
      </c>
      <c r="L913">
        <v>95.628</v>
      </c>
    </row>
    <row r="914" spans="1:12" x14ac:dyDescent="0.25">
      <c r="A914" s="1">
        <v>42964</v>
      </c>
      <c r="B914">
        <v>15.55</v>
      </c>
      <c r="C914" s="1">
        <v>42964</v>
      </c>
      <c r="D914">
        <v>21.46</v>
      </c>
      <c r="E914" s="1">
        <v>42919</v>
      </c>
      <c r="F914">
        <v>55.254899999999999</v>
      </c>
      <c r="G914" s="1">
        <v>42964</v>
      </c>
      <c r="H914">
        <v>29.31</v>
      </c>
      <c r="I914" s="1">
        <v>42964</v>
      </c>
      <c r="J914">
        <v>13.34</v>
      </c>
      <c r="K914" s="1">
        <v>42919</v>
      </c>
      <c r="L914">
        <v>96.218000000000004</v>
      </c>
    </row>
    <row r="915" spans="1:12" x14ac:dyDescent="0.25">
      <c r="A915" s="1">
        <v>42965</v>
      </c>
      <c r="B915">
        <v>14.26</v>
      </c>
      <c r="C915" s="1">
        <v>42965</v>
      </c>
      <c r="D915">
        <v>19.809999999999999</v>
      </c>
      <c r="E915" s="1">
        <v>42920</v>
      </c>
      <c r="F915">
        <v>55.254899999999999</v>
      </c>
      <c r="G915" s="1">
        <v>42965</v>
      </c>
      <c r="H915">
        <v>27.53</v>
      </c>
      <c r="I915" s="1">
        <v>42965</v>
      </c>
      <c r="J915">
        <v>12.12</v>
      </c>
      <c r="K915" s="1">
        <v>42920</v>
      </c>
      <c r="L915">
        <v>96.218000000000004</v>
      </c>
    </row>
    <row r="916" spans="1:12" x14ac:dyDescent="0.25">
      <c r="A916" s="1">
        <v>42968</v>
      </c>
      <c r="B916">
        <v>13.19</v>
      </c>
      <c r="C916" s="1">
        <v>42968</v>
      </c>
      <c r="D916">
        <v>18.260000000000002</v>
      </c>
      <c r="E916" s="1">
        <v>42921</v>
      </c>
      <c r="F916">
        <v>56.436999999999998</v>
      </c>
      <c r="G916" s="1">
        <v>42968</v>
      </c>
      <c r="H916">
        <v>28.77</v>
      </c>
      <c r="I916" s="1">
        <v>42968</v>
      </c>
      <c r="J916">
        <v>13.01</v>
      </c>
      <c r="K916" s="1">
        <v>42921</v>
      </c>
      <c r="L916">
        <v>96.29</v>
      </c>
    </row>
    <row r="917" spans="1:12" x14ac:dyDescent="0.25">
      <c r="A917" s="1">
        <v>42969</v>
      </c>
      <c r="B917">
        <v>11.35</v>
      </c>
      <c r="C917" s="1">
        <v>42969</v>
      </c>
      <c r="D917">
        <v>16.93</v>
      </c>
      <c r="E917" s="1">
        <v>42922</v>
      </c>
      <c r="F917">
        <v>56.955100000000002</v>
      </c>
      <c r="G917" s="1">
        <v>42969</v>
      </c>
      <c r="H917">
        <v>27.97</v>
      </c>
      <c r="I917" s="1">
        <v>42969</v>
      </c>
      <c r="J917">
        <v>12.49</v>
      </c>
      <c r="K917" s="1">
        <v>42922</v>
      </c>
      <c r="L917">
        <v>95.802000000000007</v>
      </c>
    </row>
    <row r="918" spans="1:12" x14ac:dyDescent="0.25">
      <c r="A918" s="1">
        <v>42970</v>
      </c>
      <c r="B918">
        <v>12.25</v>
      </c>
      <c r="C918" s="1">
        <v>42970</v>
      </c>
      <c r="D918">
        <v>16.77</v>
      </c>
      <c r="E918" s="1">
        <v>42923</v>
      </c>
      <c r="F918">
        <v>55.756900000000002</v>
      </c>
      <c r="G918" s="1">
        <v>42970</v>
      </c>
      <c r="H918">
        <v>27.8</v>
      </c>
      <c r="I918" s="1">
        <v>42970</v>
      </c>
      <c r="J918">
        <v>12.68</v>
      </c>
      <c r="K918" s="1">
        <v>42923</v>
      </c>
      <c r="L918">
        <v>96.007999999999996</v>
      </c>
    </row>
    <row r="919" spans="1:12" x14ac:dyDescent="0.25">
      <c r="A919" s="1">
        <v>42971</v>
      </c>
      <c r="B919">
        <v>12.23</v>
      </c>
      <c r="C919" s="1">
        <v>42971</v>
      </c>
      <c r="D919">
        <v>16.690000000000001</v>
      </c>
      <c r="E919" s="1">
        <v>42926</v>
      </c>
      <c r="F919">
        <v>53.177100000000003</v>
      </c>
      <c r="G919" s="1">
        <v>42971</v>
      </c>
      <c r="H919">
        <v>28.37</v>
      </c>
      <c r="I919" s="1">
        <v>42971</v>
      </c>
      <c r="J919">
        <v>12.76</v>
      </c>
      <c r="K919" s="1">
        <v>42926</v>
      </c>
      <c r="L919">
        <v>96.022000000000006</v>
      </c>
    </row>
    <row r="920" spans="1:12" x14ac:dyDescent="0.25">
      <c r="A920" s="1">
        <v>42972</v>
      </c>
      <c r="B920">
        <v>11.28</v>
      </c>
      <c r="C920" s="1">
        <v>42972</v>
      </c>
      <c r="D920">
        <v>16.43</v>
      </c>
      <c r="E920" s="1">
        <v>42927</v>
      </c>
      <c r="F920">
        <v>53.224699999999999</v>
      </c>
      <c r="G920" s="1">
        <v>42972</v>
      </c>
      <c r="H920">
        <v>28.88</v>
      </c>
      <c r="I920" s="1">
        <v>42972</v>
      </c>
      <c r="J920">
        <v>12.63</v>
      </c>
      <c r="K920" s="1">
        <v>42927</v>
      </c>
      <c r="L920">
        <v>95.668999999999997</v>
      </c>
    </row>
    <row r="921" spans="1:12" x14ac:dyDescent="0.25">
      <c r="A921" s="1">
        <v>42975</v>
      </c>
      <c r="B921">
        <v>11.32</v>
      </c>
      <c r="C921" s="1">
        <v>42975</v>
      </c>
      <c r="D921">
        <v>16.850000000000001</v>
      </c>
      <c r="E921" s="1">
        <v>42928</v>
      </c>
      <c r="F921">
        <v>52.433700000000002</v>
      </c>
      <c r="G921" s="1">
        <v>42975</v>
      </c>
      <c r="H921">
        <v>30.39</v>
      </c>
      <c r="I921" s="1">
        <v>42975</v>
      </c>
      <c r="J921">
        <v>14.2</v>
      </c>
      <c r="K921" s="1">
        <v>42928</v>
      </c>
      <c r="L921">
        <v>95.760999999999996</v>
      </c>
    </row>
    <row r="922" spans="1:12" x14ac:dyDescent="0.25">
      <c r="A922" s="1">
        <v>42976</v>
      </c>
      <c r="B922">
        <v>11.7</v>
      </c>
      <c r="C922" s="1">
        <v>42976</v>
      </c>
      <c r="D922">
        <v>17.29</v>
      </c>
      <c r="E922" s="1">
        <v>42929</v>
      </c>
      <c r="F922">
        <v>52.210599999999999</v>
      </c>
      <c r="G922" s="1">
        <v>42976</v>
      </c>
      <c r="H922">
        <v>30.49</v>
      </c>
      <c r="I922" s="1">
        <v>42976</v>
      </c>
      <c r="J922">
        <v>13.5</v>
      </c>
      <c r="K922" s="1">
        <v>42929</v>
      </c>
      <c r="L922">
        <v>95.727999999999994</v>
      </c>
    </row>
    <row r="923" spans="1:12" x14ac:dyDescent="0.25">
      <c r="A923" s="1">
        <v>42977</v>
      </c>
      <c r="B923">
        <v>11.22</v>
      </c>
      <c r="C923" s="1">
        <v>42977</v>
      </c>
      <c r="D923">
        <v>17.18</v>
      </c>
      <c r="E923" s="1">
        <v>42930</v>
      </c>
      <c r="F923">
        <v>51.029400000000003</v>
      </c>
      <c r="G923" s="1">
        <v>42977</v>
      </c>
      <c r="H923">
        <v>29.78</v>
      </c>
      <c r="I923" s="1">
        <v>42977</v>
      </c>
      <c r="J923">
        <v>12.78</v>
      </c>
      <c r="K923" s="1">
        <v>42930</v>
      </c>
      <c r="L923">
        <v>95.153000000000006</v>
      </c>
    </row>
    <row r="924" spans="1:12" x14ac:dyDescent="0.25">
      <c r="A924" s="1">
        <v>42978</v>
      </c>
      <c r="B924">
        <v>10.59</v>
      </c>
      <c r="C924" s="1">
        <v>42978</v>
      </c>
      <c r="D924">
        <v>16.52</v>
      </c>
      <c r="E924" s="1">
        <v>42933</v>
      </c>
      <c r="F924">
        <v>50.002099999999999</v>
      </c>
      <c r="G924" s="1">
        <v>42978</v>
      </c>
      <c r="H924">
        <v>29.1</v>
      </c>
      <c r="I924" s="1">
        <v>42978</v>
      </c>
      <c r="J924">
        <v>13.26</v>
      </c>
      <c r="K924" s="1">
        <v>42933</v>
      </c>
      <c r="L924">
        <v>95.128</v>
      </c>
    </row>
    <row r="925" spans="1:12" x14ac:dyDescent="0.25">
      <c r="A925" s="1">
        <v>42979</v>
      </c>
      <c r="B925">
        <v>10.130000000000001</v>
      </c>
      <c r="C925" s="1">
        <v>42979</v>
      </c>
      <c r="D925">
        <v>15.45</v>
      </c>
      <c r="E925" s="1">
        <v>42934</v>
      </c>
      <c r="F925">
        <v>49.548999999999999</v>
      </c>
      <c r="G925" s="1">
        <v>42979</v>
      </c>
      <c r="H925">
        <v>28.97</v>
      </c>
      <c r="I925" s="1">
        <v>42979</v>
      </c>
      <c r="J925">
        <v>12.73</v>
      </c>
      <c r="K925" s="1">
        <v>42934</v>
      </c>
      <c r="L925">
        <v>94.603999999999999</v>
      </c>
    </row>
    <row r="926" spans="1:12" x14ac:dyDescent="0.25">
      <c r="A926" s="1">
        <v>42983</v>
      </c>
      <c r="B926">
        <v>12.23</v>
      </c>
      <c r="C926" s="1">
        <v>42983</v>
      </c>
      <c r="D926">
        <v>18.23</v>
      </c>
      <c r="E926" s="1">
        <v>42935</v>
      </c>
      <c r="F926">
        <v>48.257199999999997</v>
      </c>
      <c r="G926" s="1">
        <v>42983</v>
      </c>
      <c r="H926">
        <v>29.58</v>
      </c>
      <c r="I926" s="1">
        <v>42983</v>
      </c>
      <c r="J926">
        <v>14.3</v>
      </c>
      <c r="K926" s="1">
        <v>42935</v>
      </c>
      <c r="L926">
        <v>94.778999999999996</v>
      </c>
    </row>
    <row r="927" spans="1:12" x14ac:dyDescent="0.25">
      <c r="A927" s="1">
        <v>42984</v>
      </c>
      <c r="B927">
        <v>11.63</v>
      </c>
      <c r="C927" s="1">
        <v>42984</v>
      </c>
      <c r="D927">
        <v>17.190000000000001</v>
      </c>
      <c r="E927" s="1">
        <v>42936</v>
      </c>
      <c r="F927">
        <v>46.998600000000003</v>
      </c>
      <c r="G927" s="1">
        <v>42984</v>
      </c>
      <c r="H927">
        <v>30.07</v>
      </c>
      <c r="I927" s="1">
        <v>42984</v>
      </c>
      <c r="J927">
        <v>14.17</v>
      </c>
      <c r="K927" s="1">
        <v>42936</v>
      </c>
      <c r="L927">
        <v>94.305999999999997</v>
      </c>
    </row>
    <row r="928" spans="1:12" x14ac:dyDescent="0.25">
      <c r="A928" s="1">
        <v>42985</v>
      </c>
      <c r="B928">
        <v>11.55</v>
      </c>
      <c r="C928" s="1">
        <v>42985</v>
      </c>
      <c r="D928">
        <v>16.59</v>
      </c>
      <c r="E928" s="1">
        <v>42937</v>
      </c>
      <c r="F928">
        <v>47.449800000000003</v>
      </c>
      <c r="G928" s="1">
        <v>42985</v>
      </c>
      <c r="H928">
        <v>29.73</v>
      </c>
      <c r="I928" s="1">
        <v>42985</v>
      </c>
      <c r="J928">
        <v>14.49</v>
      </c>
      <c r="K928" s="1">
        <v>42937</v>
      </c>
      <c r="L928">
        <v>93.858000000000004</v>
      </c>
    </row>
    <row r="929" spans="1:12" x14ac:dyDescent="0.25">
      <c r="A929" s="1">
        <v>42986</v>
      </c>
      <c r="B929">
        <v>12.12</v>
      </c>
      <c r="C929" s="1">
        <v>42986</v>
      </c>
      <c r="D929">
        <v>17.77</v>
      </c>
      <c r="E929" s="1">
        <v>42940</v>
      </c>
      <c r="F929">
        <v>46.996299999999998</v>
      </c>
      <c r="G929" s="1">
        <v>42986</v>
      </c>
      <c r="H929">
        <v>29.49</v>
      </c>
      <c r="I929" s="1">
        <v>42986</v>
      </c>
      <c r="J929">
        <v>13.77</v>
      </c>
      <c r="K929" s="1">
        <v>42940</v>
      </c>
      <c r="L929">
        <v>93.977000000000004</v>
      </c>
    </row>
    <row r="930" spans="1:12" x14ac:dyDescent="0.25">
      <c r="A930" s="1">
        <v>42989</v>
      </c>
      <c r="B930">
        <v>10.73</v>
      </c>
      <c r="C930" s="1">
        <v>42989</v>
      </c>
      <c r="D930">
        <v>15.28</v>
      </c>
      <c r="E930" s="1">
        <v>42941</v>
      </c>
      <c r="F930">
        <v>49.573399999999999</v>
      </c>
      <c r="G930" s="1">
        <v>42989</v>
      </c>
      <c r="H930">
        <v>27.73</v>
      </c>
      <c r="I930" s="1">
        <v>42989</v>
      </c>
      <c r="J930">
        <v>13.28</v>
      </c>
      <c r="K930" s="1">
        <v>42941</v>
      </c>
      <c r="L930">
        <v>94.054000000000002</v>
      </c>
    </row>
    <row r="931" spans="1:12" x14ac:dyDescent="0.25">
      <c r="A931" s="1">
        <v>42990</v>
      </c>
      <c r="B931">
        <v>10.58</v>
      </c>
      <c r="C931" s="1">
        <v>42990</v>
      </c>
      <c r="D931">
        <v>15.49</v>
      </c>
      <c r="E931" s="1">
        <v>42942</v>
      </c>
      <c r="F931">
        <v>47.283299999999997</v>
      </c>
      <c r="G931" s="1">
        <v>42990</v>
      </c>
      <c r="H931">
        <v>27.59</v>
      </c>
      <c r="I931" s="1">
        <v>42990</v>
      </c>
      <c r="J931">
        <v>11.56</v>
      </c>
      <c r="K931" s="1">
        <v>42942</v>
      </c>
      <c r="L931">
        <v>93.671999999999997</v>
      </c>
    </row>
    <row r="932" spans="1:12" x14ac:dyDescent="0.25">
      <c r="A932" s="1">
        <v>42991</v>
      </c>
      <c r="B932">
        <v>10.5</v>
      </c>
      <c r="C932" s="1">
        <v>42991</v>
      </c>
      <c r="D932">
        <v>14.85</v>
      </c>
      <c r="E932" s="1">
        <v>42943</v>
      </c>
      <c r="F932">
        <v>48.4176</v>
      </c>
      <c r="G932" s="1">
        <v>42991</v>
      </c>
      <c r="H932">
        <v>26.62</v>
      </c>
      <c r="I932" s="1">
        <v>42991</v>
      </c>
      <c r="J932">
        <v>11.98</v>
      </c>
      <c r="K932" s="1">
        <v>42943</v>
      </c>
      <c r="L932">
        <v>93.864000000000004</v>
      </c>
    </row>
    <row r="933" spans="1:12" x14ac:dyDescent="0.25">
      <c r="A933" s="1">
        <v>42992</v>
      </c>
      <c r="B933">
        <v>10.44</v>
      </c>
      <c r="C933" s="1">
        <v>42992</v>
      </c>
      <c r="D933">
        <v>14.29</v>
      </c>
      <c r="E933" s="1">
        <v>42944</v>
      </c>
      <c r="F933">
        <v>48.5291</v>
      </c>
      <c r="G933" s="1">
        <v>42992</v>
      </c>
      <c r="H933">
        <v>26.09</v>
      </c>
      <c r="I933" s="1">
        <v>42992</v>
      </c>
      <c r="J933">
        <v>12.19</v>
      </c>
      <c r="K933" s="1">
        <v>42944</v>
      </c>
      <c r="L933">
        <v>93.259</v>
      </c>
    </row>
    <row r="934" spans="1:12" x14ac:dyDescent="0.25">
      <c r="A934" s="1">
        <v>42993</v>
      </c>
      <c r="B934">
        <v>10.17</v>
      </c>
      <c r="C934" s="1">
        <v>42993</v>
      </c>
      <c r="D934">
        <v>13.93</v>
      </c>
      <c r="E934" s="1">
        <v>42947</v>
      </c>
      <c r="F934">
        <v>48.137500000000003</v>
      </c>
      <c r="G934" s="1">
        <v>42993</v>
      </c>
      <c r="H934">
        <v>26.65</v>
      </c>
      <c r="I934" s="1">
        <v>42993</v>
      </c>
      <c r="J934">
        <v>12.06</v>
      </c>
      <c r="K934" s="1">
        <v>42947</v>
      </c>
      <c r="L934">
        <v>92.863</v>
      </c>
    </row>
    <row r="935" spans="1:12" x14ac:dyDescent="0.25">
      <c r="A935" s="1">
        <v>42996</v>
      </c>
      <c r="B935">
        <v>10.15</v>
      </c>
      <c r="C935" s="1">
        <v>42996</v>
      </c>
      <c r="D935">
        <v>14.42</v>
      </c>
      <c r="E935" s="1">
        <v>42948</v>
      </c>
      <c r="F935">
        <v>49.972099999999998</v>
      </c>
      <c r="G935" s="1">
        <v>42996</v>
      </c>
      <c r="H935">
        <v>27.53</v>
      </c>
      <c r="I935" s="1">
        <v>42996</v>
      </c>
      <c r="J935">
        <v>12.69</v>
      </c>
      <c r="K935" s="1">
        <v>42948</v>
      </c>
      <c r="L935">
        <v>93.043000000000006</v>
      </c>
    </row>
    <row r="936" spans="1:12" x14ac:dyDescent="0.25">
      <c r="A936" s="1">
        <v>42997</v>
      </c>
      <c r="B936">
        <v>10.18</v>
      </c>
      <c r="C936" s="1">
        <v>42997</v>
      </c>
      <c r="D936">
        <v>15.48</v>
      </c>
      <c r="E936" s="1">
        <v>42949</v>
      </c>
      <c r="F936">
        <v>48.747599999999998</v>
      </c>
      <c r="G936" s="1">
        <v>42997</v>
      </c>
      <c r="H936">
        <v>25.76</v>
      </c>
      <c r="I936" s="1">
        <v>42997</v>
      </c>
      <c r="J936">
        <v>12.27</v>
      </c>
      <c r="K936" s="1">
        <v>42949</v>
      </c>
      <c r="L936">
        <v>92.835999999999999</v>
      </c>
    </row>
    <row r="937" spans="1:12" x14ac:dyDescent="0.25">
      <c r="A937" s="1">
        <v>42998</v>
      </c>
      <c r="B937">
        <v>9.7799999999999994</v>
      </c>
      <c r="C937" s="1">
        <v>42998</v>
      </c>
      <c r="D937">
        <v>15.42</v>
      </c>
      <c r="E937" s="1">
        <v>42950</v>
      </c>
      <c r="F937">
        <v>47.929299999999998</v>
      </c>
      <c r="G937" s="1">
        <v>42998</v>
      </c>
      <c r="H937">
        <v>26.99</v>
      </c>
      <c r="I937" s="1">
        <v>42998</v>
      </c>
      <c r="J937">
        <v>12.32</v>
      </c>
      <c r="K937" s="1">
        <v>42950</v>
      </c>
      <c r="L937">
        <v>92.838999999999999</v>
      </c>
    </row>
    <row r="938" spans="1:12" x14ac:dyDescent="0.25">
      <c r="A938" s="1">
        <v>42999</v>
      </c>
      <c r="B938">
        <v>9.67</v>
      </c>
      <c r="C938" s="1">
        <v>42999</v>
      </c>
      <c r="D938">
        <v>15.42</v>
      </c>
      <c r="E938" s="1">
        <v>42951</v>
      </c>
      <c r="F938">
        <v>47.282699999999998</v>
      </c>
      <c r="G938" s="1">
        <v>42999</v>
      </c>
      <c r="H938">
        <v>26.3</v>
      </c>
      <c r="I938" s="1">
        <v>42999</v>
      </c>
      <c r="J938">
        <v>12.19</v>
      </c>
      <c r="K938" s="1">
        <v>42951</v>
      </c>
      <c r="L938">
        <v>93.542000000000002</v>
      </c>
    </row>
    <row r="939" spans="1:12" x14ac:dyDescent="0.25">
      <c r="A939" s="1">
        <v>43000</v>
      </c>
      <c r="B939">
        <v>9.59</v>
      </c>
      <c r="C939" s="1">
        <v>43000</v>
      </c>
      <c r="D939">
        <v>15.24</v>
      </c>
      <c r="E939" s="1">
        <v>42954</v>
      </c>
      <c r="F939">
        <v>46.912300000000002</v>
      </c>
      <c r="G939" s="1">
        <v>43000</v>
      </c>
      <c r="H939">
        <v>26.39</v>
      </c>
      <c r="I939" s="1">
        <v>43000</v>
      </c>
      <c r="J939">
        <v>12.37</v>
      </c>
      <c r="K939" s="1">
        <v>42954</v>
      </c>
      <c r="L939">
        <v>93.432000000000002</v>
      </c>
    </row>
    <row r="940" spans="1:12" x14ac:dyDescent="0.25">
      <c r="A940" s="1">
        <v>43003</v>
      </c>
      <c r="B940">
        <v>10.210000000000001</v>
      </c>
      <c r="C940" s="1">
        <v>43003</v>
      </c>
      <c r="D940">
        <v>17.670000000000002</v>
      </c>
      <c r="E940" s="1">
        <v>42955</v>
      </c>
      <c r="F940">
        <v>47.3352</v>
      </c>
      <c r="G940" s="1">
        <v>43003</v>
      </c>
      <c r="H940">
        <v>26.93</v>
      </c>
      <c r="I940" s="1">
        <v>43003</v>
      </c>
      <c r="J940">
        <v>13.77</v>
      </c>
      <c r="K940" s="1">
        <v>42955</v>
      </c>
      <c r="L940">
        <v>93.647000000000006</v>
      </c>
    </row>
    <row r="941" spans="1:12" x14ac:dyDescent="0.25">
      <c r="A941" s="1">
        <v>43004</v>
      </c>
      <c r="B941">
        <v>10.17</v>
      </c>
      <c r="C941" s="1">
        <v>43004</v>
      </c>
      <c r="D941">
        <v>17.739999999999998</v>
      </c>
      <c r="E941" s="1">
        <v>42956</v>
      </c>
      <c r="F941">
        <v>49.665500000000002</v>
      </c>
      <c r="G941" s="1">
        <v>43004</v>
      </c>
      <c r="H941">
        <v>27.8</v>
      </c>
      <c r="I941" s="1">
        <v>43004</v>
      </c>
      <c r="J941">
        <v>13.32</v>
      </c>
      <c r="K941" s="1">
        <v>42956</v>
      </c>
      <c r="L941">
        <v>93.548000000000002</v>
      </c>
    </row>
    <row r="942" spans="1:12" x14ac:dyDescent="0.25">
      <c r="A942" s="1">
        <v>43005</v>
      </c>
      <c r="B942">
        <v>9.8699999999999992</v>
      </c>
      <c r="C942" s="1">
        <v>43005</v>
      </c>
      <c r="D942">
        <v>17.239999999999998</v>
      </c>
      <c r="E942" s="1">
        <v>42957</v>
      </c>
      <c r="F942">
        <v>52.003799999999998</v>
      </c>
      <c r="G942" s="1">
        <v>43005</v>
      </c>
      <c r="H942">
        <v>27.29</v>
      </c>
      <c r="I942" s="1">
        <v>43005</v>
      </c>
      <c r="J942">
        <v>12.99</v>
      </c>
      <c r="K942" s="1">
        <v>42957</v>
      </c>
      <c r="L942">
        <v>93.400999999999996</v>
      </c>
    </row>
    <row r="943" spans="1:12" x14ac:dyDescent="0.25">
      <c r="A943" s="1">
        <v>43006</v>
      </c>
      <c r="B943">
        <v>9.5500000000000007</v>
      </c>
      <c r="C943" s="1">
        <v>43006</v>
      </c>
      <c r="D943">
        <v>16.34</v>
      </c>
      <c r="E943" s="1">
        <v>42958</v>
      </c>
      <c r="F943">
        <v>52.064599999999999</v>
      </c>
      <c r="G943" s="1">
        <v>43006</v>
      </c>
      <c r="H943">
        <v>27.18</v>
      </c>
      <c r="I943" s="1">
        <v>43006</v>
      </c>
      <c r="J943">
        <v>11.75</v>
      </c>
      <c r="K943" s="1">
        <v>42958</v>
      </c>
      <c r="L943">
        <v>93.069000000000003</v>
      </c>
    </row>
    <row r="944" spans="1:12" x14ac:dyDescent="0.25">
      <c r="A944" s="1">
        <v>43007</v>
      </c>
      <c r="B944">
        <v>9.51</v>
      </c>
      <c r="C944" s="1">
        <v>43007</v>
      </c>
      <c r="D944">
        <v>16.03</v>
      </c>
      <c r="E944" s="1">
        <v>42961</v>
      </c>
      <c r="F944">
        <v>49.296799999999998</v>
      </c>
      <c r="G944" s="1">
        <v>43007</v>
      </c>
      <c r="H944">
        <v>26.83</v>
      </c>
      <c r="I944" s="1">
        <v>43007</v>
      </c>
      <c r="J944">
        <v>11.77</v>
      </c>
      <c r="K944" s="1">
        <v>42961</v>
      </c>
      <c r="L944">
        <v>93.411000000000001</v>
      </c>
    </row>
    <row r="945" spans="1:12" x14ac:dyDescent="0.25">
      <c r="A945" s="1">
        <v>43010</v>
      </c>
      <c r="B945">
        <v>9.4499999999999993</v>
      </c>
      <c r="C945" s="1">
        <v>43010</v>
      </c>
      <c r="D945">
        <v>16.38</v>
      </c>
      <c r="E945" s="1">
        <v>42962</v>
      </c>
      <c r="F945">
        <v>48.633600000000001</v>
      </c>
      <c r="G945" s="1">
        <v>43010</v>
      </c>
      <c r="H945">
        <v>27.72</v>
      </c>
      <c r="I945" s="1">
        <v>43010</v>
      </c>
      <c r="J945">
        <v>11.72</v>
      </c>
      <c r="K945" s="1">
        <v>42962</v>
      </c>
      <c r="L945">
        <v>93.852999999999994</v>
      </c>
    </row>
    <row r="946" spans="1:12" x14ac:dyDescent="0.25">
      <c r="A946" s="1">
        <v>43011</v>
      </c>
      <c r="B946">
        <v>9.51</v>
      </c>
      <c r="C946" s="1">
        <v>43011</v>
      </c>
      <c r="D946">
        <v>15.88</v>
      </c>
      <c r="E946" s="1">
        <v>42963</v>
      </c>
      <c r="F946">
        <v>48.466299999999997</v>
      </c>
      <c r="G946" s="1">
        <v>43011</v>
      </c>
      <c r="H946">
        <v>27.95</v>
      </c>
      <c r="I946" s="1">
        <v>43011</v>
      </c>
      <c r="J946">
        <v>11.38</v>
      </c>
      <c r="K946" s="1">
        <v>42963</v>
      </c>
      <c r="L946">
        <v>93.540999999999997</v>
      </c>
    </row>
    <row r="947" spans="1:12" x14ac:dyDescent="0.25">
      <c r="A947" s="1">
        <v>43012</v>
      </c>
      <c r="B947">
        <v>9.6300000000000008</v>
      </c>
      <c r="C947" s="1">
        <v>43012</v>
      </c>
      <c r="D947">
        <v>15.64</v>
      </c>
      <c r="E947" s="1">
        <v>42964</v>
      </c>
      <c r="F947">
        <v>48.841799999999999</v>
      </c>
      <c r="G947" s="1">
        <v>43012</v>
      </c>
      <c r="H947">
        <v>27.04</v>
      </c>
      <c r="I947" s="1">
        <v>43012</v>
      </c>
      <c r="J947">
        <v>11.41</v>
      </c>
      <c r="K947" s="1">
        <v>42964</v>
      </c>
      <c r="L947">
        <v>93.622</v>
      </c>
    </row>
    <row r="948" spans="1:12" x14ac:dyDescent="0.25">
      <c r="A948" s="1">
        <v>43013</v>
      </c>
      <c r="B948">
        <v>9.19</v>
      </c>
      <c r="C948" s="1">
        <v>43013</v>
      </c>
      <c r="D948">
        <v>15.33</v>
      </c>
      <c r="E948" s="1">
        <v>42965</v>
      </c>
      <c r="F948">
        <v>50.158200000000001</v>
      </c>
      <c r="G948" s="1">
        <v>43013</v>
      </c>
      <c r="H948">
        <v>26.45</v>
      </c>
      <c r="I948" s="1">
        <v>43013</v>
      </c>
      <c r="J948">
        <v>11.4</v>
      </c>
      <c r="K948" s="1">
        <v>42965</v>
      </c>
      <c r="L948">
        <v>93.433999999999997</v>
      </c>
    </row>
    <row r="949" spans="1:12" x14ac:dyDescent="0.25">
      <c r="A949" s="1">
        <v>43014</v>
      </c>
      <c r="B949">
        <v>9.65</v>
      </c>
      <c r="C949" s="1">
        <v>43014</v>
      </c>
      <c r="D949">
        <v>15.91</v>
      </c>
      <c r="E949" s="1">
        <v>42968</v>
      </c>
      <c r="F949">
        <v>52.055999999999997</v>
      </c>
      <c r="G949" s="1">
        <v>43014</v>
      </c>
      <c r="H949">
        <v>27.59</v>
      </c>
      <c r="I949" s="1">
        <v>43014</v>
      </c>
      <c r="J949">
        <v>11.53</v>
      </c>
      <c r="K949" s="1">
        <v>42968</v>
      </c>
      <c r="L949">
        <v>93.094999999999999</v>
      </c>
    </row>
    <row r="950" spans="1:12" x14ac:dyDescent="0.25">
      <c r="A950" s="1">
        <v>43017</v>
      </c>
      <c r="B950">
        <v>10.33</v>
      </c>
      <c r="C950" s="1">
        <v>43017</v>
      </c>
      <c r="D950">
        <v>16.190000000000001</v>
      </c>
      <c r="E950" s="1">
        <v>42969</v>
      </c>
      <c r="F950">
        <v>51.301200000000001</v>
      </c>
      <c r="G950" s="1">
        <v>43017</v>
      </c>
      <c r="H950">
        <v>27.32</v>
      </c>
      <c r="I950" s="1">
        <v>43017</v>
      </c>
      <c r="J950">
        <v>11.96</v>
      </c>
      <c r="K950" s="1">
        <v>42969</v>
      </c>
      <c r="L950">
        <v>93.545000000000002</v>
      </c>
    </row>
    <row r="951" spans="1:12" x14ac:dyDescent="0.25">
      <c r="A951" s="1">
        <v>43018</v>
      </c>
      <c r="B951">
        <v>10.08</v>
      </c>
      <c r="C951" s="1">
        <v>43018</v>
      </c>
      <c r="D951">
        <v>15.92</v>
      </c>
      <c r="E951" s="1">
        <v>42970</v>
      </c>
      <c r="F951">
        <v>52.082000000000001</v>
      </c>
      <c r="G951" s="1">
        <v>43018</v>
      </c>
      <c r="H951">
        <v>26.54</v>
      </c>
      <c r="I951" s="1">
        <v>43018</v>
      </c>
      <c r="J951">
        <v>12.22</v>
      </c>
      <c r="K951" s="1">
        <v>42970</v>
      </c>
      <c r="L951">
        <v>93.147000000000006</v>
      </c>
    </row>
    <row r="952" spans="1:12" x14ac:dyDescent="0.25">
      <c r="A952" s="1">
        <v>43019</v>
      </c>
      <c r="B952">
        <v>9.85</v>
      </c>
      <c r="C952" s="1">
        <v>43019</v>
      </c>
      <c r="D952">
        <v>15.44</v>
      </c>
      <c r="E952" s="1">
        <v>42971</v>
      </c>
      <c r="F952">
        <v>52.49</v>
      </c>
      <c r="G952" s="1">
        <v>43019</v>
      </c>
      <c r="H952">
        <v>26.43</v>
      </c>
      <c r="I952" s="1">
        <v>43019</v>
      </c>
      <c r="J952">
        <v>12.13</v>
      </c>
      <c r="K952" s="1">
        <v>42971</v>
      </c>
      <c r="L952">
        <v>93.277000000000001</v>
      </c>
    </row>
    <row r="953" spans="1:12" x14ac:dyDescent="0.25">
      <c r="A953" s="1">
        <v>43020</v>
      </c>
      <c r="B953">
        <v>9.91</v>
      </c>
      <c r="C953" s="1">
        <v>43020</v>
      </c>
      <c r="D953">
        <v>15.53</v>
      </c>
      <c r="E953" s="1">
        <v>42972</v>
      </c>
      <c r="F953">
        <v>50.555199999999999</v>
      </c>
      <c r="G953" s="1">
        <v>43020</v>
      </c>
      <c r="H953">
        <v>25.85</v>
      </c>
      <c r="I953" s="1">
        <v>43020</v>
      </c>
      <c r="J953">
        <v>11.82</v>
      </c>
      <c r="K953" s="1">
        <v>42972</v>
      </c>
      <c r="L953">
        <v>92.74</v>
      </c>
    </row>
    <row r="954" spans="1:12" x14ac:dyDescent="0.25">
      <c r="A954" s="1">
        <v>43021</v>
      </c>
      <c r="B954">
        <v>9.61</v>
      </c>
      <c r="C954" s="1">
        <v>43021</v>
      </c>
      <c r="D954">
        <v>14.7</v>
      </c>
      <c r="E954" s="1">
        <v>42975</v>
      </c>
      <c r="F954">
        <v>48.860799999999998</v>
      </c>
      <c r="G954" s="1">
        <v>43021</v>
      </c>
      <c r="H954">
        <v>25.73</v>
      </c>
      <c r="I954" s="1">
        <v>43021</v>
      </c>
      <c r="J954">
        <v>11.76</v>
      </c>
      <c r="K954" s="1">
        <v>42975</v>
      </c>
      <c r="L954">
        <v>92.206999999999994</v>
      </c>
    </row>
    <row r="955" spans="1:12" x14ac:dyDescent="0.25">
      <c r="A955" s="1">
        <v>43024</v>
      </c>
      <c r="B955">
        <v>9.91</v>
      </c>
      <c r="C955" s="1">
        <v>43024</v>
      </c>
      <c r="D955">
        <v>15.39</v>
      </c>
      <c r="E955" s="1">
        <v>42976</v>
      </c>
      <c r="F955">
        <v>51.403399999999998</v>
      </c>
      <c r="G955" s="1">
        <v>43024</v>
      </c>
      <c r="H955">
        <v>26.32</v>
      </c>
      <c r="I955" s="1">
        <v>43024</v>
      </c>
      <c r="J955">
        <v>12.13</v>
      </c>
      <c r="K955" s="1">
        <v>42976</v>
      </c>
      <c r="L955">
        <v>92.248999999999995</v>
      </c>
    </row>
    <row r="956" spans="1:12" x14ac:dyDescent="0.25">
      <c r="A956" s="1">
        <v>43025</v>
      </c>
      <c r="B956">
        <v>10.31</v>
      </c>
      <c r="C956" s="1">
        <v>43025</v>
      </c>
      <c r="D956">
        <v>15.07</v>
      </c>
      <c r="E956" s="1">
        <v>42977</v>
      </c>
      <c r="F956">
        <v>51.557000000000002</v>
      </c>
      <c r="G956" s="1">
        <v>43025</v>
      </c>
      <c r="H956">
        <v>25.87</v>
      </c>
      <c r="I956" s="1">
        <v>43025</v>
      </c>
      <c r="J956">
        <v>11.64</v>
      </c>
      <c r="K956" s="1">
        <v>42977</v>
      </c>
      <c r="L956">
        <v>92.884</v>
      </c>
    </row>
    <row r="957" spans="1:12" x14ac:dyDescent="0.25">
      <c r="A957" s="1">
        <v>43026</v>
      </c>
      <c r="B957">
        <v>10.07</v>
      </c>
      <c r="C957" s="1">
        <v>43026</v>
      </c>
      <c r="D957">
        <v>15.55</v>
      </c>
      <c r="E957" s="1">
        <v>42978</v>
      </c>
      <c r="F957">
        <v>51.131100000000004</v>
      </c>
      <c r="G957" s="1">
        <v>43026</v>
      </c>
      <c r="H957">
        <v>26.41</v>
      </c>
      <c r="I957" s="1">
        <v>43026</v>
      </c>
      <c r="J957">
        <v>11.88</v>
      </c>
      <c r="K957" s="1">
        <v>42978</v>
      </c>
      <c r="L957">
        <v>92.668000000000006</v>
      </c>
    </row>
    <row r="958" spans="1:12" x14ac:dyDescent="0.25">
      <c r="A958" s="1">
        <v>43027</v>
      </c>
      <c r="B958">
        <v>10.050000000000001</v>
      </c>
      <c r="C958" s="1">
        <v>43027</v>
      </c>
      <c r="D958">
        <v>15.44</v>
      </c>
      <c r="E958" s="1">
        <v>42979</v>
      </c>
      <c r="F958">
        <v>49.437800000000003</v>
      </c>
      <c r="G958" s="1">
        <v>43027</v>
      </c>
      <c r="H958">
        <v>26.3</v>
      </c>
      <c r="I958" s="1">
        <v>43027</v>
      </c>
      <c r="J958">
        <v>11.94</v>
      </c>
      <c r="K958" s="1">
        <v>42979</v>
      </c>
      <c r="L958">
        <v>92.813999999999993</v>
      </c>
    </row>
    <row r="959" spans="1:12" x14ac:dyDescent="0.25">
      <c r="A959" s="1">
        <v>43028</v>
      </c>
      <c r="B959">
        <v>9.9700000000000006</v>
      </c>
      <c r="C959" s="1">
        <v>43028</v>
      </c>
      <c r="D959">
        <v>14.67</v>
      </c>
      <c r="E959" s="1">
        <v>42982</v>
      </c>
      <c r="F959">
        <v>49.437800000000003</v>
      </c>
      <c r="G959" s="1">
        <v>43028</v>
      </c>
      <c r="H959">
        <v>24.51</v>
      </c>
      <c r="I959" s="1">
        <v>43028</v>
      </c>
      <c r="J959">
        <v>11.49</v>
      </c>
      <c r="K959" s="1">
        <v>42982</v>
      </c>
      <c r="L959">
        <v>92.635000000000005</v>
      </c>
    </row>
    <row r="960" spans="1:12" x14ac:dyDescent="0.25">
      <c r="A960" s="1">
        <v>43031</v>
      </c>
      <c r="B960">
        <v>11.07</v>
      </c>
      <c r="C960" s="1">
        <v>43031</v>
      </c>
      <c r="D960">
        <v>16.489999999999998</v>
      </c>
      <c r="E960" s="1">
        <v>42983</v>
      </c>
      <c r="F960">
        <v>53.317900000000002</v>
      </c>
      <c r="G960" s="1">
        <v>43031</v>
      </c>
      <c r="H960">
        <v>25.08</v>
      </c>
      <c r="I960" s="1">
        <v>43031</v>
      </c>
      <c r="J960">
        <v>11.69</v>
      </c>
      <c r="K960" s="1">
        <v>42983</v>
      </c>
      <c r="L960">
        <v>92.251999999999995</v>
      </c>
    </row>
    <row r="961" spans="1:12" x14ac:dyDescent="0.25">
      <c r="A961" s="1">
        <v>43032</v>
      </c>
      <c r="B961">
        <v>11.16</v>
      </c>
      <c r="C961" s="1">
        <v>43032</v>
      </c>
      <c r="D961">
        <v>16.78</v>
      </c>
      <c r="E961" s="1">
        <v>42984</v>
      </c>
      <c r="F961">
        <v>52.918900000000001</v>
      </c>
      <c r="G961" s="1">
        <v>43032</v>
      </c>
      <c r="H961">
        <v>25.6</v>
      </c>
      <c r="I961" s="1">
        <v>43032</v>
      </c>
      <c r="J961">
        <v>11.73</v>
      </c>
      <c r="K961" s="1">
        <v>42984</v>
      </c>
      <c r="L961">
        <v>92.29</v>
      </c>
    </row>
    <row r="962" spans="1:12" x14ac:dyDescent="0.25">
      <c r="A962" s="1">
        <v>43033</v>
      </c>
      <c r="B962">
        <v>11.23</v>
      </c>
      <c r="C962" s="1">
        <v>43033</v>
      </c>
      <c r="D962">
        <v>17.420000000000002</v>
      </c>
      <c r="E962" s="1">
        <v>42985</v>
      </c>
      <c r="F962">
        <v>54.010399999999997</v>
      </c>
      <c r="G962" s="1">
        <v>43033</v>
      </c>
      <c r="H962">
        <v>25.44</v>
      </c>
      <c r="I962" s="1">
        <v>43033</v>
      </c>
      <c r="J962">
        <v>12.02</v>
      </c>
      <c r="K962" s="1">
        <v>42985</v>
      </c>
      <c r="L962">
        <v>91.662999999999997</v>
      </c>
    </row>
    <row r="963" spans="1:12" x14ac:dyDescent="0.25">
      <c r="A963" s="1">
        <v>43034</v>
      </c>
      <c r="B963">
        <v>11.3</v>
      </c>
      <c r="C963" s="1">
        <v>43034</v>
      </c>
      <c r="D963">
        <v>17.68</v>
      </c>
      <c r="E963" s="1">
        <v>42986</v>
      </c>
      <c r="F963">
        <v>54.858800000000002</v>
      </c>
      <c r="G963" s="1">
        <v>43034</v>
      </c>
      <c r="H963">
        <v>25.22</v>
      </c>
      <c r="I963" s="1">
        <v>43034</v>
      </c>
      <c r="J963">
        <v>11.62</v>
      </c>
      <c r="K963" s="1">
        <v>42986</v>
      </c>
      <c r="L963">
        <v>91.352000000000004</v>
      </c>
    </row>
    <row r="964" spans="1:12" x14ac:dyDescent="0.25">
      <c r="A964" s="1">
        <v>43035</v>
      </c>
      <c r="B964">
        <v>9.8000000000000007</v>
      </c>
      <c r="C964" s="1">
        <v>43035</v>
      </c>
      <c r="D964">
        <v>16.53</v>
      </c>
      <c r="E964" s="1">
        <v>42989</v>
      </c>
      <c r="F964">
        <v>51.882300000000001</v>
      </c>
      <c r="G964" s="1">
        <v>43035</v>
      </c>
      <c r="H964">
        <v>25.18</v>
      </c>
      <c r="I964" s="1">
        <v>43035</v>
      </c>
      <c r="J964">
        <v>11.48</v>
      </c>
      <c r="K964" s="1">
        <v>42989</v>
      </c>
      <c r="L964">
        <v>91.875</v>
      </c>
    </row>
    <row r="965" spans="1:12" x14ac:dyDescent="0.25">
      <c r="A965" s="1">
        <v>43038</v>
      </c>
      <c r="B965">
        <v>10.5</v>
      </c>
      <c r="C965" s="1">
        <v>43038</v>
      </c>
      <c r="D965">
        <v>18.170000000000002</v>
      </c>
      <c r="E965" s="1">
        <v>42990</v>
      </c>
      <c r="F965">
        <v>51.645299999999999</v>
      </c>
      <c r="G965" s="1">
        <v>43038</v>
      </c>
      <c r="H965">
        <v>25.33</v>
      </c>
      <c r="I965" s="1">
        <v>43038</v>
      </c>
      <c r="J965">
        <v>11.74</v>
      </c>
      <c r="K965" s="1">
        <v>42990</v>
      </c>
      <c r="L965">
        <v>91.882000000000005</v>
      </c>
    </row>
    <row r="966" spans="1:12" x14ac:dyDescent="0.25">
      <c r="A966" s="1">
        <v>43039</v>
      </c>
      <c r="B966">
        <v>10.18</v>
      </c>
      <c r="C966" s="1">
        <v>43039</v>
      </c>
      <c r="D966">
        <v>17.07</v>
      </c>
      <c r="E966" s="1">
        <v>42991</v>
      </c>
      <c r="F966">
        <v>51.370899999999999</v>
      </c>
      <c r="G966" s="1">
        <v>43039</v>
      </c>
      <c r="H966">
        <v>25.31</v>
      </c>
      <c r="I966" s="1">
        <v>43039</v>
      </c>
      <c r="J966">
        <v>11.81</v>
      </c>
      <c r="K966" s="1">
        <v>42991</v>
      </c>
      <c r="L966">
        <v>92.52</v>
      </c>
    </row>
    <row r="967" spans="1:12" x14ac:dyDescent="0.25">
      <c r="A967" s="1">
        <v>43040</v>
      </c>
      <c r="B967">
        <v>10.199999999999999</v>
      </c>
      <c r="C967" s="1">
        <v>43040</v>
      </c>
      <c r="D967">
        <v>16.489999999999998</v>
      </c>
      <c r="E967" s="1">
        <v>42992</v>
      </c>
      <c r="F967">
        <v>50.728900000000003</v>
      </c>
      <c r="G967" s="1">
        <v>43040</v>
      </c>
      <c r="H967">
        <v>25.65</v>
      </c>
      <c r="I967" s="1">
        <v>43040</v>
      </c>
      <c r="J967">
        <v>11.8</v>
      </c>
      <c r="K967" s="1">
        <v>42992</v>
      </c>
      <c r="L967">
        <v>92.123999999999995</v>
      </c>
    </row>
    <row r="968" spans="1:12" x14ac:dyDescent="0.25">
      <c r="A968" s="1">
        <v>43041</v>
      </c>
      <c r="B968">
        <v>9.93</v>
      </c>
      <c r="C968" s="1">
        <v>43041</v>
      </c>
      <c r="D968">
        <v>15.85</v>
      </c>
      <c r="E968" s="1">
        <v>42993</v>
      </c>
      <c r="F968">
        <v>50.633200000000002</v>
      </c>
      <c r="G968" s="1">
        <v>43041</v>
      </c>
      <c r="H968">
        <v>25.65</v>
      </c>
      <c r="I968" s="1">
        <v>43041</v>
      </c>
      <c r="J968">
        <v>10.95</v>
      </c>
      <c r="K968" s="1">
        <v>42993</v>
      </c>
      <c r="L968">
        <v>91.872</v>
      </c>
    </row>
    <row r="969" spans="1:12" x14ac:dyDescent="0.25">
      <c r="A969" s="1">
        <v>43042</v>
      </c>
      <c r="B969">
        <v>9.14</v>
      </c>
      <c r="C969" s="1">
        <v>43042</v>
      </c>
      <c r="D969">
        <v>16.3</v>
      </c>
      <c r="E969" s="1">
        <v>42996</v>
      </c>
      <c r="F969">
        <v>50.162700000000001</v>
      </c>
      <c r="G969" s="1">
        <v>43042</v>
      </c>
      <c r="H969">
        <v>24.82</v>
      </c>
      <c r="I969" s="1">
        <v>43042</v>
      </c>
      <c r="J969">
        <v>10.65</v>
      </c>
      <c r="K969" s="1">
        <v>42996</v>
      </c>
      <c r="L969">
        <v>92.046999999999997</v>
      </c>
    </row>
    <row r="970" spans="1:12" x14ac:dyDescent="0.25">
      <c r="A970" s="1">
        <v>43045</v>
      </c>
      <c r="B970">
        <v>9.4</v>
      </c>
      <c r="C970" s="1">
        <v>43045</v>
      </c>
      <c r="D970">
        <v>15.99</v>
      </c>
      <c r="E970" s="1">
        <v>42997</v>
      </c>
      <c r="F970">
        <v>49.860500000000002</v>
      </c>
      <c r="G970" s="1">
        <v>43045</v>
      </c>
      <c r="H970">
        <v>26.85</v>
      </c>
      <c r="I970" s="1">
        <v>43045</v>
      </c>
      <c r="J970">
        <v>10.94</v>
      </c>
      <c r="K970" s="1">
        <v>42997</v>
      </c>
      <c r="L970">
        <v>91.793000000000006</v>
      </c>
    </row>
    <row r="971" spans="1:12" x14ac:dyDescent="0.25">
      <c r="A971" s="1">
        <v>43046</v>
      </c>
      <c r="B971">
        <v>9.89</v>
      </c>
      <c r="C971" s="1">
        <v>43046</v>
      </c>
      <c r="D971">
        <v>16.91</v>
      </c>
      <c r="E971" s="1">
        <v>42998</v>
      </c>
      <c r="F971">
        <v>49.153799999999997</v>
      </c>
      <c r="G971" s="1">
        <v>43046</v>
      </c>
      <c r="H971">
        <v>28.75</v>
      </c>
      <c r="I971" s="1">
        <v>43046</v>
      </c>
      <c r="J971">
        <v>10.98</v>
      </c>
      <c r="K971" s="1">
        <v>42998</v>
      </c>
      <c r="L971">
        <v>92.507999999999996</v>
      </c>
    </row>
    <row r="972" spans="1:12" x14ac:dyDescent="0.25">
      <c r="A972" s="1">
        <v>43047</v>
      </c>
      <c r="B972">
        <v>9.7799999999999994</v>
      </c>
      <c r="C972" s="1">
        <v>43047</v>
      </c>
      <c r="D972">
        <v>16.46</v>
      </c>
      <c r="E972" s="1">
        <v>42999</v>
      </c>
      <c r="F972">
        <v>48.312199999999997</v>
      </c>
      <c r="G972" s="1">
        <v>43047</v>
      </c>
      <c r="H972">
        <v>27.99</v>
      </c>
      <c r="I972" s="1">
        <v>43047</v>
      </c>
      <c r="J972">
        <v>11.32</v>
      </c>
      <c r="K972" s="1">
        <v>42999</v>
      </c>
      <c r="L972">
        <v>92.259</v>
      </c>
    </row>
    <row r="973" spans="1:12" x14ac:dyDescent="0.25">
      <c r="A973" s="1">
        <v>43048</v>
      </c>
      <c r="B973">
        <v>10.5</v>
      </c>
      <c r="C973" s="1">
        <v>43048</v>
      </c>
      <c r="D973">
        <v>17.309999999999999</v>
      </c>
      <c r="E973" s="1">
        <v>43000</v>
      </c>
      <c r="F973">
        <v>50.516399999999997</v>
      </c>
      <c r="G973" s="1">
        <v>43048</v>
      </c>
      <c r="H973">
        <v>28.37</v>
      </c>
      <c r="I973" s="1">
        <v>43048</v>
      </c>
      <c r="J973">
        <v>11.73</v>
      </c>
      <c r="K973" s="1">
        <v>43000</v>
      </c>
      <c r="L973">
        <v>92.171000000000006</v>
      </c>
    </row>
    <row r="974" spans="1:12" x14ac:dyDescent="0.25">
      <c r="A974" s="1">
        <v>43049</v>
      </c>
      <c r="B974">
        <v>11.29</v>
      </c>
      <c r="C974" s="1">
        <v>43049</v>
      </c>
      <c r="D974">
        <v>16.73</v>
      </c>
      <c r="E974" s="1">
        <v>43003</v>
      </c>
      <c r="F974">
        <v>51.111899999999999</v>
      </c>
      <c r="G974" s="1">
        <v>43049</v>
      </c>
      <c r="H974">
        <v>29.4</v>
      </c>
      <c r="I974" s="1">
        <v>43049</v>
      </c>
      <c r="J974">
        <v>11.68</v>
      </c>
      <c r="K974" s="1">
        <v>43003</v>
      </c>
      <c r="L974">
        <v>92.647999999999996</v>
      </c>
    </row>
    <row r="975" spans="1:12" x14ac:dyDescent="0.25">
      <c r="A975" s="1">
        <v>43052</v>
      </c>
      <c r="B975">
        <v>11.5</v>
      </c>
      <c r="C975" s="1">
        <v>43052</v>
      </c>
      <c r="D975">
        <v>17.03</v>
      </c>
      <c r="E975" s="1">
        <v>43004</v>
      </c>
      <c r="F975">
        <v>50.636299999999999</v>
      </c>
      <c r="G975" s="1">
        <v>43052</v>
      </c>
      <c r="H975">
        <v>30.22</v>
      </c>
      <c r="I975" s="1">
        <v>43052</v>
      </c>
      <c r="J975">
        <v>11.53</v>
      </c>
      <c r="K975" s="1">
        <v>43004</v>
      </c>
      <c r="L975">
        <v>92.965999999999994</v>
      </c>
    </row>
    <row r="976" spans="1:12" x14ac:dyDescent="0.25">
      <c r="A976" s="1">
        <v>43053</v>
      </c>
      <c r="B976">
        <v>11.59</v>
      </c>
      <c r="C976" s="1">
        <v>43053</v>
      </c>
      <c r="D976">
        <v>17.309999999999999</v>
      </c>
      <c r="E976" s="1">
        <v>43005</v>
      </c>
      <c r="F976">
        <v>52.077800000000003</v>
      </c>
      <c r="G976" s="1">
        <v>43053</v>
      </c>
      <c r="H976">
        <v>30.08</v>
      </c>
      <c r="I976" s="1">
        <v>43053</v>
      </c>
      <c r="J976">
        <v>11.61</v>
      </c>
      <c r="K976" s="1">
        <v>43005</v>
      </c>
      <c r="L976">
        <v>93.361000000000004</v>
      </c>
    </row>
    <row r="977" spans="1:12" x14ac:dyDescent="0.25">
      <c r="A977" s="1">
        <v>43054</v>
      </c>
      <c r="B977">
        <v>13.13</v>
      </c>
      <c r="C977" s="1">
        <v>43054</v>
      </c>
      <c r="D977">
        <v>18.43</v>
      </c>
      <c r="E977" s="1">
        <v>43006</v>
      </c>
      <c r="F977">
        <v>51.8596</v>
      </c>
      <c r="G977" s="1">
        <v>43054</v>
      </c>
      <c r="H977">
        <v>29.84</v>
      </c>
      <c r="I977" s="1">
        <v>43054</v>
      </c>
      <c r="J977">
        <v>11.75</v>
      </c>
      <c r="K977" s="1">
        <v>43006</v>
      </c>
      <c r="L977">
        <v>93.084999999999994</v>
      </c>
    </row>
    <row r="978" spans="1:12" x14ac:dyDescent="0.25">
      <c r="A978" s="1">
        <v>43055</v>
      </c>
      <c r="B978">
        <v>11.76</v>
      </c>
      <c r="C978" s="1">
        <v>43055</v>
      </c>
      <c r="D978">
        <v>17.52</v>
      </c>
      <c r="E978" s="1">
        <v>43007</v>
      </c>
      <c r="F978">
        <v>52.8752</v>
      </c>
      <c r="G978" s="1">
        <v>43055</v>
      </c>
      <c r="H978">
        <v>28.42</v>
      </c>
      <c r="I978" s="1">
        <v>43055</v>
      </c>
      <c r="J978">
        <v>11.02</v>
      </c>
      <c r="K978" s="1">
        <v>43007</v>
      </c>
      <c r="L978">
        <v>93.075999999999993</v>
      </c>
    </row>
    <row r="979" spans="1:12" x14ac:dyDescent="0.25">
      <c r="A979" s="1">
        <v>43056</v>
      </c>
      <c r="B979">
        <v>11.43</v>
      </c>
      <c r="C979" s="1">
        <v>43056</v>
      </c>
      <c r="D979">
        <v>16.32</v>
      </c>
      <c r="E979" s="1">
        <v>43010</v>
      </c>
      <c r="F979">
        <v>54.456899999999997</v>
      </c>
      <c r="G979" s="1">
        <v>43056</v>
      </c>
      <c r="H979">
        <v>26.96</v>
      </c>
      <c r="I979" s="1">
        <v>43056</v>
      </c>
      <c r="J979">
        <v>10.62</v>
      </c>
      <c r="K979" s="1">
        <v>43010</v>
      </c>
      <c r="L979">
        <v>93.558999999999997</v>
      </c>
    </row>
    <row r="980" spans="1:12" x14ac:dyDescent="0.25">
      <c r="A980" s="1">
        <v>43059</v>
      </c>
      <c r="B980">
        <v>10.65</v>
      </c>
      <c r="C980" s="1">
        <v>43059</v>
      </c>
      <c r="D980">
        <v>16.91</v>
      </c>
      <c r="E980" s="1">
        <v>43011</v>
      </c>
      <c r="F980">
        <v>54.595799999999997</v>
      </c>
      <c r="G980" s="1">
        <v>43059</v>
      </c>
      <c r="H980">
        <v>27.18</v>
      </c>
      <c r="I980" s="1">
        <v>43059</v>
      </c>
      <c r="J980">
        <v>11.18</v>
      </c>
      <c r="K980" s="1">
        <v>43011</v>
      </c>
      <c r="L980">
        <v>93.569000000000003</v>
      </c>
    </row>
    <row r="981" spans="1:12" x14ac:dyDescent="0.25">
      <c r="A981" s="1">
        <v>43060</v>
      </c>
      <c r="B981">
        <v>9.73</v>
      </c>
      <c r="C981" s="1">
        <v>43060</v>
      </c>
      <c r="D981">
        <v>16.72</v>
      </c>
      <c r="E981" s="1">
        <v>43012</v>
      </c>
      <c r="F981">
        <v>54.492699999999999</v>
      </c>
      <c r="G981" s="1">
        <v>43060</v>
      </c>
      <c r="H981">
        <v>26.64</v>
      </c>
      <c r="I981" s="1">
        <v>43060</v>
      </c>
      <c r="J981">
        <v>10.84</v>
      </c>
      <c r="K981" s="1">
        <v>43012</v>
      </c>
      <c r="L981">
        <v>93.457999999999998</v>
      </c>
    </row>
    <row r="982" spans="1:12" x14ac:dyDescent="0.25">
      <c r="A982" s="1">
        <v>43061</v>
      </c>
      <c r="B982">
        <v>9.8800000000000008</v>
      </c>
      <c r="C982" s="1">
        <v>43061</v>
      </c>
      <c r="D982">
        <v>16.36</v>
      </c>
      <c r="E982" s="1">
        <v>43013</v>
      </c>
      <c r="F982">
        <v>55.584000000000003</v>
      </c>
      <c r="G982" s="1">
        <v>43061</v>
      </c>
      <c r="H982">
        <v>26.83</v>
      </c>
      <c r="I982" s="1">
        <v>43061</v>
      </c>
      <c r="J982">
        <v>10.75</v>
      </c>
      <c r="K982" s="1">
        <v>43013</v>
      </c>
      <c r="L982">
        <v>93.960999999999999</v>
      </c>
    </row>
    <row r="983" spans="1:12" x14ac:dyDescent="0.25">
      <c r="A983" s="1">
        <v>43063</v>
      </c>
      <c r="B983">
        <v>9.67</v>
      </c>
      <c r="C983" s="1">
        <v>43063</v>
      </c>
      <c r="D983">
        <v>16.37</v>
      </c>
      <c r="E983" s="1">
        <v>43014</v>
      </c>
      <c r="F983">
        <v>54.981499999999997</v>
      </c>
      <c r="G983" s="1">
        <v>43063</v>
      </c>
      <c r="H983">
        <v>26.88</v>
      </c>
      <c r="I983" s="1">
        <v>43063</v>
      </c>
      <c r="J983">
        <v>10.58</v>
      </c>
      <c r="K983" s="1">
        <v>43014</v>
      </c>
      <c r="L983">
        <v>93.8</v>
      </c>
    </row>
    <row r="984" spans="1:12" x14ac:dyDescent="0.25">
      <c r="A984" s="1">
        <v>43066</v>
      </c>
      <c r="B984">
        <v>9.8699999999999992</v>
      </c>
      <c r="C984" s="1">
        <v>43066</v>
      </c>
      <c r="D984">
        <v>17.850000000000001</v>
      </c>
      <c r="E984" s="1">
        <v>43017</v>
      </c>
      <c r="F984">
        <v>54.981499999999997</v>
      </c>
      <c r="G984" s="1">
        <v>43066</v>
      </c>
      <c r="H984">
        <v>28.36</v>
      </c>
      <c r="I984" s="1">
        <v>43066</v>
      </c>
      <c r="J984">
        <v>10.72</v>
      </c>
      <c r="K984" s="1">
        <v>43017</v>
      </c>
      <c r="L984">
        <v>93.674999999999997</v>
      </c>
    </row>
    <row r="985" spans="1:12" x14ac:dyDescent="0.25">
      <c r="A985" s="1">
        <v>43067</v>
      </c>
      <c r="B985">
        <v>10.029999999999999</v>
      </c>
      <c r="C985" s="1">
        <v>43067</v>
      </c>
      <c r="D985">
        <v>17.84</v>
      </c>
      <c r="E985" s="1">
        <v>43018</v>
      </c>
      <c r="F985">
        <v>53.885399999999997</v>
      </c>
      <c r="G985" s="1">
        <v>43067</v>
      </c>
      <c r="H985">
        <v>28.13</v>
      </c>
      <c r="I985" s="1">
        <v>43067</v>
      </c>
      <c r="J985">
        <v>10.64</v>
      </c>
      <c r="K985" s="1">
        <v>43018</v>
      </c>
      <c r="L985">
        <v>93.29</v>
      </c>
    </row>
    <row r="986" spans="1:12" x14ac:dyDescent="0.25">
      <c r="A986" s="1">
        <v>43068</v>
      </c>
      <c r="B986">
        <v>10.7</v>
      </c>
      <c r="C986" s="1">
        <v>43068</v>
      </c>
      <c r="D986">
        <v>18.84</v>
      </c>
      <c r="E986" s="1">
        <v>43019</v>
      </c>
      <c r="F986">
        <v>52.686999999999998</v>
      </c>
      <c r="G986" s="1">
        <v>43068</v>
      </c>
      <c r="H986">
        <v>28.02</v>
      </c>
      <c r="I986" s="1">
        <v>43068</v>
      </c>
      <c r="J986">
        <v>11.02</v>
      </c>
      <c r="K986" s="1">
        <v>43019</v>
      </c>
      <c r="L986">
        <v>93.015000000000001</v>
      </c>
    </row>
    <row r="987" spans="1:12" x14ac:dyDescent="0.25">
      <c r="A987" s="1">
        <v>43069</v>
      </c>
      <c r="B987">
        <v>11.28</v>
      </c>
      <c r="C987" s="1">
        <v>43069</v>
      </c>
      <c r="D987">
        <v>18.920000000000002</v>
      </c>
      <c r="E987" s="1">
        <v>43020</v>
      </c>
      <c r="F987">
        <v>51.822800000000001</v>
      </c>
      <c r="G987" s="1">
        <v>43069</v>
      </c>
      <c r="H987">
        <v>25.95</v>
      </c>
      <c r="I987" s="1">
        <v>43069</v>
      </c>
      <c r="J987">
        <v>11.79</v>
      </c>
      <c r="K987" s="1">
        <v>43020</v>
      </c>
      <c r="L987">
        <v>93.057000000000002</v>
      </c>
    </row>
    <row r="988" spans="1:12" x14ac:dyDescent="0.25">
      <c r="A988" s="1">
        <v>43070</v>
      </c>
      <c r="B988">
        <v>11.43</v>
      </c>
      <c r="C988" s="1">
        <v>43070</v>
      </c>
      <c r="D988">
        <v>19.75</v>
      </c>
      <c r="E988" s="1">
        <v>43021</v>
      </c>
      <c r="F988">
        <v>50.850900000000003</v>
      </c>
      <c r="G988" s="1">
        <v>43070</v>
      </c>
      <c r="H988">
        <v>23.73</v>
      </c>
      <c r="I988" s="1">
        <v>43070</v>
      </c>
      <c r="J988">
        <v>11.39</v>
      </c>
      <c r="K988" s="1">
        <v>43021</v>
      </c>
      <c r="L988">
        <v>93.090999999999994</v>
      </c>
    </row>
    <row r="989" spans="1:12" x14ac:dyDescent="0.25">
      <c r="A989" s="1">
        <v>43073</v>
      </c>
      <c r="B989">
        <v>11.68</v>
      </c>
      <c r="C989" s="1">
        <v>43073</v>
      </c>
      <c r="D989">
        <v>19.09</v>
      </c>
      <c r="E989" s="1">
        <v>43024</v>
      </c>
      <c r="F989">
        <v>49.295499999999997</v>
      </c>
      <c r="G989" s="1">
        <v>43073</v>
      </c>
      <c r="H989">
        <v>23.68</v>
      </c>
      <c r="I989" s="1">
        <v>43073</v>
      </c>
      <c r="J989">
        <v>11.38</v>
      </c>
      <c r="K989" s="1">
        <v>43024</v>
      </c>
      <c r="L989">
        <v>93.311999999999998</v>
      </c>
    </row>
    <row r="990" spans="1:12" x14ac:dyDescent="0.25">
      <c r="A990" s="1">
        <v>43074</v>
      </c>
      <c r="B990">
        <v>11.33</v>
      </c>
      <c r="C990" s="1">
        <v>43074</v>
      </c>
      <c r="D990">
        <v>17.940000000000001</v>
      </c>
      <c r="E990" s="1">
        <v>43025</v>
      </c>
      <c r="F990">
        <v>49.031100000000002</v>
      </c>
      <c r="G990" s="1">
        <v>43074</v>
      </c>
      <c r="H990">
        <v>23.13</v>
      </c>
      <c r="I990" s="1">
        <v>43074</v>
      </c>
      <c r="J990">
        <v>12.28</v>
      </c>
      <c r="K990" s="1">
        <v>43025</v>
      </c>
      <c r="L990">
        <v>93.486000000000004</v>
      </c>
    </row>
    <row r="991" spans="1:12" x14ac:dyDescent="0.25">
      <c r="A991" s="1">
        <v>43075</v>
      </c>
      <c r="B991">
        <v>11.02</v>
      </c>
      <c r="C991" s="1">
        <v>43075</v>
      </c>
      <c r="D991">
        <v>18.98</v>
      </c>
      <c r="E991" s="1">
        <v>43026</v>
      </c>
      <c r="F991">
        <v>50.288699999999999</v>
      </c>
      <c r="G991" s="1">
        <v>43075</v>
      </c>
      <c r="H991">
        <v>23.13</v>
      </c>
      <c r="I991" s="1">
        <v>43075</v>
      </c>
      <c r="J991">
        <v>11.67</v>
      </c>
      <c r="K991" s="1">
        <v>43026</v>
      </c>
      <c r="L991">
        <v>93.363</v>
      </c>
    </row>
    <row r="992" spans="1:12" x14ac:dyDescent="0.25">
      <c r="A992" s="1">
        <v>43076</v>
      </c>
      <c r="B992">
        <v>10.16</v>
      </c>
      <c r="C992" s="1">
        <v>43076</v>
      </c>
      <c r="D992">
        <v>18.14</v>
      </c>
      <c r="E992" s="1">
        <v>43027</v>
      </c>
      <c r="F992">
        <v>51.486800000000002</v>
      </c>
      <c r="G992" s="1">
        <v>43076</v>
      </c>
      <c r="H992">
        <v>23.13</v>
      </c>
      <c r="I992" s="1">
        <v>43076</v>
      </c>
      <c r="J992">
        <v>12.99</v>
      </c>
      <c r="K992" s="1">
        <v>43027</v>
      </c>
      <c r="L992">
        <v>93.266000000000005</v>
      </c>
    </row>
    <row r="993" spans="1:12" x14ac:dyDescent="0.25">
      <c r="A993" s="1">
        <v>43077</v>
      </c>
      <c r="B993">
        <v>9.58</v>
      </c>
      <c r="C993" s="1">
        <v>43077</v>
      </c>
      <c r="D993">
        <v>17.14</v>
      </c>
      <c r="E993" s="1">
        <v>43028</v>
      </c>
      <c r="F993">
        <v>53.9818</v>
      </c>
      <c r="G993" s="1">
        <v>43077</v>
      </c>
      <c r="H993">
        <v>23.85</v>
      </c>
      <c r="I993" s="1">
        <v>43077</v>
      </c>
      <c r="J993">
        <v>11.7</v>
      </c>
      <c r="K993" s="1">
        <v>43028</v>
      </c>
      <c r="L993">
        <v>93.700999999999993</v>
      </c>
    </row>
    <row r="994" spans="1:12" x14ac:dyDescent="0.25">
      <c r="A994" s="1">
        <v>43080</v>
      </c>
      <c r="B994">
        <v>9.34</v>
      </c>
      <c r="C994" s="1">
        <v>43080</v>
      </c>
      <c r="D994">
        <v>15.31</v>
      </c>
      <c r="E994" s="1">
        <v>43031</v>
      </c>
      <c r="F994">
        <v>54.097299999999997</v>
      </c>
      <c r="G994" s="1">
        <v>43080</v>
      </c>
      <c r="H994">
        <v>22.96</v>
      </c>
      <c r="I994" s="1">
        <v>43080</v>
      </c>
      <c r="J994">
        <v>11.46</v>
      </c>
      <c r="K994" s="1">
        <v>43031</v>
      </c>
      <c r="L994">
        <v>93.936000000000007</v>
      </c>
    </row>
    <row r="995" spans="1:12" x14ac:dyDescent="0.25">
      <c r="A995" s="1">
        <v>43081</v>
      </c>
      <c r="B995">
        <v>9.92</v>
      </c>
      <c r="C995" s="1">
        <v>43081</v>
      </c>
      <c r="D995">
        <v>16.88</v>
      </c>
      <c r="E995" s="1">
        <v>43032</v>
      </c>
      <c r="F995">
        <v>55.935400000000001</v>
      </c>
      <c r="G995" s="1">
        <v>43081</v>
      </c>
      <c r="H995">
        <v>22.84</v>
      </c>
      <c r="I995" s="1">
        <v>43081</v>
      </c>
      <c r="J995">
        <v>12.14</v>
      </c>
      <c r="K995" s="1">
        <v>43032</v>
      </c>
      <c r="L995">
        <v>93.772000000000006</v>
      </c>
    </row>
    <row r="996" spans="1:12" x14ac:dyDescent="0.25">
      <c r="A996" s="1">
        <v>43082</v>
      </c>
      <c r="B996">
        <v>10.18</v>
      </c>
      <c r="C996" s="1">
        <v>43082</v>
      </c>
      <c r="D996">
        <v>15.01</v>
      </c>
      <c r="E996" s="1">
        <v>43033</v>
      </c>
      <c r="F996">
        <v>57.357199999999999</v>
      </c>
      <c r="G996" s="1">
        <v>43082</v>
      </c>
      <c r="H996">
        <v>23.49</v>
      </c>
      <c r="I996" s="1">
        <v>43082</v>
      </c>
      <c r="J996">
        <v>10.87</v>
      </c>
      <c r="K996" s="1">
        <v>43033</v>
      </c>
      <c r="L996">
        <v>93.710999999999999</v>
      </c>
    </row>
    <row r="997" spans="1:12" x14ac:dyDescent="0.25">
      <c r="A997" s="1">
        <v>43083</v>
      </c>
      <c r="B997">
        <v>10.49</v>
      </c>
      <c r="C997" s="1">
        <v>43083</v>
      </c>
      <c r="D997">
        <v>15.22</v>
      </c>
      <c r="E997" s="1">
        <v>43034</v>
      </c>
      <c r="F997">
        <v>57.349200000000003</v>
      </c>
      <c r="G997" s="1">
        <v>43083</v>
      </c>
      <c r="H997">
        <v>23</v>
      </c>
      <c r="I997" s="1">
        <v>43083</v>
      </c>
      <c r="J997">
        <v>10.4</v>
      </c>
      <c r="K997" s="1">
        <v>43034</v>
      </c>
      <c r="L997">
        <v>94.611999999999995</v>
      </c>
    </row>
    <row r="998" spans="1:12" x14ac:dyDescent="0.25">
      <c r="A998" s="1">
        <v>43084</v>
      </c>
      <c r="B998">
        <v>9.42</v>
      </c>
      <c r="C998" s="1">
        <v>43084</v>
      </c>
      <c r="D998">
        <v>14.23</v>
      </c>
      <c r="E998" s="1">
        <v>43035</v>
      </c>
      <c r="F998">
        <v>54.672199999999997</v>
      </c>
      <c r="G998" s="1">
        <v>43084</v>
      </c>
      <c r="H998">
        <v>21.25</v>
      </c>
      <c r="I998" s="1">
        <v>43084</v>
      </c>
      <c r="J998">
        <v>9.43</v>
      </c>
      <c r="K998" s="1">
        <v>43035</v>
      </c>
      <c r="L998">
        <v>94.915999999999997</v>
      </c>
    </row>
    <row r="999" spans="1:12" x14ac:dyDescent="0.25">
      <c r="A999" s="1">
        <v>43087</v>
      </c>
      <c r="B999">
        <v>9.5299999999999994</v>
      </c>
      <c r="C999" s="1">
        <v>43087</v>
      </c>
      <c r="D999">
        <v>14.13</v>
      </c>
      <c r="E999" s="1">
        <v>43038</v>
      </c>
      <c r="F999">
        <v>51.689500000000002</v>
      </c>
      <c r="G999" s="1">
        <v>43087</v>
      </c>
      <c r="H999">
        <v>18.43</v>
      </c>
      <c r="I999" s="1">
        <v>43087</v>
      </c>
      <c r="J999">
        <v>9.93</v>
      </c>
      <c r="K999" s="1">
        <v>43038</v>
      </c>
      <c r="L999">
        <v>94.56</v>
      </c>
    </row>
    <row r="1000" spans="1:12" x14ac:dyDescent="0.25">
      <c r="A1000" s="1">
        <v>43088</v>
      </c>
      <c r="B1000">
        <v>10.029999999999999</v>
      </c>
      <c r="C1000" s="1">
        <v>43088</v>
      </c>
      <c r="D1000">
        <v>14.48</v>
      </c>
      <c r="E1000" s="1">
        <v>43039</v>
      </c>
      <c r="F1000">
        <v>51.148499999999999</v>
      </c>
      <c r="G1000" s="1">
        <v>43088</v>
      </c>
      <c r="H1000">
        <v>18.88</v>
      </c>
      <c r="I1000" s="1">
        <v>43088</v>
      </c>
      <c r="J1000">
        <v>10.32</v>
      </c>
      <c r="K1000" s="1">
        <v>43039</v>
      </c>
      <c r="L1000">
        <v>94.552000000000007</v>
      </c>
    </row>
    <row r="1001" spans="1:12" x14ac:dyDescent="0.25">
      <c r="A1001" s="1">
        <v>43089</v>
      </c>
      <c r="B1001">
        <v>9.7200000000000006</v>
      </c>
      <c r="C1001" s="1">
        <v>43089</v>
      </c>
      <c r="D1001">
        <v>14.11</v>
      </c>
      <c r="E1001" s="1">
        <v>43040</v>
      </c>
      <c r="F1001">
        <v>49.935099999999998</v>
      </c>
      <c r="G1001" s="1">
        <v>43089</v>
      </c>
      <c r="H1001">
        <v>19.46</v>
      </c>
      <c r="I1001" s="1">
        <v>43089</v>
      </c>
      <c r="J1001">
        <v>9.7899999999999991</v>
      </c>
      <c r="K1001" s="1">
        <v>43040</v>
      </c>
      <c r="L1001">
        <v>94.814999999999998</v>
      </c>
    </row>
    <row r="1002" spans="1:12" x14ac:dyDescent="0.25">
      <c r="A1002" s="1">
        <v>43090</v>
      </c>
      <c r="B1002">
        <v>9.6199999999999992</v>
      </c>
      <c r="C1002" s="1">
        <v>43090</v>
      </c>
      <c r="D1002">
        <v>13.49</v>
      </c>
      <c r="E1002" s="1">
        <v>43041</v>
      </c>
      <c r="F1002">
        <v>48.730400000000003</v>
      </c>
      <c r="G1002" s="1">
        <v>43090</v>
      </c>
      <c r="H1002">
        <v>17.86</v>
      </c>
      <c r="I1002" s="1">
        <v>43090</v>
      </c>
      <c r="J1002">
        <v>9.64</v>
      </c>
      <c r="K1002" s="1">
        <v>43041</v>
      </c>
      <c r="L1002">
        <v>94.685000000000002</v>
      </c>
    </row>
    <row r="1003" spans="1:12" x14ac:dyDescent="0.25">
      <c r="A1003" s="1">
        <v>43091</v>
      </c>
      <c r="B1003">
        <v>9.9</v>
      </c>
      <c r="C1003" s="1">
        <v>43091</v>
      </c>
      <c r="D1003">
        <v>13.66</v>
      </c>
      <c r="E1003" s="1">
        <v>43042</v>
      </c>
      <c r="F1003">
        <v>45.83</v>
      </c>
      <c r="G1003" s="1">
        <v>43091</v>
      </c>
      <c r="H1003">
        <v>19.260000000000002</v>
      </c>
      <c r="I1003" s="1">
        <v>43091</v>
      </c>
      <c r="J1003">
        <v>10.01</v>
      </c>
      <c r="K1003" s="1">
        <v>43042</v>
      </c>
      <c r="L1003">
        <v>94.941000000000003</v>
      </c>
    </row>
    <row r="1004" spans="1:12" x14ac:dyDescent="0.25">
      <c r="A1004" s="1">
        <v>43095</v>
      </c>
      <c r="B1004">
        <v>10.25</v>
      </c>
      <c r="C1004" s="1">
        <v>43095</v>
      </c>
      <c r="D1004">
        <v>14.71</v>
      </c>
      <c r="E1004" s="1">
        <v>43045</v>
      </c>
      <c r="F1004">
        <v>45.046900000000001</v>
      </c>
      <c r="G1004" s="1">
        <v>43095</v>
      </c>
      <c r="H1004">
        <v>20.99</v>
      </c>
      <c r="I1004" s="1">
        <v>43095</v>
      </c>
      <c r="J1004">
        <v>11.17</v>
      </c>
      <c r="K1004" s="1">
        <v>43045</v>
      </c>
      <c r="L1004">
        <v>94.757000000000005</v>
      </c>
    </row>
    <row r="1005" spans="1:12" x14ac:dyDescent="0.25">
      <c r="A1005" s="1">
        <v>43096</v>
      </c>
      <c r="B1005">
        <v>10.47</v>
      </c>
      <c r="C1005" s="1">
        <v>43096</v>
      </c>
      <c r="D1005">
        <v>14.62</v>
      </c>
      <c r="E1005" s="1">
        <v>43046</v>
      </c>
      <c r="F1005">
        <v>44.198599999999999</v>
      </c>
      <c r="G1005" s="1">
        <v>43096</v>
      </c>
      <c r="H1005">
        <v>20.64</v>
      </c>
      <c r="I1005" s="1">
        <v>43096</v>
      </c>
      <c r="J1005">
        <v>10.73</v>
      </c>
      <c r="K1005" s="1">
        <v>43046</v>
      </c>
      <c r="L1005">
        <v>94.912999999999997</v>
      </c>
    </row>
    <row r="1006" spans="1:12" x14ac:dyDescent="0.25">
      <c r="A1006" s="1">
        <v>43097</v>
      </c>
      <c r="B1006">
        <v>10.18</v>
      </c>
      <c r="C1006" s="1">
        <v>43097</v>
      </c>
      <c r="D1006">
        <v>15.56</v>
      </c>
      <c r="E1006" s="1">
        <v>43047</v>
      </c>
      <c r="F1006">
        <v>43.965600000000002</v>
      </c>
      <c r="G1006" s="1">
        <v>43097</v>
      </c>
      <c r="H1006">
        <v>20.71</v>
      </c>
      <c r="I1006" s="1">
        <v>43097</v>
      </c>
      <c r="J1006">
        <v>10.43</v>
      </c>
      <c r="K1006" s="1">
        <v>43047</v>
      </c>
      <c r="L1006">
        <v>94.866</v>
      </c>
    </row>
    <row r="1007" spans="1:12" x14ac:dyDescent="0.25">
      <c r="A1007" s="1">
        <v>43098</v>
      </c>
      <c r="B1007">
        <v>11.04</v>
      </c>
      <c r="C1007" s="1">
        <v>43098</v>
      </c>
      <c r="D1007">
        <v>16.25</v>
      </c>
      <c r="E1007" s="1">
        <v>43048</v>
      </c>
      <c r="F1007">
        <v>44.990099999999998</v>
      </c>
      <c r="G1007" s="1">
        <v>43098</v>
      </c>
      <c r="H1007">
        <v>21.32</v>
      </c>
      <c r="I1007" s="1">
        <v>43098</v>
      </c>
      <c r="J1007">
        <v>10.96</v>
      </c>
      <c r="K1007" s="1">
        <v>43048</v>
      </c>
      <c r="L1007">
        <v>94.444000000000003</v>
      </c>
    </row>
    <row r="1008" spans="1:12" x14ac:dyDescent="0.25">
      <c r="A1008" s="1">
        <v>43102</v>
      </c>
      <c r="B1008">
        <v>9.77</v>
      </c>
      <c r="C1008" s="1">
        <v>43102</v>
      </c>
      <c r="D1008">
        <v>16.64</v>
      </c>
      <c r="E1008" s="1">
        <v>43049</v>
      </c>
      <c r="F1008">
        <v>47.288800000000002</v>
      </c>
      <c r="G1008" s="1">
        <v>43102</v>
      </c>
      <c r="H1008">
        <v>22.73</v>
      </c>
      <c r="I1008" s="1">
        <v>43102</v>
      </c>
      <c r="J1008">
        <v>11.96</v>
      </c>
      <c r="K1008" s="1">
        <v>43049</v>
      </c>
      <c r="L1008">
        <v>94.391000000000005</v>
      </c>
    </row>
    <row r="1009" spans="1:12" x14ac:dyDescent="0.25">
      <c r="A1009" s="1">
        <v>43103</v>
      </c>
      <c r="B1009">
        <v>9.15</v>
      </c>
      <c r="C1009" s="1">
        <v>43103</v>
      </c>
      <c r="D1009">
        <v>15.88</v>
      </c>
      <c r="E1009" s="1">
        <v>43052</v>
      </c>
      <c r="F1009">
        <v>46.385300000000001</v>
      </c>
      <c r="G1009" s="1">
        <v>43103</v>
      </c>
      <c r="H1009">
        <v>22.75</v>
      </c>
      <c r="I1009" s="1">
        <v>43103</v>
      </c>
      <c r="J1009">
        <v>11.56</v>
      </c>
      <c r="K1009" s="1">
        <v>43052</v>
      </c>
      <c r="L1009">
        <v>94.49</v>
      </c>
    </row>
    <row r="1010" spans="1:12" x14ac:dyDescent="0.25">
      <c r="A1010" s="1">
        <v>43104</v>
      </c>
      <c r="B1010">
        <v>9.2200000000000006</v>
      </c>
      <c r="C1010" s="1">
        <v>43104</v>
      </c>
      <c r="D1010">
        <v>16.04</v>
      </c>
      <c r="E1010" s="1">
        <v>43053</v>
      </c>
      <c r="F1010">
        <v>47.7729</v>
      </c>
      <c r="G1010" s="1">
        <v>43104</v>
      </c>
      <c r="H1010">
        <v>22.12</v>
      </c>
      <c r="I1010" s="1">
        <v>43104</v>
      </c>
      <c r="J1010">
        <v>11.8</v>
      </c>
      <c r="K1010" s="1">
        <v>43053</v>
      </c>
      <c r="L1010">
        <v>93.826999999999998</v>
      </c>
    </row>
    <row r="1011" spans="1:12" x14ac:dyDescent="0.25">
      <c r="A1011" s="1">
        <v>43105</v>
      </c>
      <c r="B1011">
        <v>9.2200000000000006</v>
      </c>
      <c r="C1011" s="1">
        <v>43105</v>
      </c>
      <c r="D1011">
        <v>15.84</v>
      </c>
      <c r="E1011" s="1">
        <v>43054</v>
      </c>
      <c r="F1011">
        <v>47.997799999999998</v>
      </c>
      <c r="G1011" s="1">
        <v>43105</v>
      </c>
      <c r="H1011">
        <v>22.3</v>
      </c>
      <c r="I1011" s="1">
        <v>43105</v>
      </c>
      <c r="J1011">
        <v>11.26</v>
      </c>
      <c r="K1011" s="1">
        <v>43054</v>
      </c>
      <c r="L1011">
        <v>93.813000000000002</v>
      </c>
    </row>
    <row r="1012" spans="1:12" x14ac:dyDescent="0.25">
      <c r="A1012" s="1">
        <v>43108</v>
      </c>
      <c r="B1012">
        <v>9.52</v>
      </c>
      <c r="C1012" s="1">
        <v>43108</v>
      </c>
      <c r="D1012">
        <v>16.059999999999999</v>
      </c>
      <c r="E1012" s="1">
        <v>43055</v>
      </c>
      <c r="F1012">
        <v>47.742100000000001</v>
      </c>
      <c r="G1012" s="1">
        <v>43108</v>
      </c>
      <c r="H1012">
        <v>21.9</v>
      </c>
      <c r="I1012" s="1">
        <v>43108</v>
      </c>
      <c r="J1012">
        <v>11.19</v>
      </c>
      <c r="K1012" s="1">
        <v>43055</v>
      </c>
      <c r="L1012">
        <v>93.932000000000002</v>
      </c>
    </row>
    <row r="1013" spans="1:12" x14ac:dyDescent="0.25">
      <c r="A1013" s="1">
        <v>43109</v>
      </c>
      <c r="B1013">
        <v>10.08</v>
      </c>
      <c r="C1013" s="1">
        <v>43109</v>
      </c>
      <c r="D1013">
        <v>16.59</v>
      </c>
      <c r="E1013" s="1">
        <v>43056</v>
      </c>
      <c r="F1013">
        <v>49.087899999999998</v>
      </c>
      <c r="G1013" s="1">
        <v>43109</v>
      </c>
      <c r="H1013">
        <v>22.96</v>
      </c>
      <c r="I1013" s="1">
        <v>43109</v>
      </c>
      <c r="J1013">
        <v>10.79</v>
      </c>
      <c r="K1013" s="1">
        <v>43056</v>
      </c>
      <c r="L1013">
        <v>93.662000000000006</v>
      </c>
    </row>
    <row r="1014" spans="1:12" x14ac:dyDescent="0.25">
      <c r="A1014" s="1">
        <v>43110</v>
      </c>
      <c r="B1014">
        <v>9.82</v>
      </c>
      <c r="C1014" s="1">
        <v>43110</v>
      </c>
      <c r="D1014">
        <v>16.53</v>
      </c>
      <c r="E1014" s="1">
        <v>43059</v>
      </c>
      <c r="F1014">
        <v>48.097000000000001</v>
      </c>
      <c r="G1014" s="1">
        <v>43110</v>
      </c>
      <c r="H1014">
        <v>23.52</v>
      </c>
      <c r="I1014" s="1">
        <v>43110</v>
      </c>
      <c r="J1014">
        <v>10.79</v>
      </c>
      <c r="K1014" s="1">
        <v>43059</v>
      </c>
      <c r="L1014">
        <v>94.08</v>
      </c>
    </row>
    <row r="1015" spans="1:12" x14ac:dyDescent="0.25">
      <c r="A1015" s="1">
        <v>43111</v>
      </c>
      <c r="B1015">
        <v>9.8800000000000008</v>
      </c>
      <c r="C1015" s="1">
        <v>43111</v>
      </c>
      <c r="D1015">
        <v>15.44</v>
      </c>
      <c r="E1015" s="1">
        <v>43060</v>
      </c>
      <c r="F1015">
        <v>48.089500000000001</v>
      </c>
      <c r="G1015" s="1">
        <v>43111</v>
      </c>
      <c r="H1015">
        <v>23.52</v>
      </c>
      <c r="I1015" s="1">
        <v>43111</v>
      </c>
      <c r="J1015">
        <v>10.96</v>
      </c>
      <c r="K1015" s="1">
        <v>43060</v>
      </c>
      <c r="L1015">
        <v>93.951999999999998</v>
      </c>
    </row>
    <row r="1016" spans="1:12" x14ac:dyDescent="0.25">
      <c r="A1016" s="1">
        <v>43112</v>
      </c>
      <c r="B1016">
        <v>10.16</v>
      </c>
      <c r="C1016" s="1">
        <v>43112</v>
      </c>
      <c r="D1016">
        <v>15.25</v>
      </c>
      <c r="E1016" s="1">
        <v>43061</v>
      </c>
      <c r="F1016">
        <v>46.875399999999999</v>
      </c>
      <c r="G1016" s="1">
        <v>43112</v>
      </c>
      <c r="H1016">
        <v>23.52</v>
      </c>
      <c r="I1016" s="1">
        <v>43112</v>
      </c>
      <c r="J1016">
        <v>11.62</v>
      </c>
      <c r="K1016" s="1">
        <v>43061</v>
      </c>
      <c r="L1016">
        <v>93.22</v>
      </c>
    </row>
    <row r="1017" spans="1:12" x14ac:dyDescent="0.25">
      <c r="A1017" s="1">
        <v>43116</v>
      </c>
      <c r="B1017">
        <v>11.66</v>
      </c>
      <c r="C1017" s="1">
        <v>43116</v>
      </c>
      <c r="D1017">
        <v>16.420000000000002</v>
      </c>
      <c r="E1017" s="1">
        <v>43062</v>
      </c>
      <c r="F1017">
        <v>46.875399999999999</v>
      </c>
      <c r="G1017" s="1">
        <v>43116</v>
      </c>
      <c r="H1017">
        <v>26.41</v>
      </c>
      <c r="I1017" s="1">
        <v>43116</v>
      </c>
      <c r="J1017">
        <v>12.09</v>
      </c>
      <c r="K1017" s="1">
        <v>43062</v>
      </c>
      <c r="L1017">
        <v>93.22</v>
      </c>
    </row>
    <row r="1018" spans="1:12" x14ac:dyDescent="0.25">
      <c r="A1018" s="1">
        <v>43117</v>
      </c>
      <c r="B1018">
        <v>11.91</v>
      </c>
      <c r="C1018" s="1">
        <v>43117</v>
      </c>
      <c r="D1018">
        <v>16.98</v>
      </c>
      <c r="E1018" s="1">
        <v>43063</v>
      </c>
      <c r="F1018">
        <v>46.160699999999999</v>
      </c>
      <c r="G1018" s="1">
        <v>43117</v>
      </c>
      <c r="H1018">
        <v>24.7</v>
      </c>
      <c r="I1018" s="1">
        <v>43117</v>
      </c>
      <c r="J1018">
        <v>11.77</v>
      </c>
      <c r="K1018" s="1">
        <v>43063</v>
      </c>
      <c r="L1018">
        <v>92.781999999999996</v>
      </c>
    </row>
    <row r="1019" spans="1:12" x14ac:dyDescent="0.25">
      <c r="A1019" s="1">
        <v>43118</v>
      </c>
      <c r="B1019">
        <v>12.22</v>
      </c>
      <c r="C1019" s="1">
        <v>43118</v>
      </c>
      <c r="D1019">
        <v>16.89</v>
      </c>
      <c r="E1019" s="1">
        <v>43066</v>
      </c>
      <c r="F1019">
        <v>45.292200000000001</v>
      </c>
      <c r="G1019" s="1">
        <v>43118</v>
      </c>
      <c r="H1019">
        <v>24.38</v>
      </c>
      <c r="I1019" s="1">
        <v>43118</v>
      </c>
      <c r="J1019">
        <v>12.26</v>
      </c>
      <c r="K1019" s="1">
        <v>43066</v>
      </c>
      <c r="L1019">
        <v>92.903999999999996</v>
      </c>
    </row>
    <row r="1020" spans="1:12" x14ac:dyDescent="0.25">
      <c r="A1020" s="1">
        <v>43119</v>
      </c>
      <c r="B1020">
        <v>11.27</v>
      </c>
      <c r="C1020" s="1">
        <v>43119</v>
      </c>
      <c r="D1020">
        <v>16.5</v>
      </c>
      <c r="E1020" s="1">
        <v>43067</v>
      </c>
      <c r="F1020">
        <v>44.932099999999998</v>
      </c>
      <c r="G1020" s="1">
        <v>43119</v>
      </c>
      <c r="H1020">
        <v>21.2</v>
      </c>
      <c r="I1020" s="1">
        <v>43119</v>
      </c>
      <c r="J1020">
        <v>11.43</v>
      </c>
      <c r="K1020" s="1">
        <v>43067</v>
      </c>
      <c r="L1020">
        <v>93.27</v>
      </c>
    </row>
    <row r="1021" spans="1:12" x14ac:dyDescent="0.25">
      <c r="A1021" s="1">
        <v>43122</v>
      </c>
      <c r="B1021">
        <v>11.03</v>
      </c>
      <c r="C1021" s="1">
        <v>43122</v>
      </c>
      <c r="D1021">
        <v>16.8</v>
      </c>
      <c r="E1021" s="1">
        <v>43068</v>
      </c>
      <c r="F1021">
        <v>45.535499999999999</v>
      </c>
      <c r="G1021" s="1">
        <v>43122</v>
      </c>
      <c r="H1021">
        <v>22.03</v>
      </c>
      <c r="I1021" s="1">
        <v>43122</v>
      </c>
      <c r="J1021">
        <v>11.66</v>
      </c>
      <c r="K1021" s="1">
        <v>43068</v>
      </c>
      <c r="L1021">
        <v>93.164000000000001</v>
      </c>
    </row>
    <row r="1022" spans="1:12" x14ac:dyDescent="0.25">
      <c r="A1022" s="1">
        <v>43123</v>
      </c>
      <c r="B1022">
        <v>11.1</v>
      </c>
      <c r="C1022" s="1">
        <v>43123</v>
      </c>
      <c r="D1022">
        <v>17.45</v>
      </c>
      <c r="E1022" s="1">
        <v>43069</v>
      </c>
      <c r="F1022">
        <v>46.827100000000002</v>
      </c>
      <c r="G1022" s="1">
        <v>43123</v>
      </c>
      <c r="H1022">
        <v>22.34</v>
      </c>
      <c r="I1022" s="1">
        <v>43123</v>
      </c>
      <c r="J1022">
        <v>11.72</v>
      </c>
      <c r="K1022" s="1">
        <v>43069</v>
      </c>
      <c r="L1022">
        <v>93.046999999999997</v>
      </c>
    </row>
    <row r="1023" spans="1:12" x14ac:dyDescent="0.25">
      <c r="A1023" s="1">
        <v>43124</v>
      </c>
      <c r="B1023">
        <v>11.47</v>
      </c>
      <c r="C1023" s="1">
        <v>43124</v>
      </c>
      <c r="D1023">
        <v>17.579999999999998</v>
      </c>
      <c r="E1023" s="1">
        <v>43070</v>
      </c>
      <c r="F1023">
        <v>50.170400000000001</v>
      </c>
      <c r="G1023" s="1">
        <v>43124</v>
      </c>
      <c r="H1023">
        <v>23.93</v>
      </c>
      <c r="I1023" s="1">
        <v>43124</v>
      </c>
      <c r="J1023">
        <v>13.38</v>
      </c>
      <c r="K1023" s="1">
        <v>43070</v>
      </c>
      <c r="L1023">
        <v>92.885000000000005</v>
      </c>
    </row>
    <row r="1024" spans="1:12" x14ac:dyDescent="0.25">
      <c r="A1024" s="1">
        <v>43125</v>
      </c>
      <c r="B1024">
        <v>11.58</v>
      </c>
      <c r="C1024" s="1">
        <v>43125</v>
      </c>
      <c r="D1024">
        <v>19.18</v>
      </c>
      <c r="E1024" s="1">
        <v>43073</v>
      </c>
      <c r="F1024">
        <v>48.761299999999999</v>
      </c>
      <c r="G1024" s="1">
        <v>43125</v>
      </c>
      <c r="H1024">
        <v>22.35</v>
      </c>
      <c r="I1024" s="1">
        <v>43125</v>
      </c>
      <c r="J1024">
        <v>13.04</v>
      </c>
      <c r="K1024" s="1">
        <v>43073</v>
      </c>
      <c r="L1024">
        <v>93.188000000000002</v>
      </c>
    </row>
    <row r="1025" spans="1:12" x14ac:dyDescent="0.25">
      <c r="A1025" s="1">
        <v>43126</v>
      </c>
      <c r="B1025">
        <v>11.08</v>
      </c>
      <c r="C1025" s="1">
        <v>43126</v>
      </c>
      <c r="D1025">
        <v>18.920000000000002</v>
      </c>
      <c r="E1025" s="1">
        <v>43074</v>
      </c>
      <c r="F1025">
        <v>49.237299999999998</v>
      </c>
      <c r="G1025" s="1">
        <v>43126</v>
      </c>
      <c r="H1025">
        <v>22.29</v>
      </c>
      <c r="I1025" s="1">
        <v>43126</v>
      </c>
      <c r="J1025">
        <v>12.98</v>
      </c>
      <c r="K1025" s="1">
        <v>43074</v>
      </c>
      <c r="L1025">
        <v>93.379000000000005</v>
      </c>
    </row>
    <row r="1026" spans="1:12" x14ac:dyDescent="0.25">
      <c r="A1026" s="1">
        <v>43129</v>
      </c>
      <c r="B1026">
        <v>13.84</v>
      </c>
      <c r="C1026" s="1">
        <v>43129</v>
      </c>
      <c r="D1026">
        <v>20.79</v>
      </c>
      <c r="E1026" s="1">
        <v>43075</v>
      </c>
      <c r="F1026">
        <v>49.321800000000003</v>
      </c>
      <c r="G1026" s="1">
        <v>43129</v>
      </c>
      <c r="H1026">
        <v>22.73</v>
      </c>
      <c r="I1026" s="1">
        <v>43129</v>
      </c>
      <c r="J1026">
        <v>13.25</v>
      </c>
      <c r="K1026" s="1">
        <v>43075</v>
      </c>
      <c r="L1026">
        <v>93.61</v>
      </c>
    </row>
    <row r="1027" spans="1:12" x14ac:dyDescent="0.25">
      <c r="A1027" s="1">
        <v>43130</v>
      </c>
      <c r="B1027">
        <v>14.79</v>
      </c>
      <c r="C1027" s="1">
        <v>43130</v>
      </c>
      <c r="D1027">
        <v>21.3</v>
      </c>
      <c r="E1027" s="1">
        <v>43076</v>
      </c>
      <c r="F1027">
        <v>49.235799999999998</v>
      </c>
      <c r="G1027" s="1">
        <v>43130</v>
      </c>
      <c r="H1027">
        <v>22.9</v>
      </c>
      <c r="I1027" s="1">
        <v>43130</v>
      </c>
      <c r="J1027">
        <v>13.86</v>
      </c>
      <c r="K1027" s="1">
        <v>43076</v>
      </c>
      <c r="L1027">
        <v>93.795000000000002</v>
      </c>
    </row>
    <row r="1028" spans="1:12" x14ac:dyDescent="0.25">
      <c r="A1028" s="1">
        <v>43131</v>
      </c>
      <c r="B1028">
        <v>13.54</v>
      </c>
      <c r="C1028" s="1">
        <v>43131</v>
      </c>
      <c r="D1028">
        <v>20.66</v>
      </c>
      <c r="E1028" s="1">
        <v>43077</v>
      </c>
      <c r="F1028">
        <v>47.492199999999997</v>
      </c>
      <c r="G1028" s="1">
        <v>43131</v>
      </c>
      <c r="H1028">
        <v>22.23</v>
      </c>
      <c r="I1028" s="1">
        <v>43131</v>
      </c>
      <c r="J1028">
        <v>12.97</v>
      </c>
      <c r="K1028" s="1">
        <v>43077</v>
      </c>
      <c r="L1028">
        <v>93.900999999999996</v>
      </c>
    </row>
    <row r="1029" spans="1:12" x14ac:dyDescent="0.25">
      <c r="A1029" s="1">
        <v>43132</v>
      </c>
      <c r="B1029">
        <v>13.47</v>
      </c>
      <c r="C1029" s="1">
        <v>43132</v>
      </c>
      <c r="D1029">
        <v>19.95</v>
      </c>
      <c r="E1029" s="1">
        <v>43080</v>
      </c>
      <c r="F1029">
        <v>46.572099999999999</v>
      </c>
      <c r="G1029" s="1">
        <v>43132</v>
      </c>
      <c r="H1029">
        <v>22.24</v>
      </c>
      <c r="I1029" s="1">
        <v>43132</v>
      </c>
      <c r="J1029">
        <v>12.32</v>
      </c>
      <c r="K1029" s="1">
        <v>43080</v>
      </c>
      <c r="L1029">
        <v>93.866</v>
      </c>
    </row>
    <row r="1030" spans="1:12" x14ac:dyDescent="0.25">
      <c r="A1030" s="1">
        <v>43133</v>
      </c>
      <c r="B1030">
        <v>17.309999999999999</v>
      </c>
      <c r="C1030" s="1">
        <v>43133</v>
      </c>
      <c r="D1030">
        <v>23.13</v>
      </c>
      <c r="E1030" s="1">
        <v>43081</v>
      </c>
      <c r="F1030">
        <v>46.746600000000001</v>
      </c>
      <c r="G1030" s="1">
        <v>43133</v>
      </c>
      <c r="H1030">
        <v>23.8</v>
      </c>
      <c r="I1030" s="1">
        <v>43133</v>
      </c>
      <c r="J1030">
        <v>13.11</v>
      </c>
      <c r="K1030" s="1">
        <v>43081</v>
      </c>
      <c r="L1030">
        <v>94.100999999999999</v>
      </c>
    </row>
    <row r="1031" spans="1:12" x14ac:dyDescent="0.25">
      <c r="A1031" s="1">
        <v>43136</v>
      </c>
      <c r="B1031">
        <v>37.32</v>
      </c>
      <c r="C1031" s="1">
        <v>43136</v>
      </c>
      <c r="D1031">
        <v>28.06</v>
      </c>
      <c r="E1031" s="1">
        <v>43082</v>
      </c>
      <c r="F1031">
        <v>45.034799999999997</v>
      </c>
      <c r="G1031" s="1">
        <v>43136</v>
      </c>
      <c r="H1031">
        <v>25.91</v>
      </c>
      <c r="I1031" s="1">
        <v>43136</v>
      </c>
      <c r="J1031">
        <v>14.35</v>
      </c>
      <c r="K1031" s="1">
        <v>43082</v>
      </c>
      <c r="L1031">
        <v>93.429000000000002</v>
      </c>
    </row>
    <row r="1032" spans="1:12" x14ac:dyDescent="0.25">
      <c r="A1032" s="1">
        <v>43137</v>
      </c>
      <c r="B1032">
        <v>29.98</v>
      </c>
      <c r="C1032" s="1">
        <v>43137</v>
      </c>
      <c r="D1032">
        <v>25.58</v>
      </c>
      <c r="E1032" s="1">
        <v>43083</v>
      </c>
      <c r="F1032">
        <v>44.835700000000003</v>
      </c>
      <c r="G1032" s="1">
        <v>43137</v>
      </c>
      <c r="H1032">
        <v>26.59</v>
      </c>
      <c r="I1032" s="1">
        <v>43137</v>
      </c>
      <c r="J1032">
        <v>13.8</v>
      </c>
      <c r="K1032" s="1">
        <v>43083</v>
      </c>
      <c r="L1032">
        <v>93.489000000000004</v>
      </c>
    </row>
    <row r="1033" spans="1:12" x14ac:dyDescent="0.25">
      <c r="A1033" s="1">
        <v>43138</v>
      </c>
      <c r="B1033">
        <v>27.73</v>
      </c>
      <c r="C1033" s="1">
        <v>43138</v>
      </c>
      <c r="D1033">
        <v>27.42</v>
      </c>
      <c r="E1033" s="1">
        <v>43084</v>
      </c>
      <c r="F1033">
        <v>46.433799999999998</v>
      </c>
      <c r="G1033" s="1">
        <v>43138</v>
      </c>
      <c r="H1033">
        <v>26.79</v>
      </c>
      <c r="I1033" s="1">
        <v>43138</v>
      </c>
      <c r="J1033">
        <v>13.62</v>
      </c>
      <c r="K1033" s="1">
        <v>43084</v>
      </c>
      <c r="L1033">
        <v>93.932000000000002</v>
      </c>
    </row>
    <row r="1034" spans="1:12" x14ac:dyDescent="0.25">
      <c r="A1034" s="1">
        <v>43139</v>
      </c>
      <c r="B1034">
        <v>33.46</v>
      </c>
      <c r="C1034" s="1">
        <v>43139</v>
      </c>
      <c r="D1034">
        <v>35.72</v>
      </c>
      <c r="E1034" s="1">
        <v>43087</v>
      </c>
      <c r="F1034">
        <v>46.727499999999999</v>
      </c>
      <c r="G1034" s="1">
        <v>43139</v>
      </c>
      <c r="H1034">
        <v>29.5</v>
      </c>
      <c r="I1034" s="1">
        <v>43139</v>
      </c>
      <c r="J1034">
        <v>14.85</v>
      </c>
      <c r="K1034" s="1">
        <v>43087</v>
      </c>
      <c r="L1034">
        <v>93.694999999999993</v>
      </c>
    </row>
    <row r="1035" spans="1:12" x14ac:dyDescent="0.25">
      <c r="A1035" s="1">
        <v>43140</v>
      </c>
      <c r="B1035">
        <v>29.06</v>
      </c>
      <c r="C1035" s="1">
        <v>43140</v>
      </c>
      <c r="D1035">
        <v>31.92</v>
      </c>
      <c r="E1035" s="1">
        <v>43088</v>
      </c>
      <c r="F1035">
        <v>48.957700000000003</v>
      </c>
      <c r="G1035" s="1">
        <v>43140</v>
      </c>
      <c r="H1035">
        <v>29.85</v>
      </c>
      <c r="I1035" s="1">
        <v>43140</v>
      </c>
      <c r="J1035">
        <v>14.93</v>
      </c>
      <c r="K1035" s="1">
        <v>43088</v>
      </c>
      <c r="L1035">
        <v>93.441000000000003</v>
      </c>
    </row>
    <row r="1036" spans="1:12" x14ac:dyDescent="0.25">
      <c r="A1036" s="1">
        <v>43143</v>
      </c>
      <c r="B1036">
        <v>25.61</v>
      </c>
      <c r="C1036" s="1">
        <v>43143</v>
      </c>
      <c r="D1036">
        <v>27.74</v>
      </c>
      <c r="E1036" s="1">
        <v>43089</v>
      </c>
      <c r="F1036">
        <v>49.953899999999997</v>
      </c>
      <c r="G1036" s="1">
        <v>43143</v>
      </c>
      <c r="H1036">
        <v>29.42</v>
      </c>
      <c r="I1036" s="1">
        <v>43143</v>
      </c>
      <c r="J1036">
        <v>14.37</v>
      </c>
      <c r="K1036" s="1">
        <v>43089</v>
      </c>
      <c r="L1036">
        <v>93.313000000000002</v>
      </c>
    </row>
    <row r="1037" spans="1:12" x14ac:dyDescent="0.25">
      <c r="A1037" s="1">
        <v>43144</v>
      </c>
      <c r="B1037">
        <v>24.97</v>
      </c>
      <c r="C1037" s="1">
        <v>43144</v>
      </c>
      <c r="D1037">
        <v>26.3</v>
      </c>
      <c r="E1037" s="1">
        <v>43090</v>
      </c>
      <c r="F1037">
        <v>51.603499999999997</v>
      </c>
      <c r="G1037" s="1">
        <v>43144</v>
      </c>
      <c r="H1037">
        <v>30.39</v>
      </c>
      <c r="I1037" s="1">
        <v>43144</v>
      </c>
      <c r="J1037">
        <v>14.07</v>
      </c>
      <c r="K1037" s="1">
        <v>43090</v>
      </c>
      <c r="L1037">
        <v>93.278000000000006</v>
      </c>
    </row>
    <row r="1038" spans="1:12" x14ac:dyDescent="0.25">
      <c r="A1038" s="1">
        <v>43145</v>
      </c>
      <c r="B1038">
        <v>19.260000000000002</v>
      </c>
      <c r="C1038" s="1">
        <v>43145</v>
      </c>
      <c r="D1038">
        <v>22.49</v>
      </c>
      <c r="E1038" s="1">
        <v>43091</v>
      </c>
      <c r="F1038">
        <v>50.380299999999998</v>
      </c>
      <c r="G1038" s="1">
        <v>43145</v>
      </c>
      <c r="H1038">
        <v>27.73</v>
      </c>
      <c r="I1038" s="1">
        <v>43145</v>
      </c>
      <c r="J1038">
        <v>14.97</v>
      </c>
      <c r="K1038" s="1">
        <v>43091</v>
      </c>
      <c r="L1038">
        <v>93.346999999999994</v>
      </c>
    </row>
    <row r="1039" spans="1:12" x14ac:dyDescent="0.25">
      <c r="A1039" s="1">
        <v>43146</v>
      </c>
      <c r="B1039">
        <v>19.13</v>
      </c>
      <c r="C1039" s="1">
        <v>43146</v>
      </c>
      <c r="D1039">
        <v>24.02</v>
      </c>
      <c r="E1039" s="1">
        <v>43094</v>
      </c>
      <c r="F1039">
        <v>50.380299999999998</v>
      </c>
      <c r="G1039" s="1">
        <v>43146</v>
      </c>
      <c r="H1039">
        <v>27.57</v>
      </c>
      <c r="I1039" s="1">
        <v>43146</v>
      </c>
      <c r="J1039">
        <v>15.03</v>
      </c>
      <c r="K1039" s="1">
        <v>43094</v>
      </c>
      <c r="L1039">
        <v>93.266999999999996</v>
      </c>
    </row>
    <row r="1040" spans="1:12" x14ac:dyDescent="0.25">
      <c r="A1040" s="1">
        <v>43147</v>
      </c>
      <c r="B1040">
        <v>19.46</v>
      </c>
      <c r="C1040" s="1">
        <v>43147</v>
      </c>
      <c r="D1040">
        <v>23.11</v>
      </c>
      <c r="E1040" s="1">
        <v>43095</v>
      </c>
      <c r="F1040">
        <v>48.820900000000002</v>
      </c>
      <c r="G1040" s="1">
        <v>43147</v>
      </c>
      <c r="H1040">
        <v>26.97</v>
      </c>
      <c r="I1040" s="1">
        <v>43147</v>
      </c>
      <c r="J1040">
        <v>13.96</v>
      </c>
      <c r="K1040" s="1">
        <v>43095</v>
      </c>
      <c r="L1040">
        <v>93.257000000000005</v>
      </c>
    </row>
    <row r="1041" spans="1:12" x14ac:dyDescent="0.25">
      <c r="A1041" s="1">
        <v>43151</v>
      </c>
      <c r="B1041">
        <v>20.6</v>
      </c>
      <c r="C1041" s="1">
        <v>43151</v>
      </c>
      <c r="D1041">
        <v>24.04</v>
      </c>
      <c r="E1041" s="1">
        <v>43096</v>
      </c>
      <c r="F1041">
        <v>47.73</v>
      </c>
      <c r="G1041" s="1">
        <v>43151</v>
      </c>
      <c r="H1041">
        <v>27.58</v>
      </c>
      <c r="I1041" s="1">
        <v>43151</v>
      </c>
      <c r="J1041">
        <v>14.08</v>
      </c>
      <c r="K1041" s="1">
        <v>43096</v>
      </c>
      <c r="L1041">
        <v>93.025000000000006</v>
      </c>
    </row>
    <row r="1042" spans="1:12" x14ac:dyDescent="0.25">
      <c r="A1042" s="1">
        <v>43152</v>
      </c>
      <c r="B1042">
        <v>20.02</v>
      </c>
      <c r="C1042" s="1">
        <v>43152</v>
      </c>
      <c r="D1042">
        <v>23.32</v>
      </c>
      <c r="E1042" s="1">
        <v>43097</v>
      </c>
      <c r="F1042">
        <v>46.193800000000003</v>
      </c>
      <c r="G1042" s="1">
        <v>43152</v>
      </c>
      <c r="H1042">
        <v>26.93</v>
      </c>
      <c r="I1042" s="1">
        <v>43152</v>
      </c>
      <c r="J1042">
        <v>13.83</v>
      </c>
      <c r="K1042" s="1">
        <v>43097</v>
      </c>
      <c r="L1042">
        <v>92.602000000000004</v>
      </c>
    </row>
    <row r="1043" spans="1:12" x14ac:dyDescent="0.25">
      <c r="A1043" s="1">
        <v>43153</v>
      </c>
      <c r="B1043">
        <v>18.72</v>
      </c>
      <c r="C1043" s="1">
        <v>43153</v>
      </c>
      <c r="D1043">
        <v>23.14</v>
      </c>
      <c r="E1043" s="1">
        <v>43098</v>
      </c>
      <c r="F1043">
        <v>46.596200000000003</v>
      </c>
      <c r="G1043" s="1">
        <v>43153</v>
      </c>
      <c r="H1043">
        <v>24.98</v>
      </c>
      <c r="I1043" s="1">
        <v>43153</v>
      </c>
      <c r="J1043">
        <v>13.47</v>
      </c>
      <c r="K1043" s="1">
        <v>43098</v>
      </c>
      <c r="L1043">
        <v>92.123999999999995</v>
      </c>
    </row>
    <row r="1044" spans="1:12" x14ac:dyDescent="0.25">
      <c r="A1044" s="1">
        <v>43154</v>
      </c>
      <c r="B1044">
        <v>16.489999999999998</v>
      </c>
      <c r="C1044" s="1">
        <v>43154</v>
      </c>
      <c r="D1044">
        <v>21.26</v>
      </c>
      <c r="E1044" s="1">
        <v>43101</v>
      </c>
      <c r="F1044">
        <v>46.596200000000003</v>
      </c>
      <c r="G1044" s="1">
        <v>43154</v>
      </c>
      <c r="H1044">
        <v>24.37</v>
      </c>
      <c r="I1044" s="1">
        <v>43154</v>
      </c>
      <c r="J1044">
        <v>11.97</v>
      </c>
      <c r="K1044" s="1">
        <v>43101</v>
      </c>
      <c r="L1044">
        <v>92.24</v>
      </c>
    </row>
    <row r="1045" spans="1:12" x14ac:dyDescent="0.25">
      <c r="A1045" s="1">
        <v>43157</v>
      </c>
      <c r="B1045">
        <v>15.8</v>
      </c>
      <c r="C1045" s="1">
        <v>43157</v>
      </c>
      <c r="D1045">
        <v>20.71</v>
      </c>
      <c r="E1045" s="1">
        <v>43102</v>
      </c>
      <c r="F1045">
        <v>49.171999999999997</v>
      </c>
      <c r="G1045" s="1">
        <v>43157</v>
      </c>
      <c r="H1045">
        <v>24.36</v>
      </c>
      <c r="I1045" s="1">
        <v>43157</v>
      </c>
      <c r="J1045">
        <v>11.89</v>
      </c>
      <c r="K1045" s="1">
        <v>43102</v>
      </c>
      <c r="L1045">
        <v>91.872</v>
      </c>
    </row>
    <row r="1046" spans="1:12" x14ac:dyDescent="0.25">
      <c r="A1046" s="1">
        <v>43158</v>
      </c>
      <c r="B1046">
        <v>18.59</v>
      </c>
      <c r="C1046" s="1">
        <v>43158</v>
      </c>
      <c r="D1046">
        <v>24.44</v>
      </c>
      <c r="E1046" s="1">
        <v>43103</v>
      </c>
      <c r="F1046">
        <v>47.604300000000002</v>
      </c>
      <c r="G1046" s="1">
        <v>43158</v>
      </c>
      <c r="H1046">
        <v>25.29</v>
      </c>
      <c r="I1046" s="1">
        <v>43158</v>
      </c>
      <c r="J1046">
        <v>11.76</v>
      </c>
      <c r="K1046" s="1">
        <v>43103</v>
      </c>
      <c r="L1046">
        <v>92.162000000000006</v>
      </c>
    </row>
    <row r="1047" spans="1:12" x14ac:dyDescent="0.25">
      <c r="A1047" s="1">
        <v>43159</v>
      </c>
      <c r="B1047">
        <v>19.850000000000001</v>
      </c>
      <c r="C1047" s="1">
        <v>43159</v>
      </c>
      <c r="D1047">
        <v>25.81</v>
      </c>
      <c r="E1047" s="1">
        <v>43104</v>
      </c>
      <c r="F1047">
        <v>47.381999999999998</v>
      </c>
      <c r="G1047" s="1">
        <v>43159</v>
      </c>
      <c r="H1047">
        <v>26.92</v>
      </c>
      <c r="I1047" s="1">
        <v>43159</v>
      </c>
      <c r="J1047">
        <v>11.74</v>
      </c>
      <c r="K1047" s="1">
        <v>43104</v>
      </c>
      <c r="L1047">
        <v>91.852999999999994</v>
      </c>
    </row>
    <row r="1048" spans="1:12" x14ac:dyDescent="0.25">
      <c r="A1048" s="1">
        <v>43160</v>
      </c>
      <c r="B1048">
        <v>22.47</v>
      </c>
      <c r="C1048" s="1">
        <v>43160</v>
      </c>
      <c r="D1048">
        <v>26.37</v>
      </c>
      <c r="E1048" s="1">
        <v>43105</v>
      </c>
      <c r="F1048">
        <v>46.067700000000002</v>
      </c>
      <c r="G1048" s="1">
        <v>43160</v>
      </c>
      <c r="H1048">
        <v>26.98</v>
      </c>
      <c r="I1048" s="1">
        <v>43160</v>
      </c>
      <c r="J1048">
        <v>12.07</v>
      </c>
      <c r="K1048" s="1">
        <v>43105</v>
      </c>
      <c r="L1048">
        <v>91.948999999999998</v>
      </c>
    </row>
    <row r="1049" spans="1:12" x14ac:dyDescent="0.25">
      <c r="A1049" s="1">
        <v>43161</v>
      </c>
      <c r="B1049">
        <v>19.59</v>
      </c>
      <c r="C1049" s="1">
        <v>43161</v>
      </c>
      <c r="D1049">
        <v>24.96</v>
      </c>
      <c r="E1049" s="1">
        <v>43108</v>
      </c>
      <c r="F1049">
        <v>45.898800000000001</v>
      </c>
      <c r="G1049" s="1">
        <v>43161</v>
      </c>
      <c r="H1049">
        <v>26.15</v>
      </c>
      <c r="I1049" s="1">
        <v>43161</v>
      </c>
      <c r="J1049">
        <v>11.97</v>
      </c>
      <c r="K1049" s="1">
        <v>43108</v>
      </c>
      <c r="L1049">
        <v>92.358000000000004</v>
      </c>
    </row>
    <row r="1050" spans="1:12" x14ac:dyDescent="0.25">
      <c r="A1050" s="1">
        <v>43164</v>
      </c>
      <c r="B1050">
        <v>18.73</v>
      </c>
      <c r="C1050" s="1">
        <v>43164</v>
      </c>
      <c r="D1050">
        <v>24.24</v>
      </c>
      <c r="E1050" s="1">
        <v>43109</v>
      </c>
      <c r="F1050">
        <v>47.286099999999998</v>
      </c>
      <c r="G1050" s="1">
        <v>43164</v>
      </c>
      <c r="H1050">
        <v>26.3</v>
      </c>
      <c r="I1050" s="1">
        <v>43164</v>
      </c>
      <c r="J1050">
        <v>11.89</v>
      </c>
      <c r="K1050" s="1">
        <v>43109</v>
      </c>
      <c r="L1050">
        <v>92.528000000000006</v>
      </c>
    </row>
    <row r="1051" spans="1:12" x14ac:dyDescent="0.25">
      <c r="A1051" s="1">
        <v>43165</v>
      </c>
      <c r="B1051">
        <v>18.36</v>
      </c>
      <c r="C1051" s="1">
        <v>43165</v>
      </c>
      <c r="D1051">
        <v>23.68</v>
      </c>
      <c r="E1051" s="1">
        <v>43110</v>
      </c>
      <c r="F1051">
        <v>49.166899999999998</v>
      </c>
      <c r="G1051" s="1">
        <v>43165</v>
      </c>
      <c r="H1051">
        <v>25.55</v>
      </c>
      <c r="I1051" s="1">
        <v>43165</v>
      </c>
      <c r="J1051">
        <v>12.33</v>
      </c>
      <c r="K1051" s="1">
        <v>43110</v>
      </c>
      <c r="L1051">
        <v>92.331999999999994</v>
      </c>
    </row>
    <row r="1052" spans="1:12" x14ac:dyDescent="0.25">
      <c r="A1052" s="1">
        <v>43166</v>
      </c>
      <c r="B1052">
        <v>17.760000000000002</v>
      </c>
      <c r="C1052" s="1">
        <v>43166</v>
      </c>
      <c r="D1052">
        <v>23.38</v>
      </c>
      <c r="E1052" s="1">
        <v>43111</v>
      </c>
      <c r="F1052">
        <v>48.190800000000003</v>
      </c>
      <c r="G1052" s="1">
        <v>43166</v>
      </c>
      <c r="H1052">
        <v>26.94</v>
      </c>
      <c r="I1052" s="1">
        <v>43166</v>
      </c>
      <c r="J1052">
        <v>12.37</v>
      </c>
      <c r="K1052" s="1">
        <v>43111</v>
      </c>
      <c r="L1052">
        <v>91.852000000000004</v>
      </c>
    </row>
    <row r="1053" spans="1:12" x14ac:dyDescent="0.25">
      <c r="A1053" s="1">
        <v>43167</v>
      </c>
      <c r="B1053">
        <v>16.54</v>
      </c>
      <c r="C1053" s="1">
        <v>43167</v>
      </c>
      <c r="D1053">
        <v>22.7</v>
      </c>
      <c r="E1053" s="1">
        <v>43112</v>
      </c>
      <c r="F1053">
        <v>47.608600000000003</v>
      </c>
      <c r="G1053" s="1">
        <v>43167</v>
      </c>
      <c r="H1053">
        <v>26.16</v>
      </c>
      <c r="I1053" s="1">
        <v>43167</v>
      </c>
      <c r="J1053">
        <v>11.57</v>
      </c>
      <c r="K1053" s="1">
        <v>43112</v>
      </c>
      <c r="L1053">
        <v>90.974000000000004</v>
      </c>
    </row>
    <row r="1054" spans="1:12" x14ac:dyDescent="0.25">
      <c r="A1054" s="1">
        <v>43168</v>
      </c>
      <c r="B1054">
        <v>14.64</v>
      </c>
      <c r="C1054" s="1">
        <v>43168</v>
      </c>
      <c r="D1054">
        <v>20.53</v>
      </c>
      <c r="E1054" s="1">
        <v>43115</v>
      </c>
      <c r="F1054">
        <v>47.608600000000003</v>
      </c>
      <c r="G1054" s="1">
        <v>43168</v>
      </c>
      <c r="H1054">
        <v>26.23</v>
      </c>
      <c r="I1054" s="1">
        <v>43168</v>
      </c>
      <c r="J1054">
        <v>10.94</v>
      </c>
      <c r="K1054" s="1">
        <v>43115</v>
      </c>
      <c r="L1054">
        <v>90.974000000000004</v>
      </c>
    </row>
    <row r="1055" spans="1:12" x14ac:dyDescent="0.25">
      <c r="A1055" s="1">
        <v>43171</v>
      </c>
      <c r="B1055">
        <v>15.78</v>
      </c>
      <c r="C1055" s="1">
        <v>43171</v>
      </c>
      <c r="D1055">
        <v>20.12</v>
      </c>
      <c r="E1055" s="1">
        <v>43116</v>
      </c>
      <c r="F1055">
        <v>45.914400000000001</v>
      </c>
      <c r="G1055" s="1">
        <v>43171</v>
      </c>
      <c r="H1055">
        <v>24.02</v>
      </c>
      <c r="I1055" s="1">
        <v>43171</v>
      </c>
      <c r="J1055">
        <v>11.01</v>
      </c>
      <c r="K1055" s="1">
        <v>43116</v>
      </c>
      <c r="L1055">
        <v>90.393000000000001</v>
      </c>
    </row>
    <row r="1056" spans="1:12" x14ac:dyDescent="0.25">
      <c r="A1056" s="1">
        <v>43172</v>
      </c>
      <c r="B1056">
        <v>16.350000000000001</v>
      </c>
      <c r="C1056" s="1">
        <v>43172</v>
      </c>
      <c r="D1056">
        <v>21.5</v>
      </c>
      <c r="E1056" s="1">
        <v>43117</v>
      </c>
      <c r="F1056">
        <v>45.882399999999997</v>
      </c>
      <c r="G1056" s="1">
        <v>43172</v>
      </c>
      <c r="H1056">
        <v>25.5</v>
      </c>
      <c r="I1056" s="1">
        <v>43172</v>
      </c>
      <c r="J1056">
        <v>10.7</v>
      </c>
      <c r="K1056" s="1">
        <v>43117</v>
      </c>
      <c r="L1056">
        <v>90.540999999999997</v>
      </c>
    </row>
    <row r="1057" spans="1:12" x14ac:dyDescent="0.25">
      <c r="A1057" s="1">
        <v>43173</v>
      </c>
      <c r="B1057">
        <v>17.23</v>
      </c>
      <c r="C1057" s="1">
        <v>43173</v>
      </c>
      <c r="D1057">
        <v>20.68</v>
      </c>
      <c r="E1057" s="1">
        <v>43118</v>
      </c>
      <c r="F1057">
        <v>48.548999999999999</v>
      </c>
      <c r="G1057" s="1">
        <v>43173</v>
      </c>
      <c r="H1057">
        <v>25.21</v>
      </c>
      <c r="I1057" s="1">
        <v>43173</v>
      </c>
      <c r="J1057">
        <v>10.41</v>
      </c>
      <c r="K1057" s="1">
        <v>43118</v>
      </c>
      <c r="L1057">
        <v>90.498000000000005</v>
      </c>
    </row>
    <row r="1058" spans="1:12" x14ac:dyDescent="0.25">
      <c r="A1058" s="1">
        <v>43174</v>
      </c>
      <c r="B1058">
        <v>16.59</v>
      </c>
      <c r="C1058" s="1">
        <v>43174</v>
      </c>
      <c r="D1058">
        <v>20.81</v>
      </c>
      <c r="E1058" s="1">
        <v>43119</v>
      </c>
      <c r="F1058">
        <v>51.990200000000002</v>
      </c>
      <c r="G1058" s="1">
        <v>43174</v>
      </c>
      <c r="H1058">
        <v>25.07</v>
      </c>
      <c r="I1058" s="1">
        <v>43174</v>
      </c>
      <c r="J1058">
        <v>10.4</v>
      </c>
      <c r="K1058" s="1">
        <v>43119</v>
      </c>
      <c r="L1058">
        <v>90.572000000000003</v>
      </c>
    </row>
    <row r="1059" spans="1:12" x14ac:dyDescent="0.25">
      <c r="A1059" s="1">
        <v>43175</v>
      </c>
      <c r="B1059">
        <v>15.8</v>
      </c>
      <c r="C1059" s="1">
        <v>43175</v>
      </c>
      <c r="D1059">
        <v>19.760000000000002</v>
      </c>
      <c r="E1059" s="1">
        <v>43122</v>
      </c>
      <c r="F1059">
        <v>52.595700000000001</v>
      </c>
      <c r="G1059" s="1">
        <v>43175</v>
      </c>
      <c r="H1059">
        <v>24.53</v>
      </c>
      <c r="I1059" s="1">
        <v>43175</v>
      </c>
      <c r="J1059">
        <v>9.8800000000000008</v>
      </c>
      <c r="K1059" s="1">
        <v>43122</v>
      </c>
      <c r="L1059">
        <v>90.400999999999996</v>
      </c>
    </row>
    <row r="1060" spans="1:12" x14ac:dyDescent="0.25">
      <c r="A1060" s="1">
        <v>43178</v>
      </c>
      <c r="B1060">
        <v>19.02</v>
      </c>
      <c r="C1060" s="1">
        <v>43178</v>
      </c>
      <c r="D1060">
        <v>22.36</v>
      </c>
      <c r="E1060" s="1">
        <v>43123</v>
      </c>
      <c r="F1060">
        <v>52.548900000000003</v>
      </c>
      <c r="G1060" s="1">
        <v>43178</v>
      </c>
      <c r="H1060">
        <v>25.28</v>
      </c>
      <c r="I1060" s="1">
        <v>43178</v>
      </c>
      <c r="J1060">
        <v>10.99</v>
      </c>
      <c r="K1060" s="1">
        <v>43123</v>
      </c>
      <c r="L1060">
        <v>90.123999999999995</v>
      </c>
    </row>
    <row r="1061" spans="1:12" x14ac:dyDescent="0.25">
      <c r="A1061" s="1">
        <v>43179</v>
      </c>
      <c r="B1061">
        <v>18.2</v>
      </c>
      <c r="C1061" s="1">
        <v>43179</v>
      </c>
      <c r="D1061">
        <v>22.67</v>
      </c>
      <c r="E1061" s="1">
        <v>43124</v>
      </c>
      <c r="F1061">
        <v>54.105499999999999</v>
      </c>
      <c r="G1061" s="1">
        <v>43179</v>
      </c>
      <c r="H1061">
        <v>25.3</v>
      </c>
      <c r="I1061" s="1">
        <v>43179</v>
      </c>
      <c r="J1061">
        <v>11.01</v>
      </c>
      <c r="K1061" s="1">
        <v>43124</v>
      </c>
      <c r="L1061">
        <v>89.206000000000003</v>
      </c>
    </row>
    <row r="1062" spans="1:12" x14ac:dyDescent="0.25">
      <c r="A1062" s="1">
        <v>43180</v>
      </c>
      <c r="B1062">
        <v>17.86</v>
      </c>
      <c r="C1062" s="1">
        <v>43180</v>
      </c>
      <c r="D1062">
        <v>21.08</v>
      </c>
      <c r="E1062" s="1">
        <v>43125</v>
      </c>
      <c r="F1062">
        <v>53.376199999999997</v>
      </c>
      <c r="G1062" s="1">
        <v>43180</v>
      </c>
      <c r="H1062">
        <v>25.95</v>
      </c>
      <c r="I1062" s="1">
        <v>43180</v>
      </c>
      <c r="J1062">
        <v>10.91</v>
      </c>
      <c r="K1062" s="1">
        <v>43125</v>
      </c>
      <c r="L1062">
        <v>89.391000000000005</v>
      </c>
    </row>
    <row r="1063" spans="1:12" x14ac:dyDescent="0.25">
      <c r="A1063" s="1">
        <v>43181</v>
      </c>
      <c r="B1063">
        <v>23.34</v>
      </c>
      <c r="C1063" s="1">
        <v>43181</v>
      </c>
      <c r="D1063">
        <v>27.61</v>
      </c>
      <c r="E1063" s="1">
        <v>43126</v>
      </c>
      <c r="F1063">
        <v>55.634900000000002</v>
      </c>
      <c r="G1063" s="1">
        <v>43181</v>
      </c>
      <c r="H1063">
        <v>26.47</v>
      </c>
      <c r="I1063" s="1">
        <v>43181</v>
      </c>
      <c r="J1063">
        <v>11.24</v>
      </c>
      <c r="K1063" s="1">
        <v>43126</v>
      </c>
      <c r="L1063">
        <v>89.066999999999993</v>
      </c>
    </row>
    <row r="1064" spans="1:12" x14ac:dyDescent="0.25">
      <c r="A1064" s="1">
        <v>43182</v>
      </c>
      <c r="B1064">
        <v>24.87</v>
      </c>
      <c r="C1064" s="1">
        <v>43182</v>
      </c>
      <c r="D1064">
        <v>29.8</v>
      </c>
      <c r="E1064" s="1">
        <v>43129</v>
      </c>
      <c r="F1064">
        <v>55.977800000000002</v>
      </c>
      <c r="G1064" s="1">
        <v>43182</v>
      </c>
      <c r="H1064">
        <v>27.56</v>
      </c>
      <c r="I1064" s="1">
        <v>43182</v>
      </c>
      <c r="J1064">
        <v>13.46</v>
      </c>
      <c r="K1064" s="1">
        <v>43129</v>
      </c>
      <c r="L1064">
        <v>89.308000000000007</v>
      </c>
    </row>
    <row r="1065" spans="1:12" x14ac:dyDescent="0.25">
      <c r="A1065" s="1">
        <v>43185</v>
      </c>
      <c r="B1065">
        <v>21.03</v>
      </c>
      <c r="C1065" s="1">
        <v>43185</v>
      </c>
      <c r="D1065">
        <v>26.48</v>
      </c>
      <c r="E1065" s="1">
        <v>43130</v>
      </c>
      <c r="F1065">
        <v>57.276600000000002</v>
      </c>
      <c r="G1065" s="1">
        <v>43185</v>
      </c>
      <c r="H1065">
        <v>27.71</v>
      </c>
      <c r="I1065" s="1">
        <v>43185</v>
      </c>
      <c r="J1065">
        <v>12.95</v>
      </c>
      <c r="K1065" s="1">
        <v>43130</v>
      </c>
      <c r="L1065">
        <v>89.16</v>
      </c>
    </row>
    <row r="1066" spans="1:12" x14ac:dyDescent="0.25">
      <c r="A1066" s="1">
        <v>43186</v>
      </c>
      <c r="B1066">
        <v>22.5</v>
      </c>
      <c r="C1066" s="1">
        <v>43186</v>
      </c>
      <c r="D1066">
        <v>28.98</v>
      </c>
      <c r="E1066" s="1">
        <v>43131</v>
      </c>
      <c r="F1066">
        <v>57.195700000000002</v>
      </c>
      <c r="G1066" s="1">
        <v>43186</v>
      </c>
      <c r="H1066">
        <v>27.38</v>
      </c>
      <c r="I1066" s="1">
        <v>43186</v>
      </c>
      <c r="J1066">
        <v>12.22</v>
      </c>
      <c r="K1066" s="1">
        <v>43131</v>
      </c>
      <c r="L1066">
        <v>89.132999999999996</v>
      </c>
    </row>
    <row r="1067" spans="1:12" x14ac:dyDescent="0.25">
      <c r="A1067" s="1">
        <v>43187</v>
      </c>
      <c r="B1067">
        <v>22.87</v>
      </c>
      <c r="C1067" s="1">
        <v>43187</v>
      </c>
      <c r="D1067">
        <v>29.78</v>
      </c>
      <c r="E1067" s="1">
        <v>43132</v>
      </c>
      <c r="F1067">
        <v>57.834899999999998</v>
      </c>
      <c r="G1067" s="1">
        <v>43187</v>
      </c>
      <c r="H1067">
        <v>26.67</v>
      </c>
      <c r="I1067" s="1">
        <v>43187</v>
      </c>
      <c r="J1067">
        <v>11.74</v>
      </c>
      <c r="K1067" s="1">
        <v>43132</v>
      </c>
      <c r="L1067">
        <v>88.671000000000006</v>
      </c>
    </row>
    <row r="1068" spans="1:12" x14ac:dyDescent="0.25">
      <c r="A1068" s="1">
        <v>43188</v>
      </c>
      <c r="B1068">
        <v>19.97</v>
      </c>
      <c r="C1068" s="1">
        <v>43188</v>
      </c>
      <c r="D1068">
        <v>26.26</v>
      </c>
      <c r="E1068" s="1">
        <v>43133</v>
      </c>
      <c r="F1068">
        <v>60.3309</v>
      </c>
      <c r="G1068" s="1">
        <v>43188</v>
      </c>
      <c r="H1068">
        <v>25.07</v>
      </c>
      <c r="I1068" s="1">
        <v>43188</v>
      </c>
      <c r="J1068">
        <v>11.06</v>
      </c>
      <c r="K1068" s="1">
        <v>43133</v>
      </c>
      <c r="L1068">
        <v>89.194999999999993</v>
      </c>
    </row>
    <row r="1069" spans="1:12" x14ac:dyDescent="0.25">
      <c r="A1069" s="1">
        <v>43192</v>
      </c>
      <c r="B1069">
        <v>23.62</v>
      </c>
      <c r="C1069" s="1">
        <v>43192</v>
      </c>
      <c r="D1069">
        <v>29.48</v>
      </c>
      <c r="E1069" s="1">
        <v>43136</v>
      </c>
      <c r="F1069">
        <v>60.409199999999998</v>
      </c>
      <c r="G1069" s="1">
        <v>43192</v>
      </c>
      <c r="H1069">
        <v>27.53</v>
      </c>
      <c r="I1069" s="1">
        <v>43192</v>
      </c>
      <c r="J1069">
        <v>12.86</v>
      </c>
      <c r="K1069" s="1">
        <v>43136</v>
      </c>
      <c r="L1069">
        <v>89.554000000000002</v>
      </c>
    </row>
    <row r="1070" spans="1:12" x14ac:dyDescent="0.25">
      <c r="A1070" s="1">
        <v>43193</v>
      </c>
      <c r="B1070">
        <v>21.1</v>
      </c>
      <c r="C1070" s="1">
        <v>43193</v>
      </c>
      <c r="D1070">
        <v>27.34</v>
      </c>
      <c r="E1070" s="1">
        <v>43137</v>
      </c>
      <c r="F1070">
        <v>66.071899999999999</v>
      </c>
      <c r="G1070" s="1">
        <v>43193</v>
      </c>
      <c r="H1070">
        <v>26.89</v>
      </c>
      <c r="I1070" s="1">
        <v>43193</v>
      </c>
      <c r="J1070">
        <v>11.8</v>
      </c>
      <c r="K1070" s="1">
        <v>43137</v>
      </c>
      <c r="L1070">
        <v>89.584999999999994</v>
      </c>
    </row>
    <row r="1071" spans="1:12" x14ac:dyDescent="0.25">
      <c r="A1071" s="1">
        <v>43194</v>
      </c>
      <c r="B1071">
        <v>20.059999999999999</v>
      </c>
      <c r="C1071" s="1">
        <v>43194</v>
      </c>
      <c r="D1071">
        <v>26.91</v>
      </c>
      <c r="E1071" s="1">
        <v>43138</v>
      </c>
      <c r="F1071">
        <v>62.000999999999998</v>
      </c>
      <c r="G1071" s="1">
        <v>43194</v>
      </c>
      <c r="H1071">
        <v>26.17</v>
      </c>
      <c r="I1071" s="1">
        <v>43194</v>
      </c>
      <c r="J1071">
        <v>12</v>
      </c>
      <c r="K1071" s="1">
        <v>43138</v>
      </c>
      <c r="L1071">
        <v>90.254999999999995</v>
      </c>
    </row>
    <row r="1072" spans="1:12" x14ac:dyDescent="0.25">
      <c r="A1072" s="1">
        <v>43195</v>
      </c>
      <c r="B1072">
        <v>18.940000000000001</v>
      </c>
      <c r="C1072" s="1">
        <v>43195</v>
      </c>
      <c r="D1072">
        <v>25.17</v>
      </c>
      <c r="E1072" s="1">
        <v>43139</v>
      </c>
      <c r="F1072">
        <v>67.847999999999999</v>
      </c>
      <c r="G1072" s="1">
        <v>43195</v>
      </c>
      <c r="H1072">
        <v>24.38</v>
      </c>
      <c r="I1072" s="1">
        <v>43195</v>
      </c>
      <c r="J1072">
        <v>11.55</v>
      </c>
      <c r="K1072" s="1">
        <v>43139</v>
      </c>
      <c r="L1072">
        <v>90.228999999999999</v>
      </c>
    </row>
    <row r="1073" spans="1:12" x14ac:dyDescent="0.25">
      <c r="A1073" s="1">
        <v>43196</v>
      </c>
      <c r="B1073">
        <v>21.49</v>
      </c>
      <c r="C1073" s="1">
        <v>43196</v>
      </c>
      <c r="D1073">
        <v>26.15</v>
      </c>
      <c r="E1073" s="1">
        <v>43140</v>
      </c>
      <c r="F1073">
        <v>71.778700000000001</v>
      </c>
      <c r="G1073" s="1">
        <v>43196</v>
      </c>
      <c r="H1073">
        <v>24.99</v>
      </c>
      <c r="I1073" s="1">
        <v>43196</v>
      </c>
      <c r="J1073">
        <v>11.95</v>
      </c>
      <c r="K1073" s="1">
        <v>43140</v>
      </c>
      <c r="L1073">
        <v>90.441999999999993</v>
      </c>
    </row>
    <row r="1074" spans="1:12" x14ac:dyDescent="0.25">
      <c r="A1074" s="1">
        <v>43199</v>
      </c>
      <c r="B1074">
        <v>21.77</v>
      </c>
      <c r="C1074" s="1">
        <v>43199</v>
      </c>
      <c r="D1074">
        <v>25.42</v>
      </c>
      <c r="E1074" s="1">
        <v>43143</v>
      </c>
      <c r="F1074">
        <v>69.856300000000005</v>
      </c>
      <c r="G1074" s="1">
        <v>43199</v>
      </c>
      <c r="H1074">
        <v>25.64</v>
      </c>
      <c r="I1074" s="1">
        <v>43199</v>
      </c>
      <c r="J1074">
        <v>12.39</v>
      </c>
      <c r="K1074" s="1">
        <v>43143</v>
      </c>
      <c r="L1074">
        <v>90.207999999999998</v>
      </c>
    </row>
    <row r="1075" spans="1:12" x14ac:dyDescent="0.25">
      <c r="A1075" s="1">
        <v>43200</v>
      </c>
      <c r="B1075">
        <v>20.47</v>
      </c>
      <c r="C1075" s="1">
        <v>43200</v>
      </c>
      <c r="D1075">
        <v>24.15</v>
      </c>
      <c r="E1075" s="1">
        <v>43144</v>
      </c>
      <c r="F1075">
        <v>68.968800000000002</v>
      </c>
      <c r="G1075" s="1">
        <v>43200</v>
      </c>
      <c r="H1075">
        <v>28.05</v>
      </c>
      <c r="I1075" s="1">
        <v>43200</v>
      </c>
      <c r="J1075">
        <v>12.78</v>
      </c>
      <c r="K1075" s="1">
        <v>43144</v>
      </c>
      <c r="L1075">
        <v>89.703000000000003</v>
      </c>
    </row>
    <row r="1076" spans="1:12" x14ac:dyDescent="0.25">
      <c r="A1076" s="1">
        <v>43201</v>
      </c>
      <c r="B1076">
        <v>20.239999999999998</v>
      </c>
      <c r="C1076" s="1">
        <v>43201</v>
      </c>
      <c r="D1076">
        <v>23.54</v>
      </c>
      <c r="E1076" s="1">
        <v>43145</v>
      </c>
      <c r="F1076">
        <v>69.524199999999993</v>
      </c>
      <c r="G1076" s="1">
        <v>43201</v>
      </c>
      <c r="H1076">
        <v>29.42</v>
      </c>
      <c r="I1076" s="1">
        <v>43201</v>
      </c>
      <c r="J1076">
        <v>14.36</v>
      </c>
      <c r="K1076" s="1">
        <v>43145</v>
      </c>
      <c r="L1076">
        <v>89.120999999999995</v>
      </c>
    </row>
    <row r="1077" spans="1:12" x14ac:dyDescent="0.25">
      <c r="A1077" s="1">
        <v>43202</v>
      </c>
      <c r="B1077">
        <v>18.489999999999998</v>
      </c>
      <c r="C1077" s="1">
        <v>43202</v>
      </c>
      <c r="D1077">
        <v>22.47</v>
      </c>
      <c r="E1077" s="1">
        <v>43146</v>
      </c>
      <c r="F1077">
        <v>66.676900000000003</v>
      </c>
      <c r="G1077" s="1">
        <v>43202</v>
      </c>
      <c r="H1077">
        <v>28.73</v>
      </c>
      <c r="I1077" s="1">
        <v>43202</v>
      </c>
      <c r="J1077">
        <v>12.88</v>
      </c>
      <c r="K1077" s="1">
        <v>43146</v>
      </c>
      <c r="L1077">
        <v>88.593000000000004</v>
      </c>
    </row>
    <row r="1078" spans="1:12" x14ac:dyDescent="0.25">
      <c r="A1078" s="1">
        <v>43203</v>
      </c>
      <c r="B1078">
        <v>17.41</v>
      </c>
      <c r="C1078" s="1">
        <v>43203</v>
      </c>
      <c r="D1078">
        <v>21.71</v>
      </c>
      <c r="E1078" s="1">
        <v>43147</v>
      </c>
      <c r="F1078">
        <v>63.030299999999997</v>
      </c>
      <c r="G1078" s="1">
        <v>43203</v>
      </c>
      <c r="H1078">
        <v>28.52</v>
      </c>
      <c r="I1078" s="1">
        <v>43203</v>
      </c>
      <c r="J1078">
        <v>13.36</v>
      </c>
      <c r="K1078" s="1">
        <v>43147</v>
      </c>
      <c r="L1078">
        <v>89.1</v>
      </c>
    </row>
    <row r="1079" spans="1:12" x14ac:dyDescent="0.25">
      <c r="A1079" s="1">
        <v>43206</v>
      </c>
      <c r="B1079">
        <v>16.559999999999999</v>
      </c>
      <c r="C1079" s="1">
        <v>43206</v>
      </c>
      <c r="D1079">
        <v>20.73</v>
      </c>
      <c r="E1079" s="1">
        <v>43150</v>
      </c>
      <c r="F1079">
        <v>63.030299999999997</v>
      </c>
      <c r="G1079" s="1">
        <v>43206</v>
      </c>
      <c r="H1079">
        <v>28.84</v>
      </c>
      <c r="I1079" s="1">
        <v>43206</v>
      </c>
      <c r="J1079">
        <v>13.43</v>
      </c>
      <c r="K1079" s="1">
        <v>43150</v>
      </c>
      <c r="L1079">
        <v>89.1</v>
      </c>
    </row>
    <row r="1080" spans="1:12" x14ac:dyDescent="0.25">
      <c r="A1080" s="1">
        <v>43207</v>
      </c>
      <c r="B1080">
        <v>15.25</v>
      </c>
      <c r="C1080" s="1">
        <v>43207</v>
      </c>
      <c r="D1080">
        <v>19.84</v>
      </c>
      <c r="E1080" s="1">
        <v>43151</v>
      </c>
      <c r="F1080">
        <v>60.260100000000001</v>
      </c>
      <c r="G1080" s="1">
        <v>43207</v>
      </c>
      <c r="H1080">
        <v>27.88</v>
      </c>
      <c r="I1080" s="1">
        <v>43207</v>
      </c>
      <c r="J1080">
        <v>13.07</v>
      </c>
      <c r="K1080" s="1">
        <v>43151</v>
      </c>
      <c r="L1080">
        <v>89.715999999999994</v>
      </c>
    </row>
    <row r="1081" spans="1:12" x14ac:dyDescent="0.25">
      <c r="A1081" s="1">
        <v>43208</v>
      </c>
      <c r="B1081">
        <v>15.6</v>
      </c>
      <c r="C1081" s="1">
        <v>43208</v>
      </c>
      <c r="D1081">
        <v>18.07</v>
      </c>
      <c r="E1081" s="1">
        <v>43152</v>
      </c>
      <c r="F1081">
        <v>61.160499999999999</v>
      </c>
      <c r="G1081" s="1">
        <v>43208</v>
      </c>
      <c r="H1081">
        <v>29.42</v>
      </c>
      <c r="I1081" s="1">
        <v>43208</v>
      </c>
      <c r="J1081">
        <v>13.46</v>
      </c>
      <c r="K1081" s="1">
        <v>43152</v>
      </c>
      <c r="L1081">
        <v>90</v>
      </c>
    </row>
    <row r="1082" spans="1:12" x14ac:dyDescent="0.25">
      <c r="A1082" s="1">
        <v>43209</v>
      </c>
      <c r="B1082">
        <v>15.96</v>
      </c>
      <c r="C1082" s="1">
        <v>43209</v>
      </c>
      <c r="D1082">
        <v>18.53</v>
      </c>
      <c r="E1082" s="1">
        <v>43153</v>
      </c>
      <c r="F1082">
        <v>61.142299999999999</v>
      </c>
      <c r="G1082" s="1">
        <v>43209</v>
      </c>
      <c r="H1082">
        <v>29.36</v>
      </c>
      <c r="I1082" s="1">
        <v>43209</v>
      </c>
      <c r="J1082">
        <v>12.88</v>
      </c>
      <c r="K1082" s="1">
        <v>43153</v>
      </c>
      <c r="L1082">
        <v>89.736000000000004</v>
      </c>
    </row>
    <row r="1083" spans="1:12" x14ac:dyDescent="0.25">
      <c r="A1083" s="1">
        <v>43210</v>
      </c>
      <c r="B1083">
        <v>16.88</v>
      </c>
      <c r="C1083" s="1">
        <v>43210</v>
      </c>
      <c r="D1083">
        <v>19.36</v>
      </c>
      <c r="E1083" s="1">
        <v>43154</v>
      </c>
      <c r="F1083">
        <v>64.601399999999998</v>
      </c>
      <c r="G1083" s="1">
        <v>43210</v>
      </c>
      <c r="H1083">
        <v>28.99</v>
      </c>
      <c r="I1083" s="1">
        <v>43210</v>
      </c>
      <c r="J1083">
        <v>12.14</v>
      </c>
      <c r="K1083" s="1">
        <v>43154</v>
      </c>
      <c r="L1083">
        <v>89.882999999999996</v>
      </c>
    </row>
    <row r="1084" spans="1:12" x14ac:dyDescent="0.25">
      <c r="A1084" s="1">
        <v>43213</v>
      </c>
      <c r="B1084">
        <v>16.34</v>
      </c>
      <c r="C1084" s="1">
        <v>43213</v>
      </c>
      <c r="D1084">
        <v>19.25</v>
      </c>
      <c r="E1084" s="1">
        <v>43157</v>
      </c>
      <c r="F1084">
        <v>63.716700000000003</v>
      </c>
      <c r="G1084" s="1">
        <v>43213</v>
      </c>
      <c r="H1084">
        <v>28.97</v>
      </c>
      <c r="I1084" s="1">
        <v>43213</v>
      </c>
      <c r="J1084">
        <v>12.13</v>
      </c>
      <c r="K1084" s="1">
        <v>43157</v>
      </c>
      <c r="L1084">
        <v>89.852999999999994</v>
      </c>
    </row>
    <row r="1085" spans="1:12" x14ac:dyDescent="0.25">
      <c r="A1085" s="1">
        <v>43214</v>
      </c>
      <c r="B1085">
        <v>18.02</v>
      </c>
      <c r="C1085" s="1">
        <v>43214</v>
      </c>
      <c r="D1085">
        <v>19.940000000000001</v>
      </c>
      <c r="E1085" s="1">
        <v>43158</v>
      </c>
      <c r="F1085">
        <v>63.931199999999997</v>
      </c>
      <c r="G1085" s="1">
        <v>43214</v>
      </c>
      <c r="H1085">
        <v>29.15</v>
      </c>
      <c r="I1085" s="1">
        <v>43214</v>
      </c>
      <c r="J1085">
        <v>12.24</v>
      </c>
      <c r="K1085" s="1">
        <v>43158</v>
      </c>
      <c r="L1085">
        <v>90.355000000000004</v>
      </c>
    </row>
    <row r="1086" spans="1:12" x14ac:dyDescent="0.25">
      <c r="A1086" s="1">
        <v>43215</v>
      </c>
      <c r="B1086">
        <v>17.84</v>
      </c>
      <c r="C1086" s="1">
        <v>43215</v>
      </c>
      <c r="D1086">
        <v>20.67</v>
      </c>
      <c r="E1086" s="1">
        <v>43159</v>
      </c>
      <c r="F1086">
        <v>62.973500000000001</v>
      </c>
      <c r="G1086" s="1">
        <v>43215</v>
      </c>
      <c r="H1086">
        <v>28.16</v>
      </c>
      <c r="I1086" s="1">
        <v>43215</v>
      </c>
      <c r="J1086">
        <v>11.97</v>
      </c>
      <c r="K1086" s="1">
        <v>43159</v>
      </c>
      <c r="L1086">
        <v>90.613</v>
      </c>
    </row>
    <row r="1087" spans="1:12" x14ac:dyDescent="0.25">
      <c r="A1087" s="1">
        <v>43216</v>
      </c>
      <c r="B1087">
        <v>16.239999999999998</v>
      </c>
      <c r="C1087" s="1">
        <v>43216</v>
      </c>
      <c r="D1087">
        <v>19.12</v>
      </c>
      <c r="E1087" s="1">
        <v>43160</v>
      </c>
      <c r="F1087">
        <v>63.663600000000002</v>
      </c>
      <c r="G1087" s="1">
        <v>43216</v>
      </c>
      <c r="H1087">
        <v>26.86</v>
      </c>
      <c r="I1087" s="1">
        <v>43216</v>
      </c>
      <c r="J1087">
        <v>11.49</v>
      </c>
      <c r="K1087" s="1">
        <v>43160</v>
      </c>
      <c r="L1087">
        <v>90.323999999999998</v>
      </c>
    </row>
    <row r="1088" spans="1:12" x14ac:dyDescent="0.25">
      <c r="A1088" s="1">
        <v>43217</v>
      </c>
      <c r="B1088">
        <v>15.41</v>
      </c>
      <c r="C1088" s="1">
        <v>43217</v>
      </c>
      <c r="D1088">
        <v>18.32</v>
      </c>
      <c r="E1088" s="1">
        <v>43161</v>
      </c>
      <c r="F1088">
        <v>65.302700000000002</v>
      </c>
      <c r="G1088" s="1">
        <v>43217</v>
      </c>
      <c r="H1088">
        <v>25.59</v>
      </c>
      <c r="I1088" s="1">
        <v>43217</v>
      </c>
      <c r="J1088">
        <v>10.99</v>
      </c>
      <c r="K1088" s="1">
        <v>43161</v>
      </c>
      <c r="L1088">
        <v>89.935000000000002</v>
      </c>
    </row>
    <row r="1089" spans="1:12" x14ac:dyDescent="0.25">
      <c r="A1089" s="1">
        <v>43220</v>
      </c>
      <c r="B1089">
        <v>15.93</v>
      </c>
      <c r="C1089" s="1">
        <v>43220</v>
      </c>
      <c r="D1089">
        <v>18.91</v>
      </c>
      <c r="E1089" s="1">
        <v>43164</v>
      </c>
      <c r="F1089">
        <v>64.708100000000002</v>
      </c>
      <c r="G1089" s="1">
        <v>43220</v>
      </c>
      <c r="H1089">
        <v>28.28</v>
      </c>
      <c r="I1089" s="1">
        <v>43220</v>
      </c>
      <c r="J1089">
        <v>11.15</v>
      </c>
      <c r="K1089" s="1">
        <v>43164</v>
      </c>
      <c r="L1089">
        <v>90.08</v>
      </c>
    </row>
    <row r="1090" spans="1:12" x14ac:dyDescent="0.25">
      <c r="A1090" s="1">
        <v>43221</v>
      </c>
      <c r="B1090">
        <v>15.49</v>
      </c>
      <c r="C1090" s="1">
        <v>43221</v>
      </c>
      <c r="D1090">
        <v>19.079999999999998</v>
      </c>
      <c r="E1090" s="1">
        <v>43165</v>
      </c>
      <c r="F1090">
        <v>63.500900000000001</v>
      </c>
      <c r="G1090" s="1">
        <v>43221</v>
      </c>
      <c r="H1090">
        <v>28.07</v>
      </c>
      <c r="I1090" s="1">
        <v>43221</v>
      </c>
      <c r="J1090">
        <v>11.88</v>
      </c>
      <c r="K1090" s="1">
        <v>43165</v>
      </c>
      <c r="L1090">
        <v>89.617999999999995</v>
      </c>
    </row>
    <row r="1091" spans="1:12" x14ac:dyDescent="0.25">
      <c r="A1091" s="1">
        <v>43222</v>
      </c>
      <c r="B1091">
        <v>15.97</v>
      </c>
      <c r="C1091" s="1">
        <v>43222</v>
      </c>
      <c r="D1091">
        <v>19.48</v>
      </c>
      <c r="E1091" s="1">
        <v>43166</v>
      </c>
      <c r="F1091">
        <v>63.346699999999998</v>
      </c>
      <c r="G1091" s="1">
        <v>43222</v>
      </c>
      <c r="H1091">
        <v>27.32</v>
      </c>
      <c r="I1091" s="1">
        <v>43222</v>
      </c>
      <c r="J1091">
        <v>11.64</v>
      </c>
      <c r="K1091" s="1">
        <v>43166</v>
      </c>
      <c r="L1091">
        <v>89.637</v>
      </c>
    </row>
    <row r="1092" spans="1:12" x14ac:dyDescent="0.25">
      <c r="A1092" s="1">
        <v>43223</v>
      </c>
      <c r="B1092">
        <v>15.9</v>
      </c>
      <c r="C1092" s="1">
        <v>43223</v>
      </c>
      <c r="D1092">
        <v>19.77</v>
      </c>
      <c r="E1092" s="1">
        <v>43167</v>
      </c>
      <c r="F1092">
        <v>61.584099999999999</v>
      </c>
      <c r="G1092" s="1">
        <v>43223</v>
      </c>
      <c r="H1092">
        <v>26.69</v>
      </c>
      <c r="I1092" s="1">
        <v>43223</v>
      </c>
      <c r="J1092">
        <v>11.46</v>
      </c>
      <c r="K1092" s="1">
        <v>43167</v>
      </c>
      <c r="L1092">
        <v>90.179000000000002</v>
      </c>
    </row>
    <row r="1093" spans="1:12" x14ac:dyDescent="0.25">
      <c r="A1093" s="1">
        <v>43224</v>
      </c>
      <c r="B1093">
        <v>14.77</v>
      </c>
      <c r="C1093" s="1">
        <v>43224</v>
      </c>
      <c r="D1093">
        <v>19.13</v>
      </c>
      <c r="E1093" s="1">
        <v>43168</v>
      </c>
      <c r="F1093">
        <v>58.966900000000003</v>
      </c>
      <c r="G1093" s="1">
        <v>43224</v>
      </c>
      <c r="H1093">
        <v>26.17</v>
      </c>
      <c r="I1093" s="1">
        <v>43224</v>
      </c>
      <c r="J1093">
        <v>10.99</v>
      </c>
      <c r="K1093" s="1">
        <v>43168</v>
      </c>
      <c r="L1093">
        <v>90.093000000000004</v>
      </c>
    </row>
    <row r="1094" spans="1:12" x14ac:dyDescent="0.25">
      <c r="A1094" s="1">
        <v>43227</v>
      </c>
      <c r="B1094">
        <v>14.75</v>
      </c>
      <c r="C1094" s="1">
        <v>43227</v>
      </c>
      <c r="D1094">
        <v>19.66</v>
      </c>
      <c r="E1094" s="1">
        <v>43171</v>
      </c>
      <c r="F1094">
        <v>58.292700000000004</v>
      </c>
      <c r="G1094" s="1">
        <v>43227</v>
      </c>
      <c r="H1094">
        <v>28.86</v>
      </c>
      <c r="I1094" s="1">
        <v>43227</v>
      </c>
      <c r="J1094">
        <v>11.32</v>
      </c>
      <c r="K1094" s="1">
        <v>43171</v>
      </c>
      <c r="L1094">
        <v>89.894999999999996</v>
      </c>
    </row>
    <row r="1095" spans="1:12" x14ac:dyDescent="0.25">
      <c r="A1095" s="1">
        <v>43228</v>
      </c>
      <c r="B1095">
        <v>14.71</v>
      </c>
      <c r="C1095" s="1">
        <v>43228</v>
      </c>
      <c r="D1095">
        <v>19.04</v>
      </c>
      <c r="E1095" s="1">
        <v>43172</v>
      </c>
      <c r="F1095">
        <v>55.073700000000002</v>
      </c>
      <c r="G1095" s="1">
        <v>43228</v>
      </c>
      <c r="H1095">
        <v>26.76</v>
      </c>
      <c r="I1095" s="1">
        <v>43228</v>
      </c>
      <c r="J1095">
        <v>11.5</v>
      </c>
      <c r="K1095" s="1">
        <v>43172</v>
      </c>
      <c r="L1095">
        <v>89.664000000000001</v>
      </c>
    </row>
    <row r="1096" spans="1:12" x14ac:dyDescent="0.25">
      <c r="A1096" s="1">
        <v>43229</v>
      </c>
      <c r="B1096">
        <v>13.42</v>
      </c>
      <c r="C1096" s="1">
        <v>43229</v>
      </c>
      <c r="D1096">
        <v>18.45</v>
      </c>
      <c r="E1096" s="1">
        <v>43173</v>
      </c>
      <c r="F1096">
        <v>57.848799999999997</v>
      </c>
      <c r="G1096" s="1">
        <v>43229</v>
      </c>
      <c r="H1096">
        <v>26.71</v>
      </c>
      <c r="I1096" s="1">
        <v>43229</v>
      </c>
      <c r="J1096">
        <v>11.39</v>
      </c>
      <c r="K1096" s="1">
        <v>43173</v>
      </c>
      <c r="L1096">
        <v>89.703999999999994</v>
      </c>
    </row>
    <row r="1097" spans="1:12" x14ac:dyDescent="0.25">
      <c r="A1097" s="1">
        <v>43230</v>
      </c>
      <c r="B1097">
        <v>13.23</v>
      </c>
      <c r="C1097" s="1">
        <v>43230</v>
      </c>
      <c r="D1097">
        <v>18.13</v>
      </c>
      <c r="E1097" s="1">
        <v>43174</v>
      </c>
      <c r="F1097">
        <v>57.704999999999998</v>
      </c>
      <c r="G1097" s="1">
        <v>43230</v>
      </c>
      <c r="H1097">
        <v>26.61</v>
      </c>
      <c r="I1097" s="1">
        <v>43230</v>
      </c>
      <c r="J1097">
        <v>11.42</v>
      </c>
      <c r="K1097" s="1">
        <v>43174</v>
      </c>
      <c r="L1097">
        <v>90.138999999999996</v>
      </c>
    </row>
    <row r="1098" spans="1:12" x14ac:dyDescent="0.25">
      <c r="A1098" s="1">
        <v>43231</v>
      </c>
      <c r="B1098">
        <v>12.65</v>
      </c>
      <c r="C1098" s="1">
        <v>43231</v>
      </c>
      <c r="D1098">
        <v>17.48</v>
      </c>
      <c r="E1098" s="1">
        <v>43175</v>
      </c>
      <c r="F1098">
        <v>59.008800000000001</v>
      </c>
      <c r="G1098" s="1">
        <v>43231</v>
      </c>
      <c r="H1098">
        <v>25.74</v>
      </c>
      <c r="I1098" s="1">
        <v>43231</v>
      </c>
      <c r="J1098">
        <v>11.04</v>
      </c>
      <c r="K1098" s="1">
        <v>43175</v>
      </c>
      <c r="L1098">
        <v>90.233000000000004</v>
      </c>
    </row>
    <row r="1099" spans="1:12" x14ac:dyDescent="0.25">
      <c r="A1099" s="1">
        <v>43234</v>
      </c>
      <c r="B1099">
        <v>12.93</v>
      </c>
      <c r="C1099" s="1">
        <v>43234</v>
      </c>
      <c r="D1099">
        <v>17.41</v>
      </c>
      <c r="E1099" s="1">
        <v>43178</v>
      </c>
      <c r="F1099">
        <v>59.982100000000003</v>
      </c>
      <c r="G1099" s="1">
        <v>43234</v>
      </c>
      <c r="H1099">
        <v>25.93</v>
      </c>
      <c r="I1099" s="1">
        <v>43234</v>
      </c>
      <c r="J1099">
        <v>11.15</v>
      </c>
      <c r="K1099" s="1">
        <v>43178</v>
      </c>
      <c r="L1099">
        <v>89.765000000000001</v>
      </c>
    </row>
    <row r="1100" spans="1:12" x14ac:dyDescent="0.25">
      <c r="A1100" s="1">
        <v>43235</v>
      </c>
      <c r="B1100">
        <v>14.63</v>
      </c>
      <c r="C1100" s="1">
        <v>43235</v>
      </c>
      <c r="D1100">
        <v>19.37</v>
      </c>
      <c r="E1100" s="1">
        <v>43179</v>
      </c>
      <c r="F1100">
        <v>57.893599999999999</v>
      </c>
      <c r="G1100" s="1">
        <v>43235</v>
      </c>
      <c r="H1100">
        <v>26.61</v>
      </c>
      <c r="I1100" s="1">
        <v>43235</v>
      </c>
      <c r="J1100">
        <v>11.91</v>
      </c>
      <c r="K1100" s="1">
        <v>43179</v>
      </c>
      <c r="L1100">
        <v>90.370999999999995</v>
      </c>
    </row>
    <row r="1101" spans="1:12" x14ac:dyDescent="0.25">
      <c r="A1101" s="1">
        <v>43236</v>
      </c>
      <c r="B1101">
        <v>13.42</v>
      </c>
      <c r="C1101" s="1">
        <v>43236</v>
      </c>
      <c r="D1101">
        <v>18.46</v>
      </c>
      <c r="E1101" s="1">
        <v>43180</v>
      </c>
      <c r="F1101">
        <v>55.721200000000003</v>
      </c>
      <c r="G1101" s="1">
        <v>43236</v>
      </c>
      <c r="H1101">
        <v>25.73</v>
      </c>
      <c r="I1101" s="1">
        <v>43236</v>
      </c>
      <c r="J1101">
        <v>11.77</v>
      </c>
      <c r="K1101" s="1">
        <v>43180</v>
      </c>
      <c r="L1101">
        <v>89.783000000000001</v>
      </c>
    </row>
    <row r="1102" spans="1:12" x14ac:dyDescent="0.25">
      <c r="A1102" s="1">
        <v>43237</v>
      </c>
      <c r="B1102">
        <v>13.43</v>
      </c>
      <c r="C1102" s="1">
        <v>43237</v>
      </c>
      <c r="D1102">
        <v>19.12</v>
      </c>
      <c r="E1102" s="1">
        <v>43181</v>
      </c>
      <c r="F1102">
        <v>55.929200000000002</v>
      </c>
      <c r="G1102" s="1">
        <v>43237</v>
      </c>
      <c r="H1102">
        <v>25.11</v>
      </c>
      <c r="I1102" s="1">
        <v>43237</v>
      </c>
      <c r="J1102">
        <v>11.64</v>
      </c>
      <c r="K1102" s="1">
        <v>43181</v>
      </c>
      <c r="L1102">
        <v>89.856999999999999</v>
      </c>
    </row>
    <row r="1103" spans="1:12" x14ac:dyDescent="0.25">
      <c r="A1103" s="1">
        <v>43238</v>
      </c>
      <c r="B1103">
        <v>13.42</v>
      </c>
      <c r="C1103" s="1">
        <v>43238</v>
      </c>
      <c r="D1103">
        <v>19.07</v>
      </c>
      <c r="E1103" s="1">
        <v>43182</v>
      </c>
      <c r="F1103">
        <v>56.168300000000002</v>
      </c>
      <c r="G1103" s="1">
        <v>43238</v>
      </c>
      <c r="H1103">
        <v>25.23</v>
      </c>
      <c r="I1103" s="1">
        <v>43238</v>
      </c>
      <c r="J1103">
        <v>11.11</v>
      </c>
      <c r="K1103" s="1">
        <v>43182</v>
      </c>
      <c r="L1103">
        <v>89.436000000000007</v>
      </c>
    </row>
    <row r="1104" spans="1:12" x14ac:dyDescent="0.25">
      <c r="A1104" s="1">
        <v>43241</v>
      </c>
      <c r="B1104">
        <v>13.08</v>
      </c>
      <c r="C1104" s="1">
        <v>43241</v>
      </c>
      <c r="D1104">
        <v>18.34</v>
      </c>
      <c r="E1104" s="1">
        <v>43185</v>
      </c>
      <c r="F1104">
        <v>54.549300000000002</v>
      </c>
      <c r="G1104" s="1">
        <v>43241</v>
      </c>
      <c r="H1104">
        <v>25.79</v>
      </c>
      <c r="I1104" s="1">
        <v>43241</v>
      </c>
      <c r="J1104">
        <v>11.62</v>
      </c>
      <c r="K1104" s="1">
        <v>43185</v>
      </c>
      <c r="L1104">
        <v>89.027000000000001</v>
      </c>
    </row>
    <row r="1105" spans="1:12" x14ac:dyDescent="0.25">
      <c r="A1105" s="1">
        <v>43242</v>
      </c>
      <c r="B1105">
        <v>13.22</v>
      </c>
      <c r="C1105" s="1">
        <v>43242</v>
      </c>
      <c r="D1105">
        <v>17.89</v>
      </c>
      <c r="E1105" s="1">
        <v>43186</v>
      </c>
      <c r="F1105">
        <v>56.270499999999998</v>
      </c>
      <c r="G1105" s="1">
        <v>43242</v>
      </c>
      <c r="H1105">
        <v>25.89</v>
      </c>
      <c r="I1105" s="1">
        <v>43242</v>
      </c>
      <c r="J1105">
        <v>10.9</v>
      </c>
      <c r="K1105" s="1">
        <v>43186</v>
      </c>
      <c r="L1105">
        <v>89.372</v>
      </c>
    </row>
    <row r="1106" spans="1:12" x14ac:dyDescent="0.25">
      <c r="A1106" s="1">
        <v>43243</v>
      </c>
      <c r="B1106">
        <v>12.58</v>
      </c>
      <c r="C1106" s="1">
        <v>43243</v>
      </c>
      <c r="D1106">
        <v>18.43</v>
      </c>
      <c r="E1106" s="1">
        <v>43187</v>
      </c>
      <c r="F1106">
        <v>58.347200000000001</v>
      </c>
      <c r="G1106" s="1">
        <v>43243</v>
      </c>
      <c r="H1106">
        <v>26.04</v>
      </c>
      <c r="I1106" s="1">
        <v>43243</v>
      </c>
      <c r="J1106">
        <v>11.18</v>
      </c>
      <c r="K1106" s="1">
        <v>43187</v>
      </c>
      <c r="L1106">
        <v>90.058000000000007</v>
      </c>
    </row>
    <row r="1107" spans="1:12" x14ac:dyDescent="0.25">
      <c r="A1107" s="1">
        <v>43244</v>
      </c>
      <c r="B1107">
        <v>12.53</v>
      </c>
      <c r="C1107" s="1">
        <v>43244</v>
      </c>
      <c r="D1107">
        <v>19.14</v>
      </c>
      <c r="E1107" s="1">
        <v>43188</v>
      </c>
      <c r="F1107">
        <v>58.541400000000003</v>
      </c>
      <c r="G1107" s="1">
        <v>43244</v>
      </c>
      <c r="H1107">
        <v>25.37</v>
      </c>
      <c r="I1107" s="1">
        <v>43244</v>
      </c>
      <c r="J1107">
        <v>10.99</v>
      </c>
      <c r="K1107" s="1">
        <v>43188</v>
      </c>
      <c r="L1107">
        <v>90.150999999999996</v>
      </c>
    </row>
    <row r="1108" spans="1:12" x14ac:dyDescent="0.25">
      <c r="A1108" s="1">
        <v>43245</v>
      </c>
      <c r="B1108">
        <v>13.22</v>
      </c>
      <c r="C1108" s="1">
        <v>43245</v>
      </c>
      <c r="D1108">
        <v>18.41</v>
      </c>
      <c r="E1108" s="1">
        <v>43189</v>
      </c>
      <c r="F1108">
        <v>58.541400000000003</v>
      </c>
      <c r="G1108" s="1">
        <v>43245</v>
      </c>
      <c r="H1108">
        <v>27.76</v>
      </c>
      <c r="I1108" s="1">
        <v>43245</v>
      </c>
      <c r="J1108">
        <v>10.31</v>
      </c>
      <c r="K1108" s="1">
        <v>43189</v>
      </c>
      <c r="L1108">
        <v>89.974000000000004</v>
      </c>
    </row>
    <row r="1109" spans="1:12" x14ac:dyDescent="0.25">
      <c r="A1109" s="1">
        <v>43249</v>
      </c>
      <c r="B1109">
        <v>17.02</v>
      </c>
      <c r="C1109" s="1">
        <v>43249</v>
      </c>
      <c r="D1109">
        <v>22.41</v>
      </c>
      <c r="E1109" s="1">
        <v>43192</v>
      </c>
      <c r="F1109">
        <v>58.6648</v>
      </c>
      <c r="G1109" s="1">
        <v>43249</v>
      </c>
      <c r="H1109">
        <v>29.04</v>
      </c>
      <c r="I1109" s="1">
        <v>43249</v>
      </c>
      <c r="J1109">
        <v>12.33</v>
      </c>
      <c r="K1109" s="1">
        <v>43192</v>
      </c>
      <c r="L1109">
        <v>90.052000000000007</v>
      </c>
    </row>
    <row r="1110" spans="1:12" x14ac:dyDescent="0.25">
      <c r="A1110" s="1">
        <v>43250</v>
      </c>
      <c r="B1110">
        <v>14.94</v>
      </c>
      <c r="C1110" s="1">
        <v>43250</v>
      </c>
      <c r="D1110">
        <v>20.11</v>
      </c>
      <c r="E1110" s="1">
        <v>43193</v>
      </c>
      <c r="F1110">
        <v>56.022599999999997</v>
      </c>
      <c r="G1110" s="1">
        <v>43250</v>
      </c>
      <c r="H1110">
        <v>27.9</v>
      </c>
      <c r="I1110" s="1">
        <v>43250</v>
      </c>
      <c r="J1110">
        <v>10.87</v>
      </c>
      <c r="K1110" s="1">
        <v>43193</v>
      </c>
      <c r="L1110">
        <v>90.2</v>
      </c>
    </row>
    <row r="1111" spans="1:12" x14ac:dyDescent="0.25">
      <c r="A1111" s="1">
        <v>43251</v>
      </c>
      <c r="B1111">
        <v>15.43</v>
      </c>
      <c r="C1111" s="1">
        <v>43251</v>
      </c>
      <c r="D1111">
        <v>19.329999999999998</v>
      </c>
      <c r="E1111" s="1">
        <v>43194</v>
      </c>
      <c r="F1111">
        <v>55.349600000000002</v>
      </c>
      <c r="G1111" s="1">
        <v>43251</v>
      </c>
      <c r="H1111">
        <v>27.61</v>
      </c>
      <c r="I1111" s="1">
        <v>43251</v>
      </c>
      <c r="J1111">
        <v>10.92</v>
      </c>
      <c r="K1111" s="1">
        <v>43194</v>
      </c>
      <c r="L1111">
        <v>90.141999999999996</v>
      </c>
    </row>
    <row r="1112" spans="1:12" x14ac:dyDescent="0.25">
      <c r="A1112" s="1">
        <v>43252</v>
      </c>
      <c r="B1112">
        <v>13.46</v>
      </c>
      <c r="C1112" s="1">
        <v>43252</v>
      </c>
      <c r="D1112">
        <v>17.79</v>
      </c>
      <c r="E1112" s="1">
        <v>43195</v>
      </c>
      <c r="F1112">
        <v>53.722000000000001</v>
      </c>
      <c r="G1112" s="1">
        <v>43252</v>
      </c>
      <c r="H1112">
        <v>28.65</v>
      </c>
      <c r="I1112" s="1">
        <v>43252</v>
      </c>
      <c r="J1112">
        <v>10.58</v>
      </c>
      <c r="K1112" s="1">
        <v>43195</v>
      </c>
      <c r="L1112">
        <v>90.46</v>
      </c>
    </row>
    <row r="1113" spans="1:12" x14ac:dyDescent="0.25">
      <c r="A1113" s="1">
        <v>43255</v>
      </c>
      <c r="B1113">
        <v>12.74</v>
      </c>
      <c r="C1113" s="1">
        <v>43255</v>
      </c>
      <c r="D1113">
        <v>17.22</v>
      </c>
      <c r="E1113" s="1">
        <v>43196</v>
      </c>
      <c r="F1113">
        <v>56.068199999999997</v>
      </c>
      <c r="G1113" s="1">
        <v>43255</v>
      </c>
      <c r="H1113">
        <v>29.49</v>
      </c>
      <c r="I1113" s="1">
        <v>43255</v>
      </c>
      <c r="J1113">
        <v>10.54</v>
      </c>
      <c r="K1113" s="1">
        <v>43196</v>
      </c>
      <c r="L1113">
        <v>90.108000000000004</v>
      </c>
    </row>
    <row r="1114" spans="1:12" x14ac:dyDescent="0.25">
      <c r="A1114" s="1">
        <v>43256</v>
      </c>
      <c r="B1114">
        <v>12.4</v>
      </c>
      <c r="C1114" s="1">
        <v>43256</v>
      </c>
      <c r="D1114">
        <v>17.79</v>
      </c>
      <c r="E1114" s="1">
        <v>43199</v>
      </c>
      <c r="F1114">
        <v>52.508200000000002</v>
      </c>
      <c r="G1114" s="1">
        <v>43256</v>
      </c>
      <c r="H1114">
        <v>29.3</v>
      </c>
      <c r="I1114" s="1">
        <v>43256</v>
      </c>
      <c r="J1114">
        <v>10.46</v>
      </c>
      <c r="K1114" s="1">
        <v>43199</v>
      </c>
      <c r="L1114">
        <v>89.837999999999994</v>
      </c>
    </row>
    <row r="1115" spans="1:12" x14ac:dyDescent="0.25">
      <c r="A1115" s="1">
        <v>43257</v>
      </c>
      <c r="B1115">
        <v>11.64</v>
      </c>
      <c r="C1115" s="1">
        <v>43257</v>
      </c>
      <c r="D1115">
        <v>17.09</v>
      </c>
      <c r="E1115" s="1">
        <v>43200</v>
      </c>
      <c r="F1115">
        <v>51.433100000000003</v>
      </c>
      <c r="G1115" s="1">
        <v>43257</v>
      </c>
      <c r="H1115">
        <v>29.14</v>
      </c>
      <c r="I1115" s="1">
        <v>43257</v>
      </c>
      <c r="J1115">
        <v>10.31</v>
      </c>
      <c r="K1115" s="1">
        <v>43200</v>
      </c>
      <c r="L1115">
        <v>89.587000000000003</v>
      </c>
    </row>
    <row r="1116" spans="1:12" x14ac:dyDescent="0.25">
      <c r="A1116" s="1">
        <v>43258</v>
      </c>
      <c r="B1116">
        <v>12.13</v>
      </c>
      <c r="C1116" s="1">
        <v>43258</v>
      </c>
      <c r="D1116">
        <v>18.61</v>
      </c>
      <c r="E1116" s="1">
        <v>43201</v>
      </c>
      <c r="F1116">
        <v>50.499699999999997</v>
      </c>
      <c r="G1116" s="1">
        <v>43258</v>
      </c>
      <c r="H1116">
        <v>28.05</v>
      </c>
      <c r="I1116" s="1">
        <v>43258</v>
      </c>
      <c r="J1116">
        <v>10.55</v>
      </c>
      <c r="K1116" s="1">
        <v>43201</v>
      </c>
      <c r="L1116">
        <v>89.567999999999998</v>
      </c>
    </row>
    <row r="1117" spans="1:12" x14ac:dyDescent="0.25">
      <c r="A1117" s="1">
        <v>43259</v>
      </c>
      <c r="B1117">
        <v>12.18</v>
      </c>
      <c r="C1117" s="1">
        <v>43259</v>
      </c>
      <c r="D1117">
        <v>18.27</v>
      </c>
      <c r="E1117" s="1">
        <v>43202</v>
      </c>
      <c r="F1117">
        <v>51.487499999999997</v>
      </c>
      <c r="G1117" s="1">
        <v>43259</v>
      </c>
      <c r="H1117">
        <v>27.59</v>
      </c>
      <c r="I1117" s="1">
        <v>43259</v>
      </c>
      <c r="J1117">
        <v>10.69</v>
      </c>
      <c r="K1117" s="1">
        <v>43202</v>
      </c>
      <c r="L1117">
        <v>89.751000000000005</v>
      </c>
    </row>
    <row r="1118" spans="1:12" x14ac:dyDescent="0.25">
      <c r="A1118" s="1">
        <v>43262</v>
      </c>
      <c r="B1118">
        <v>12.35</v>
      </c>
      <c r="C1118" s="1">
        <v>43262</v>
      </c>
      <c r="D1118">
        <v>17.57</v>
      </c>
      <c r="E1118" s="1">
        <v>43203</v>
      </c>
      <c r="F1118">
        <v>51.142600000000002</v>
      </c>
      <c r="G1118" s="1">
        <v>43262</v>
      </c>
      <c r="H1118">
        <v>26.86</v>
      </c>
      <c r="I1118" s="1">
        <v>43262</v>
      </c>
      <c r="J1118">
        <v>10.54</v>
      </c>
      <c r="K1118" s="1">
        <v>43203</v>
      </c>
      <c r="L1118">
        <v>89.8</v>
      </c>
    </row>
    <row r="1119" spans="1:12" x14ac:dyDescent="0.25">
      <c r="A1119" s="1">
        <v>43263</v>
      </c>
      <c r="B1119">
        <v>12.34</v>
      </c>
      <c r="C1119" s="1">
        <v>43263</v>
      </c>
      <c r="D1119">
        <v>16.899999999999999</v>
      </c>
      <c r="E1119" s="1">
        <v>43206</v>
      </c>
      <c r="F1119">
        <v>49.741</v>
      </c>
      <c r="G1119" s="1">
        <v>43263</v>
      </c>
      <c r="H1119">
        <v>26.58</v>
      </c>
      <c r="I1119" s="1">
        <v>43263</v>
      </c>
      <c r="J1119">
        <v>10.52</v>
      </c>
      <c r="K1119" s="1">
        <v>43206</v>
      </c>
      <c r="L1119">
        <v>89.424999999999997</v>
      </c>
    </row>
    <row r="1120" spans="1:12" x14ac:dyDescent="0.25">
      <c r="A1120" s="1">
        <v>43264</v>
      </c>
      <c r="B1120">
        <v>12.94</v>
      </c>
      <c r="C1120" s="1">
        <v>43264</v>
      </c>
      <c r="D1120">
        <v>17.649999999999999</v>
      </c>
      <c r="E1120" s="1">
        <v>43207</v>
      </c>
      <c r="F1120">
        <v>48.340800000000002</v>
      </c>
      <c r="G1120" s="1">
        <v>43264</v>
      </c>
      <c r="H1120">
        <v>27.08</v>
      </c>
      <c r="I1120" s="1">
        <v>43264</v>
      </c>
      <c r="J1120">
        <v>10.6</v>
      </c>
      <c r="K1120" s="1">
        <v>43207</v>
      </c>
      <c r="L1120">
        <v>89.516000000000005</v>
      </c>
    </row>
    <row r="1121" spans="1:12" x14ac:dyDescent="0.25">
      <c r="A1121" s="1">
        <v>43265</v>
      </c>
      <c r="B1121">
        <v>12.12</v>
      </c>
      <c r="C1121" s="1">
        <v>43265</v>
      </c>
      <c r="D1121">
        <v>17.899999999999999</v>
      </c>
      <c r="E1121" s="1">
        <v>43208</v>
      </c>
      <c r="F1121">
        <v>50.002699999999997</v>
      </c>
      <c r="G1121" s="1">
        <v>43265</v>
      </c>
      <c r="H1121">
        <v>26.69</v>
      </c>
      <c r="I1121" s="1">
        <v>43265</v>
      </c>
      <c r="J1121">
        <v>9.83</v>
      </c>
      <c r="K1121" s="1">
        <v>43208</v>
      </c>
      <c r="L1121">
        <v>89.623000000000005</v>
      </c>
    </row>
    <row r="1122" spans="1:12" x14ac:dyDescent="0.25">
      <c r="A1122" s="1">
        <v>43266</v>
      </c>
      <c r="B1122">
        <v>11.98</v>
      </c>
      <c r="C1122" s="1">
        <v>43266</v>
      </c>
      <c r="D1122">
        <v>17.100000000000001</v>
      </c>
      <c r="E1122" s="1">
        <v>43209</v>
      </c>
      <c r="F1122">
        <v>51.0989</v>
      </c>
      <c r="G1122" s="1">
        <v>43266</v>
      </c>
      <c r="H1122">
        <v>27.64</v>
      </c>
      <c r="I1122" s="1">
        <v>43266</v>
      </c>
      <c r="J1122">
        <v>10.65</v>
      </c>
      <c r="K1122" s="1">
        <v>43209</v>
      </c>
      <c r="L1122">
        <v>89.94</v>
      </c>
    </row>
    <row r="1123" spans="1:12" x14ac:dyDescent="0.25">
      <c r="A1123" s="1">
        <v>43269</v>
      </c>
      <c r="B1123">
        <v>12.31</v>
      </c>
      <c r="C1123" s="1">
        <v>43269</v>
      </c>
      <c r="D1123">
        <v>18.22</v>
      </c>
      <c r="E1123" s="1">
        <v>43210</v>
      </c>
      <c r="F1123">
        <v>52.705399999999997</v>
      </c>
      <c r="G1123" s="1">
        <v>43269</v>
      </c>
      <c r="H1123">
        <v>27.58</v>
      </c>
      <c r="I1123" s="1">
        <v>43269</v>
      </c>
      <c r="J1123">
        <v>9.82</v>
      </c>
      <c r="K1123" s="1">
        <v>43210</v>
      </c>
      <c r="L1123">
        <v>90.316000000000003</v>
      </c>
    </row>
    <row r="1124" spans="1:12" x14ac:dyDescent="0.25">
      <c r="A1124" s="1">
        <v>43270</v>
      </c>
      <c r="B1124">
        <v>13.35</v>
      </c>
      <c r="C1124" s="1">
        <v>43270</v>
      </c>
      <c r="D1124">
        <v>19.5</v>
      </c>
      <c r="E1124" s="1">
        <v>43213</v>
      </c>
      <c r="F1124">
        <v>52.79</v>
      </c>
      <c r="G1124" s="1">
        <v>43270</v>
      </c>
      <c r="H1124">
        <v>28.01</v>
      </c>
      <c r="I1124" s="1">
        <v>43270</v>
      </c>
      <c r="J1124">
        <v>10.99</v>
      </c>
      <c r="K1124" s="1">
        <v>43213</v>
      </c>
      <c r="L1124">
        <v>90.945999999999998</v>
      </c>
    </row>
    <row r="1125" spans="1:12" x14ac:dyDescent="0.25">
      <c r="A1125" s="1">
        <v>43271</v>
      </c>
      <c r="B1125">
        <v>12.79</v>
      </c>
      <c r="C1125" s="1">
        <v>43271</v>
      </c>
      <c r="D1125">
        <v>18.420000000000002</v>
      </c>
      <c r="E1125" s="1">
        <v>43214</v>
      </c>
      <c r="F1125">
        <v>52.998899999999999</v>
      </c>
      <c r="G1125" s="1">
        <v>43271</v>
      </c>
      <c r="H1125">
        <v>28.06</v>
      </c>
      <c r="I1125" s="1">
        <v>43271</v>
      </c>
      <c r="J1125">
        <v>11.08</v>
      </c>
      <c r="K1125" s="1">
        <v>43214</v>
      </c>
      <c r="L1125">
        <v>90.766000000000005</v>
      </c>
    </row>
    <row r="1126" spans="1:12" x14ac:dyDescent="0.25">
      <c r="A1126" s="1">
        <v>43272</v>
      </c>
      <c r="B1126">
        <v>14.64</v>
      </c>
      <c r="C1126" s="1">
        <v>43272</v>
      </c>
      <c r="D1126">
        <v>19.739999999999998</v>
      </c>
      <c r="E1126" s="1">
        <v>43215</v>
      </c>
      <c r="F1126">
        <v>55.201300000000003</v>
      </c>
      <c r="G1126" s="1">
        <v>43272</v>
      </c>
      <c r="H1126">
        <v>27.78</v>
      </c>
      <c r="I1126" s="1">
        <v>43272</v>
      </c>
      <c r="J1126">
        <v>11.22</v>
      </c>
      <c r="K1126" s="1">
        <v>43215</v>
      </c>
      <c r="L1126">
        <v>91.171999999999997</v>
      </c>
    </row>
    <row r="1127" spans="1:12" x14ac:dyDescent="0.25">
      <c r="A1127" s="1">
        <v>43273</v>
      </c>
      <c r="B1127">
        <v>13.77</v>
      </c>
      <c r="C1127" s="1">
        <v>43273</v>
      </c>
      <c r="D1127">
        <v>18.68</v>
      </c>
      <c r="E1127" s="1">
        <v>43216</v>
      </c>
      <c r="F1127">
        <v>53.137799999999999</v>
      </c>
      <c r="G1127" s="1">
        <v>43273</v>
      </c>
      <c r="H1127">
        <v>25.52</v>
      </c>
      <c r="I1127" s="1">
        <v>43273</v>
      </c>
      <c r="J1127">
        <v>10.67</v>
      </c>
      <c r="K1127" s="1">
        <v>43216</v>
      </c>
      <c r="L1127">
        <v>91.561000000000007</v>
      </c>
    </row>
    <row r="1128" spans="1:12" x14ac:dyDescent="0.25">
      <c r="A1128" s="1">
        <v>43276</v>
      </c>
      <c r="B1128">
        <v>17.329999999999998</v>
      </c>
      <c r="C1128" s="1">
        <v>43276</v>
      </c>
      <c r="D1128">
        <v>21.04</v>
      </c>
      <c r="E1128" s="1">
        <v>43217</v>
      </c>
      <c r="F1128">
        <v>51.266599999999997</v>
      </c>
      <c r="G1128" s="1">
        <v>43276</v>
      </c>
      <c r="H1128">
        <v>26.1</v>
      </c>
      <c r="I1128" s="1">
        <v>43276</v>
      </c>
      <c r="J1128">
        <v>10.83</v>
      </c>
      <c r="K1128" s="1">
        <v>43217</v>
      </c>
      <c r="L1128">
        <v>91.542000000000002</v>
      </c>
    </row>
    <row r="1129" spans="1:12" x14ac:dyDescent="0.25">
      <c r="A1129" s="1">
        <v>43277</v>
      </c>
      <c r="B1129">
        <v>15.92</v>
      </c>
      <c r="C1129" s="1">
        <v>43277</v>
      </c>
      <c r="D1129">
        <v>20.48</v>
      </c>
      <c r="E1129" s="1">
        <v>43220</v>
      </c>
      <c r="F1129">
        <v>50.354799999999997</v>
      </c>
      <c r="G1129" s="1">
        <v>43277</v>
      </c>
      <c r="H1129">
        <v>25.67</v>
      </c>
      <c r="I1129" s="1">
        <v>43277</v>
      </c>
      <c r="J1129">
        <v>10.97</v>
      </c>
      <c r="K1129" s="1">
        <v>43220</v>
      </c>
      <c r="L1129">
        <v>91.840999999999994</v>
      </c>
    </row>
    <row r="1130" spans="1:12" x14ac:dyDescent="0.25">
      <c r="A1130" s="1">
        <v>43278</v>
      </c>
      <c r="B1130">
        <v>17.91</v>
      </c>
      <c r="C1130" s="1">
        <v>43278</v>
      </c>
      <c r="D1130">
        <v>23.01</v>
      </c>
      <c r="E1130" s="1">
        <v>43221</v>
      </c>
      <c r="F1130">
        <v>51.7834</v>
      </c>
      <c r="G1130" s="1">
        <v>43278</v>
      </c>
      <c r="H1130">
        <v>27.69</v>
      </c>
      <c r="I1130" s="1">
        <v>43278</v>
      </c>
      <c r="J1130">
        <v>11.01</v>
      </c>
      <c r="K1130" s="1">
        <v>43221</v>
      </c>
      <c r="L1130">
        <v>92.448999999999998</v>
      </c>
    </row>
    <row r="1131" spans="1:12" x14ac:dyDescent="0.25">
      <c r="A1131" s="1">
        <v>43279</v>
      </c>
      <c r="B1131">
        <v>16.850000000000001</v>
      </c>
      <c r="C1131" s="1">
        <v>43279</v>
      </c>
      <c r="D1131">
        <v>21.57</v>
      </c>
      <c r="E1131" s="1">
        <v>43222</v>
      </c>
      <c r="F1131">
        <v>49.050600000000003</v>
      </c>
      <c r="G1131" s="1">
        <v>43279</v>
      </c>
      <c r="H1131">
        <v>27.35</v>
      </c>
      <c r="I1131" s="1">
        <v>43279</v>
      </c>
      <c r="J1131">
        <v>11.03</v>
      </c>
      <c r="K1131" s="1">
        <v>43222</v>
      </c>
      <c r="L1131">
        <v>92.512</v>
      </c>
    </row>
    <row r="1132" spans="1:12" x14ac:dyDescent="0.25">
      <c r="A1132" s="1">
        <v>43280</v>
      </c>
      <c r="B1132">
        <v>16.09</v>
      </c>
      <c r="C1132" s="1">
        <v>43280</v>
      </c>
      <c r="D1132">
        <v>20.77</v>
      </c>
      <c r="E1132" s="1">
        <v>43223</v>
      </c>
      <c r="F1132">
        <v>49.433399999999999</v>
      </c>
      <c r="G1132" s="1">
        <v>43280</v>
      </c>
      <c r="H1132">
        <v>27.18</v>
      </c>
      <c r="I1132" s="1">
        <v>43280</v>
      </c>
      <c r="J1132">
        <v>10.75</v>
      </c>
      <c r="K1132" s="1">
        <v>43223</v>
      </c>
      <c r="L1132">
        <v>92.414000000000001</v>
      </c>
    </row>
    <row r="1133" spans="1:12" x14ac:dyDescent="0.25">
      <c r="A1133" s="1">
        <v>43283</v>
      </c>
      <c r="B1133">
        <v>15.6</v>
      </c>
      <c r="C1133" s="1">
        <v>43283</v>
      </c>
      <c r="D1133">
        <v>22.31</v>
      </c>
      <c r="E1133" s="1">
        <v>43224</v>
      </c>
      <c r="F1133">
        <v>48.4818</v>
      </c>
      <c r="G1133" s="1">
        <v>43283</v>
      </c>
      <c r="H1133">
        <v>28.65</v>
      </c>
      <c r="I1133" s="1">
        <v>43283</v>
      </c>
      <c r="J1133">
        <v>11.75</v>
      </c>
      <c r="K1133" s="1">
        <v>43224</v>
      </c>
      <c r="L1133">
        <v>92.566000000000003</v>
      </c>
    </row>
    <row r="1134" spans="1:12" x14ac:dyDescent="0.25">
      <c r="A1134" s="1">
        <v>43284</v>
      </c>
      <c r="B1134">
        <v>16.14</v>
      </c>
      <c r="C1134" s="1">
        <v>43284</v>
      </c>
      <c r="D1134">
        <v>22.03</v>
      </c>
      <c r="E1134" s="1">
        <v>43227</v>
      </c>
      <c r="F1134">
        <v>48.018700000000003</v>
      </c>
      <c r="G1134" s="1">
        <v>43284</v>
      </c>
      <c r="H1134">
        <v>28.58</v>
      </c>
      <c r="I1134" s="1">
        <v>43284</v>
      </c>
      <c r="J1134">
        <v>11.41</v>
      </c>
      <c r="K1134" s="1">
        <v>43227</v>
      </c>
      <c r="L1134">
        <v>92.748999999999995</v>
      </c>
    </row>
    <row r="1135" spans="1:12" x14ac:dyDescent="0.25">
      <c r="A1135" s="1">
        <v>43286</v>
      </c>
      <c r="B1135">
        <v>14.97</v>
      </c>
      <c r="C1135" s="1">
        <v>43286</v>
      </c>
      <c r="D1135">
        <v>21.9</v>
      </c>
      <c r="E1135" s="1">
        <v>43228</v>
      </c>
      <c r="F1135">
        <v>48.8187</v>
      </c>
      <c r="G1135" s="1">
        <v>43286</v>
      </c>
      <c r="H1135">
        <v>28.77</v>
      </c>
      <c r="I1135" s="1">
        <v>43286</v>
      </c>
      <c r="J1135">
        <v>11.32</v>
      </c>
      <c r="K1135" s="1">
        <v>43228</v>
      </c>
      <c r="L1135">
        <v>93.12</v>
      </c>
    </row>
    <row r="1136" spans="1:12" x14ac:dyDescent="0.25">
      <c r="A1136" s="1">
        <v>43287</v>
      </c>
      <c r="B1136">
        <v>13.37</v>
      </c>
      <c r="C1136" s="1">
        <v>43287</v>
      </c>
      <c r="D1136">
        <v>19.98</v>
      </c>
      <c r="E1136" s="1">
        <v>43229</v>
      </c>
      <c r="F1136">
        <v>49.374400000000001</v>
      </c>
      <c r="G1136" s="1">
        <v>43287</v>
      </c>
      <c r="H1136">
        <v>28.13</v>
      </c>
      <c r="I1136" s="1">
        <v>43287</v>
      </c>
      <c r="J1136">
        <v>10.65</v>
      </c>
      <c r="K1136" s="1">
        <v>43229</v>
      </c>
      <c r="L1136">
        <v>93.04</v>
      </c>
    </row>
    <row r="1137" spans="1:12" x14ac:dyDescent="0.25">
      <c r="A1137" s="1">
        <v>43290</v>
      </c>
      <c r="B1137">
        <v>12.69</v>
      </c>
      <c r="C1137" s="1">
        <v>43290</v>
      </c>
      <c r="D1137">
        <v>18.579999999999998</v>
      </c>
      <c r="E1137" s="1">
        <v>43230</v>
      </c>
      <c r="F1137">
        <v>47.8065</v>
      </c>
      <c r="G1137" s="1">
        <v>43290</v>
      </c>
      <c r="H1137">
        <v>28.12</v>
      </c>
      <c r="I1137" s="1">
        <v>43290</v>
      </c>
      <c r="J1137">
        <v>10.55</v>
      </c>
      <c r="K1137" s="1">
        <v>43230</v>
      </c>
      <c r="L1137">
        <v>92.65</v>
      </c>
    </row>
    <row r="1138" spans="1:12" x14ac:dyDescent="0.25">
      <c r="A1138" s="1">
        <v>43291</v>
      </c>
      <c r="B1138">
        <v>12.64</v>
      </c>
      <c r="C1138" s="1">
        <v>43291</v>
      </c>
      <c r="D1138">
        <v>17.71</v>
      </c>
      <c r="E1138" s="1">
        <v>43231</v>
      </c>
      <c r="F1138">
        <v>47.057400000000001</v>
      </c>
      <c r="G1138" s="1">
        <v>43291</v>
      </c>
      <c r="H1138">
        <v>26.9</v>
      </c>
      <c r="I1138" s="1">
        <v>43291</v>
      </c>
      <c r="J1138">
        <v>10.69</v>
      </c>
      <c r="K1138" s="1">
        <v>43231</v>
      </c>
      <c r="L1138">
        <v>92.537000000000006</v>
      </c>
    </row>
    <row r="1139" spans="1:12" x14ac:dyDescent="0.25">
      <c r="A1139" s="1">
        <v>43292</v>
      </c>
      <c r="B1139">
        <v>13.63</v>
      </c>
      <c r="C1139" s="1">
        <v>43292</v>
      </c>
      <c r="D1139">
        <v>19.43</v>
      </c>
      <c r="E1139" s="1">
        <v>43234</v>
      </c>
      <c r="F1139">
        <v>48.339799999999997</v>
      </c>
      <c r="G1139" s="1">
        <v>43292</v>
      </c>
      <c r="H1139">
        <v>28.56</v>
      </c>
      <c r="I1139" s="1">
        <v>43292</v>
      </c>
      <c r="J1139">
        <v>11.25</v>
      </c>
      <c r="K1139" s="1">
        <v>43234</v>
      </c>
      <c r="L1139">
        <v>92.587000000000003</v>
      </c>
    </row>
    <row r="1140" spans="1:12" x14ac:dyDescent="0.25">
      <c r="A1140" s="1">
        <v>43293</v>
      </c>
      <c r="B1140">
        <v>12.58</v>
      </c>
      <c r="C1140" s="1">
        <v>43293</v>
      </c>
      <c r="D1140">
        <v>18.21</v>
      </c>
      <c r="E1140" s="1">
        <v>43235</v>
      </c>
      <c r="F1140">
        <v>52.657400000000003</v>
      </c>
      <c r="G1140" s="1">
        <v>43293</v>
      </c>
      <c r="H1140">
        <v>27.81</v>
      </c>
      <c r="I1140" s="1">
        <v>43293</v>
      </c>
      <c r="J1140">
        <v>10.82</v>
      </c>
      <c r="K1140" s="1">
        <v>43235</v>
      </c>
      <c r="L1140">
        <v>93.218999999999994</v>
      </c>
    </row>
    <row r="1141" spans="1:12" x14ac:dyDescent="0.25">
      <c r="A1141" s="1">
        <v>43294</v>
      </c>
      <c r="B1141">
        <v>12.18</v>
      </c>
      <c r="C1141" s="1">
        <v>43294</v>
      </c>
      <c r="D1141">
        <v>17.48</v>
      </c>
      <c r="E1141" s="1">
        <v>43236</v>
      </c>
      <c r="F1141">
        <v>55.132199999999997</v>
      </c>
      <c r="G1141" s="1">
        <v>43294</v>
      </c>
      <c r="H1141">
        <v>27.54</v>
      </c>
      <c r="I1141" s="1">
        <v>43294</v>
      </c>
      <c r="J1141">
        <v>10.99</v>
      </c>
      <c r="K1141" s="1">
        <v>43236</v>
      </c>
      <c r="L1141">
        <v>93.391999999999996</v>
      </c>
    </row>
    <row r="1142" spans="1:12" x14ac:dyDescent="0.25">
      <c r="A1142" s="1">
        <v>43297</v>
      </c>
      <c r="B1142">
        <v>12.83</v>
      </c>
      <c r="C1142" s="1">
        <v>43297</v>
      </c>
      <c r="D1142">
        <v>17.39</v>
      </c>
      <c r="E1142" s="1">
        <v>43237</v>
      </c>
      <c r="F1142">
        <v>54.193600000000004</v>
      </c>
      <c r="G1142" s="1">
        <v>43297</v>
      </c>
      <c r="H1142">
        <v>29.01</v>
      </c>
      <c r="I1142" s="1">
        <v>43297</v>
      </c>
      <c r="J1142">
        <v>11.46</v>
      </c>
      <c r="K1142" s="1">
        <v>43237</v>
      </c>
      <c r="L1142">
        <v>93.468999999999994</v>
      </c>
    </row>
    <row r="1143" spans="1:12" x14ac:dyDescent="0.25">
      <c r="A1143" s="1">
        <v>43298</v>
      </c>
      <c r="B1143">
        <v>12.06</v>
      </c>
      <c r="C1143" s="1">
        <v>43298</v>
      </c>
      <c r="D1143">
        <v>16.88</v>
      </c>
      <c r="E1143" s="1">
        <v>43238</v>
      </c>
      <c r="F1143">
        <v>53.260599999999997</v>
      </c>
      <c r="G1143" s="1">
        <v>43298</v>
      </c>
      <c r="H1143">
        <v>28</v>
      </c>
      <c r="I1143" s="1">
        <v>43298</v>
      </c>
      <c r="J1143">
        <v>11.79</v>
      </c>
      <c r="K1143" s="1">
        <v>43238</v>
      </c>
      <c r="L1143">
        <v>93.637</v>
      </c>
    </row>
    <row r="1144" spans="1:12" x14ac:dyDescent="0.25">
      <c r="A1144" s="1">
        <v>43299</v>
      </c>
      <c r="B1144">
        <v>12.1</v>
      </c>
      <c r="C1144" s="1">
        <v>43299</v>
      </c>
      <c r="D1144">
        <v>17.149999999999999</v>
      </c>
      <c r="E1144" s="1">
        <v>43241</v>
      </c>
      <c r="F1144">
        <v>53.081200000000003</v>
      </c>
      <c r="G1144" s="1">
        <v>43299</v>
      </c>
      <c r="H1144">
        <v>27.24</v>
      </c>
      <c r="I1144" s="1">
        <v>43299</v>
      </c>
      <c r="J1144">
        <v>12.15</v>
      </c>
      <c r="K1144" s="1">
        <v>43241</v>
      </c>
      <c r="L1144">
        <v>93.677000000000007</v>
      </c>
    </row>
    <row r="1145" spans="1:12" x14ac:dyDescent="0.25">
      <c r="A1145" s="1">
        <v>43300</v>
      </c>
      <c r="B1145">
        <v>12.87</v>
      </c>
      <c r="C1145" s="1">
        <v>43300</v>
      </c>
      <c r="D1145">
        <v>18.100000000000001</v>
      </c>
      <c r="E1145" s="1">
        <v>43242</v>
      </c>
      <c r="F1145">
        <v>52.571599999999997</v>
      </c>
      <c r="G1145" s="1">
        <v>43300</v>
      </c>
      <c r="H1145">
        <v>26.84</v>
      </c>
      <c r="I1145" s="1">
        <v>43300</v>
      </c>
      <c r="J1145">
        <v>12.66</v>
      </c>
      <c r="K1145" s="1">
        <v>43242</v>
      </c>
      <c r="L1145">
        <v>93.608999999999995</v>
      </c>
    </row>
    <row r="1146" spans="1:12" x14ac:dyDescent="0.25">
      <c r="A1146" s="1">
        <v>43301</v>
      </c>
      <c r="B1146">
        <v>12.86</v>
      </c>
      <c r="C1146" s="1">
        <v>43301</v>
      </c>
      <c r="D1146">
        <v>17.32</v>
      </c>
      <c r="E1146" s="1">
        <v>43243</v>
      </c>
      <c r="F1146">
        <v>53.268700000000003</v>
      </c>
      <c r="G1146" s="1">
        <v>43301</v>
      </c>
      <c r="H1146">
        <v>26.01</v>
      </c>
      <c r="I1146" s="1">
        <v>43301</v>
      </c>
      <c r="J1146">
        <v>12.1</v>
      </c>
      <c r="K1146" s="1">
        <v>43243</v>
      </c>
      <c r="L1146">
        <v>94.003</v>
      </c>
    </row>
    <row r="1147" spans="1:12" x14ac:dyDescent="0.25">
      <c r="A1147" s="1">
        <v>43304</v>
      </c>
      <c r="B1147">
        <v>12.62</v>
      </c>
      <c r="C1147" s="1">
        <v>43304</v>
      </c>
      <c r="D1147">
        <v>18.260000000000002</v>
      </c>
      <c r="E1147" s="1">
        <v>43244</v>
      </c>
      <c r="F1147">
        <v>52.160800000000002</v>
      </c>
      <c r="G1147" s="1">
        <v>43304</v>
      </c>
      <c r="H1147">
        <v>26.15</v>
      </c>
      <c r="I1147" s="1">
        <v>43304</v>
      </c>
      <c r="J1147">
        <v>12.22</v>
      </c>
      <c r="K1147" s="1">
        <v>43244</v>
      </c>
      <c r="L1147">
        <v>93.775000000000006</v>
      </c>
    </row>
    <row r="1148" spans="1:12" x14ac:dyDescent="0.25">
      <c r="A1148" s="1">
        <v>43305</v>
      </c>
      <c r="B1148">
        <v>12.41</v>
      </c>
      <c r="C1148" s="1">
        <v>43305</v>
      </c>
      <c r="D1148">
        <v>17.97</v>
      </c>
      <c r="E1148" s="1">
        <v>43245</v>
      </c>
      <c r="F1148">
        <v>54.094999999999999</v>
      </c>
      <c r="G1148" s="1">
        <v>43305</v>
      </c>
      <c r="H1148">
        <v>25.65</v>
      </c>
      <c r="I1148" s="1">
        <v>43305</v>
      </c>
      <c r="J1148">
        <v>11.74</v>
      </c>
      <c r="K1148" s="1">
        <v>43245</v>
      </c>
      <c r="L1148">
        <v>94.253</v>
      </c>
    </row>
    <row r="1149" spans="1:12" x14ac:dyDescent="0.25">
      <c r="A1149" s="1">
        <v>43306</v>
      </c>
      <c r="B1149">
        <v>12.29</v>
      </c>
      <c r="C1149" s="1">
        <v>43306</v>
      </c>
      <c r="D1149">
        <v>17.25</v>
      </c>
      <c r="E1149" s="1">
        <v>43248</v>
      </c>
      <c r="F1149">
        <v>54.094999999999999</v>
      </c>
      <c r="G1149" s="1">
        <v>43306</v>
      </c>
      <c r="H1149">
        <v>25.34</v>
      </c>
      <c r="I1149" s="1">
        <v>43306</v>
      </c>
      <c r="J1149">
        <v>11.65</v>
      </c>
      <c r="K1149" s="1">
        <v>43248</v>
      </c>
      <c r="L1149">
        <v>94.418000000000006</v>
      </c>
    </row>
    <row r="1150" spans="1:12" x14ac:dyDescent="0.25">
      <c r="A1150" s="1">
        <v>43307</v>
      </c>
      <c r="B1150">
        <v>12.14</v>
      </c>
      <c r="C1150" s="1">
        <v>43307</v>
      </c>
      <c r="D1150">
        <v>17.48</v>
      </c>
      <c r="E1150" s="1">
        <v>43249</v>
      </c>
      <c r="F1150">
        <v>62.997500000000002</v>
      </c>
      <c r="G1150" s="1">
        <v>43307</v>
      </c>
      <c r="H1150">
        <v>24.88</v>
      </c>
      <c r="I1150" s="1">
        <v>43307</v>
      </c>
      <c r="J1150">
        <v>11.43</v>
      </c>
      <c r="K1150" s="1">
        <v>43249</v>
      </c>
      <c r="L1150">
        <v>94.82</v>
      </c>
    </row>
    <row r="1151" spans="1:12" x14ac:dyDescent="0.25">
      <c r="A1151" s="1">
        <v>43308</v>
      </c>
      <c r="B1151">
        <v>13.03</v>
      </c>
      <c r="C1151" s="1">
        <v>43308</v>
      </c>
      <c r="D1151">
        <v>17.899999999999999</v>
      </c>
      <c r="E1151" s="1">
        <v>43250</v>
      </c>
      <c r="F1151">
        <v>61.862400000000001</v>
      </c>
      <c r="G1151" s="1">
        <v>43308</v>
      </c>
      <c r="H1151">
        <v>24.97</v>
      </c>
      <c r="I1151" s="1">
        <v>43308</v>
      </c>
      <c r="J1151">
        <v>11.05</v>
      </c>
      <c r="K1151" s="1">
        <v>43250</v>
      </c>
      <c r="L1151">
        <v>94.069000000000003</v>
      </c>
    </row>
    <row r="1152" spans="1:12" x14ac:dyDescent="0.25">
      <c r="A1152" s="1">
        <v>43311</v>
      </c>
      <c r="B1152">
        <v>14.26</v>
      </c>
      <c r="C1152" s="1">
        <v>43311</v>
      </c>
      <c r="D1152">
        <v>18.399999999999999</v>
      </c>
      <c r="E1152" s="1">
        <v>43251</v>
      </c>
      <c r="F1152">
        <v>60.543799999999997</v>
      </c>
      <c r="G1152" s="1">
        <v>43311</v>
      </c>
      <c r="H1152">
        <v>25.83</v>
      </c>
      <c r="I1152" s="1">
        <v>43311</v>
      </c>
      <c r="J1152">
        <v>11.18</v>
      </c>
      <c r="K1152" s="1">
        <v>43251</v>
      </c>
      <c r="L1152">
        <v>93.978999999999999</v>
      </c>
    </row>
    <row r="1153" spans="1:12" x14ac:dyDescent="0.25">
      <c r="A1153" s="1">
        <v>43312</v>
      </c>
      <c r="B1153">
        <v>12.83</v>
      </c>
      <c r="C1153" s="1">
        <v>43312</v>
      </c>
      <c r="D1153">
        <v>17.8</v>
      </c>
      <c r="E1153" s="1">
        <v>43252</v>
      </c>
      <c r="F1153">
        <v>56.938499999999998</v>
      </c>
      <c r="G1153" s="1">
        <v>43312</v>
      </c>
      <c r="H1153">
        <v>26.52</v>
      </c>
      <c r="I1153" s="1">
        <v>43312</v>
      </c>
      <c r="J1153">
        <v>11.21</v>
      </c>
      <c r="K1153" s="1">
        <v>43252</v>
      </c>
      <c r="L1153">
        <v>94.156000000000006</v>
      </c>
    </row>
    <row r="1154" spans="1:12" x14ac:dyDescent="0.25">
      <c r="A1154" s="1">
        <v>43313</v>
      </c>
      <c r="B1154">
        <v>13.15</v>
      </c>
      <c r="C1154" s="1">
        <v>43313</v>
      </c>
      <c r="D1154">
        <v>17.93</v>
      </c>
      <c r="E1154" s="1">
        <v>43255</v>
      </c>
      <c r="F1154">
        <v>54.295200000000001</v>
      </c>
      <c r="G1154" s="1">
        <v>43313</v>
      </c>
      <c r="H1154">
        <v>26.45</v>
      </c>
      <c r="I1154" s="1">
        <v>43313</v>
      </c>
      <c r="J1154">
        <v>10.91</v>
      </c>
      <c r="K1154" s="1">
        <v>43255</v>
      </c>
      <c r="L1154">
        <v>94.037999999999997</v>
      </c>
    </row>
    <row r="1155" spans="1:12" x14ac:dyDescent="0.25">
      <c r="A1155" s="1">
        <v>43314</v>
      </c>
      <c r="B1155">
        <v>12.19</v>
      </c>
      <c r="C1155" s="1">
        <v>43314</v>
      </c>
      <c r="D1155">
        <v>18.71</v>
      </c>
      <c r="E1155" s="1">
        <v>43256</v>
      </c>
      <c r="F1155">
        <v>54.462600000000002</v>
      </c>
      <c r="G1155" s="1">
        <v>43314</v>
      </c>
      <c r="H1155">
        <v>25.73</v>
      </c>
      <c r="I1155" s="1">
        <v>43314</v>
      </c>
      <c r="J1155">
        <v>11.08</v>
      </c>
      <c r="K1155" s="1">
        <v>43256</v>
      </c>
      <c r="L1155">
        <v>93.876000000000005</v>
      </c>
    </row>
    <row r="1156" spans="1:12" x14ac:dyDescent="0.25">
      <c r="A1156" s="1">
        <v>43315</v>
      </c>
      <c r="B1156">
        <v>11.64</v>
      </c>
      <c r="C1156" s="1">
        <v>43315</v>
      </c>
      <c r="D1156">
        <v>17.940000000000001</v>
      </c>
      <c r="E1156" s="1">
        <v>43257</v>
      </c>
      <c r="F1156">
        <v>56.441899999999997</v>
      </c>
      <c r="G1156" s="1">
        <v>43315</v>
      </c>
      <c r="H1156">
        <v>25.61</v>
      </c>
      <c r="I1156" s="1">
        <v>43315</v>
      </c>
      <c r="J1156">
        <v>10.77</v>
      </c>
      <c r="K1156" s="1">
        <v>43257</v>
      </c>
      <c r="L1156">
        <v>93.614000000000004</v>
      </c>
    </row>
    <row r="1157" spans="1:12" x14ac:dyDescent="0.25">
      <c r="A1157" s="1">
        <v>43318</v>
      </c>
      <c r="B1157">
        <v>11.27</v>
      </c>
      <c r="C1157" s="1">
        <v>43318</v>
      </c>
      <c r="D1157">
        <v>17.95</v>
      </c>
      <c r="E1157" s="1">
        <v>43258</v>
      </c>
      <c r="F1157">
        <v>56.581699999999998</v>
      </c>
      <c r="G1157" s="1">
        <v>43318</v>
      </c>
      <c r="H1157">
        <v>25.42</v>
      </c>
      <c r="I1157" s="1">
        <v>43318</v>
      </c>
      <c r="J1157">
        <v>11.02</v>
      </c>
      <c r="K1157" s="1">
        <v>43258</v>
      </c>
      <c r="L1157">
        <v>93.435000000000002</v>
      </c>
    </row>
    <row r="1158" spans="1:12" x14ac:dyDescent="0.25">
      <c r="A1158" s="1">
        <v>43319</v>
      </c>
      <c r="B1158">
        <v>10.93</v>
      </c>
      <c r="C1158" s="1">
        <v>43319</v>
      </c>
      <c r="D1158">
        <v>17.600000000000001</v>
      </c>
      <c r="E1158" s="1">
        <v>43259</v>
      </c>
      <c r="F1158">
        <v>59.573799999999999</v>
      </c>
      <c r="G1158" s="1">
        <v>43319</v>
      </c>
      <c r="H1158">
        <v>25.22</v>
      </c>
      <c r="I1158" s="1">
        <v>43319</v>
      </c>
      <c r="J1158">
        <v>11.11</v>
      </c>
      <c r="K1158" s="1">
        <v>43259</v>
      </c>
      <c r="L1158">
        <v>93.534999999999997</v>
      </c>
    </row>
    <row r="1159" spans="1:12" x14ac:dyDescent="0.25">
      <c r="A1159" s="1">
        <v>43320</v>
      </c>
      <c r="B1159">
        <v>10.85</v>
      </c>
      <c r="C1159" s="1">
        <v>43320</v>
      </c>
      <c r="D1159">
        <v>17.14</v>
      </c>
      <c r="E1159" s="1">
        <v>43262</v>
      </c>
      <c r="F1159">
        <v>57.830399999999997</v>
      </c>
      <c r="G1159" s="1">
        <v>43320</v>
      </c>
      <c r="H1159">
        <v>26.41</v>
      </c>
      <c r="I1159" s="1">
        <v>43320</v>
      </c>
      <c r="J1159">
        <v>11.43</v>
      </c>
      <c r="K1159" s="1">
        <v>43262</v>
      </c>
      <c r="L1159">
        <v>93.608000000000004</v>
      </c>
    </row>
    <row r="1160" spans="1:12" x14ac:dyDescent="0.25">
      <c r="A1160" s="1">
        <v>43321</v>
      </c>
      <c r="B1160">
        <v>11.27</v>
      </c>
      <c r="C1160" s="1">
        <v>43321</v>
      </c>
      <c r="D1160">
        <v>17.13</v>
      </c>
      <c r="E1160" s="1">
        <v>43263</v>
      </c>
      <c r="F1160">
        <v>55.963299999999997</v>
      </c>
      <c r="G1160" s="1">
        <v>43321</v>
      </c>
      <c r="H1160">
        <v>25.4</v>
      </c>
      <c r="I1160" s="1">
        <v>43321</v>
      </c>
      <c r="J1160">
        <v>10.99</v>
      </c>
      <c r="K1160" s="1">
        <v>43263</v>
      </c>
      <c r="L1160">
        <v>93.817999999999998</v>
      </c>
    </row>
    <row r="1161" spans="1:12" x14ac:dyDescent="0.25">
      <c r="A1161" s="1">
        <v>43322</v>
      </c>
      <c r="B1161">
        <v>13.16</v>
      </c>
      <c r="C1161" s="1">
        <v>43322</v>
      </c>
      <c r="D1161">
        <v>19.75</v>
      </c>
      <c r="E1161" s="1">
        <v>43264</v>
      </c>
      <c r="F1161">
        <v>53.7911</v>
      </c>
      <c r="G1161" s="1">
        <v>43322</v>
      </c>
      <c r="H1161">
        <v>25.45</v>
      </c>
      <c r="I1161" s="1">
        <v>43322</v>
      </c>
      <c r="J1161">
        <v>11.78</v>
      </c>
      <c r="K1161" s="1">
        <v>43264</v>
      </c>
      <c r="L1161">
        <v>93.543999999999997</v>
      </c>
    </row>
    <row r="1162" spans="1:12" x14ac:dyDescent="0.25">
      <c r="A1162" s="1">
        <v>43325</v>
      </c>
      <c r="B1162">
        <v>14.78</v>
      </c>
      <c r="C1162" s="1">
        <v>43325</v>
      </c>
      <c r="D1162">
        <v>20.100000000000001</v>
      </c>
      <c r="E1162" s="1">
        <v>43265</v>
      </c>
      <c r="F1162">
        <v>52.495899999999999</v>
      </c>
      <c r="G1162" s="1">
        <v>43325</v>
      </c>
      <c r="H1162">
        <v>25.31</v>
      </c>
      <c r="I1162" s="1">
        <v>43325</v>
      </c>
      <c r="J1162">
        <v>11.73</v>
      </c>
      <c r="K1162" s="1">
        <v>43265</v>
      </c>
      <c r="L1162">
        <v>94.879000000000005</v>
      </c>
    </row>
    <row r="1163" spans="1:12" x14ac:dyDescent="0.25">
      <c r="A1163" s="1">
        <v>43326</v>
      </c>
      <c r="B1163">
        <v>13.31</v>
      </c>
      <c r="C1163" s="1">
        <v>43326</v>
      </c>
      <c r="D1163">
        <v>18.34</v>
      </c>
      <c r="E1163" s="1">
        <v>43266</v>
      </c>
      <c r="F1163">
        <v>53.080300000000001</v>
      </c>
      <c r="G1163" s="1">
        <v>43326</v>
      </c>
      <c r="H1163">
        <v>26.18</v>
      </c>
      <c r="I1163" s="1">
        <v>43326</v>
      </c>
      <c r="J1163">
        <v>11.88</v>
      </c>
      <c r="K1163" s="1">
        <v>43266</v>
      </c>
      <c r="L1163">
        <v>94.787999999999997</v>
      </c>
    </row>
    <row r="1164" spans="1:12" x14ac:dyDescent="0.25">
      <c r="A1164" s="1">
        <v>43327</v>
      </c>
      <c r="B1164">
        <v>14.64</v>
      </c>
      <c r="C1164" s="1">
        <v>43327</v>
      </c>
      <c r="D1164">
        <v>23.13</v>
      </c>
      <c r="E1164" s="1">
        <v>43269</v>
      </c>
      <c r="F1164">
        <v>52.326999999999998</v>
      </c>
      <c r="G1164" s="1">
        <v>43327</v>
      </c>
      <c r="H1164">
        <v>27.26</v>
      </c>
      <c r="I1164" s="1">
        <v>43327</v>
      </c>
      <c r="J1164">
        <v>13.16</v>
      </c>
      <c r="K1164" s="1">
        <v>43269</v>
      </c>
      <c r="L1164">
        <v>94.756</v>
      </c>
    </row>
    <row r="1165" spans="1:12" x14ac:dyDescent="0.25">
      <c r="A1165" s="1">
        <v>43328</v>
      </c>
      <c r="B1165">
        <v>13.45</v>
      </c>
      <c r="C1165" s="1">
        <v>43328</v>
      </c>
      <c r="D1165">
        <v>21.47</v>
      </c>
      <c r="E1165" s="1">
        <v>43270</v>
      </c>
      <c r="F1165">
        <v>52.4</v>
      </c>
      <c r="G1165" s="1">
        <v>43328</v>
      </c>
      <c r="H1165">
        <v>26.33</v>
      </c>
      <c r="I1165" s="1">
        <v>43328</v>
      </c>
      <c r="J1165">
        <v>13.39</v>
      </c>
      <c r="K1165" s="1">
        <v>43270</v>
      </c>
      <c r="L1165">
        <v>95.013000000000005</v>
      </c>
    </row>
    <row r="1166" spans="1:12" x14ac:dyDescent="0.25">
      <c r="A1166" s="1">
        <v>43329</v>
      </c>
      <c r="B1166">
        <v>12.64</v>
      </c>
      <c r="C1166" s="1">
        <v>43329</v>
      </c>
      <c r="D1166">
        <v>20.95</v>
      </c>
      <c r="E1166" s="1">
        <v>43271</v>
      </c>
      <c r="F1166">
        <v>51.922600000000003</v>
      </c>
      <c r="G1166" s="1">
        <v>43329</v>
      </c>
      <c r="H1166">
        <v>25.71</v>
      </c>
      <c r="I1166" s="1">
        <v>43329</v>
      </c>
      <c r="J1166">
        <v>12.89</v>
      </c>
      <c r="K1166" s="1">
        <v>43271</v>
      </c>
      <c r="L1166">
        <v>95.123999999999995</v>
      </c>
    </row>
    <row r="1167" spans="1:12" x14ac:dyDescent="0.25">
      <c r="A1167" s="1">
        <v>43332</v>
      </c>
      <c r="B1167">
        <v>12.49</v>
      </c>
      <c r="C1167" s="1">
        <v>43332</v>
      </c>
      <c r="D1167">
        <v>20.079999999999998</v>
      </c>
      <c r="E1167" s="1">
        <v>43272</v>
      </c>
      <c r="F1167">
        <v>53.0869</v>
      </c>
      <c r="G1167" s="1">
        <v>43332</v>
      </c>
      <c r="H1167">
        <v>25.26</v>
      </c>
      <c r="I1167" s="1">
        <v>43332</v>
      </c>
      <c r="J1167">
        <v>12.4</v>
      </c>
      <c r="K1167" s="1">
        <v>43272</v>
      </c>
      <c r="L1167">
        <v>94.861999999999995</v>
      </c>
    </row>
    <row r="1168" spans="1:12" x14ac:dyDescent="0.25">
      <c r="A1168" s="1">
        <v>43333</v>
      </c>
      <c r="B1168">
        <v>12.86</v>
      </c>
      <c r="C1168" s="1">
        <v>43333</v>
      </c>
      <c r="D1168">
        <v>18.93</v>
      </c>
      <c r="E1168" s="1">
        <v>43273</v>
      </c>
      <c r="F1168">
        <v>53.025700000000001</v>
      </c>
      <c r="G1168" s="1">
        <v>43333</v>
      </c>
      <c r="H1168">
        <v>25.08</v>
      </c>
      <c r="I1168" s="1">
        <v>43333</v>
      </c>
      <c r="J1168">
        <v>11.86</v>
      </c>
      <c r="K1168" s="1">
        <v>43273</v>
      </c>
      <c r="L1168">
        <v>94.52</v>
      </c>
    </row>
    <row r="1169" spans="1:12" x14ac:dyDescent="0.25">
      <c r="A1169" s="1">
        <v>43334</v>
      </c>
      <c r="B1169">
        <v>12.25</v>
      </c>
      <c r="C1169" s="1">
        <v>43334</v>
      </c>
      <c r="D1169">
        <v>18.87</v>
      </c>
      <c r="E1169" s="1">
        <v>43276</v>
      </c>
      <c r="F1169">
        <v>53.040599999999998</v>
      </c>
      <c r="G1169" s="1">
        <v>43334</v>
      </c>
      <c r="H1169">
        <v>24.72</v>
      </c>
      <c r="I1169" s="1">
        <v>43334</v>
      </c>
      <c r="J1169">
        <v>11.81</v>
      </c>
      <c r="K1169" s="1">
        <v>43276</v>
      </c>
      <c r="L1169">
        <v>94.289000000000001</v>
      </c>
    </row>
    <row r="1170" spans="1:12" x14ac:dyDescent="0.25">
      <c r="A1170" s="1">
        <v>43335</v>
      </c>
      <c r="B1170">
        <v>12.41</v>
      </c>
      <c r="C1170" s="1">
        <v>43335</v>
      </c>
      <c r="D1170">
        <v>19.47</v>
      </c>
      <c r="E1170" s="1">
        <v>43277</v>
      </c>
      <c r="F1170">
        <v>51.296799999999998</v>
      </c>
      <c r="G1170" s="1">
        <v>43335</v>
      </c>
      <c r="H1170">
        <v>24.35</v>
      </c>
      <c r="I1170" s="1">
        <v>43335</v>
      </c>
      <c r="J1170">
        <v>11.6</v>
      </c>
      <c r="K1170" s="1">
        <v>43277</v>
      </c>
      <c r="L1170">
        <v>94.676000000000002</v>
      </c>
    </row>
    <row r="1171" spans="1:12" x14ac:dyDescent="0.25">
      <c r="A1171" s="1">
        <v>43336</v>
      </c>
      <c r="B1171">
        <v>11.99</v>
      </c>
      <c r="C1171" s="1">
        <v>43336</v>
      </c>
      <c r="D1171">
        <v>18.59</v>
      </c>
      <c r="E1171" s="1">
        <v>43278</v>
      </c>
      <c r="F1171">
        <v>53.048699999999997</v>
      </c>
      <c r="G1171" s="1">
        <v>43336</v>
      </c>
      <c r="H1171">
        <v>23.31</v>
      </c>
      <c r="I1171" s="1">
        <v>43336</v>
      </c>
      <c r="J1171">
        <v>11.71</v>
      </c>
      <c r="K1171" s="1">
        <v>43278</v>
      </c>
      <c r="L1171">
        <v>95.29</v>
      </c>
    </row>
    <row r="1172" spans="1:12" x14ac:dyDescent="0.25">
      <c r="A1172" s="1">
        <v>43339</v>
      </c>
      <c r="B1172">
        <v>12.16</v>
      </c>
      <c r="C1172" s="1">
        <v>43339</v>
      </c>
      <c r="D1172">
        <v>19.260000000000002</v>
      </c>
      <c r="E1172" s="1">
        <v>43279</v>
      </c>
      <c r="F1172">
        <v>52.131</v>
      </c>
      <c r="G1172" s="1">
        <v>43339</v>
      </c>
      <c r="H1172">
        <v>23.68</v>
      </c>
      <c r="I1172" s="1">
        <v>43339</v>
      </c>
      <c r="J1172">
        <v>11.77</v>
      </c>
      <c r="K1172" s="1">
        <v>43279</v>
      </c>
      <c r="L1172">
        <v>95.311999999999998</v>
      </c>
    </row>
    <row r="1173" spans="1:12" x14ac:dyDescent="0.25">
      <c r="A1173" s="1">
        <v>43340</v>
      </c>
      <c r="B1173">
        <v>12.5</v>
      </c>
      <c r="C1173" s="1">
        <v>43340</v>
      </c>
      <c r="D1173">
        <v>18.920000000000002</v>
      </c>
      <c r="E1173" s="1">
        <v>43280</v>
      </c>
      <c r="F1173">
        <v>51.168100000000003</v>
      </c>
      <c r="G1173" s="1">
        <v>43340</v>
      </c>
      <c r="H1173">
        <v>24.5</v>
      </c>
      <c r="I1173" s="1">
        <v>43340</v>
      </c>
      <c r="J1173">
        <v>11.46</v>
      </c>
      <c r="K1173" s="1">
        <v>43280</v>
      </c>
      <c r="L1173">
        <v>94.47</v>
      </c>
    </row>
    <row r="1174" spans="1:12" x14ac:dyDescent="0.25">
      <c r="A1174" s="1">
        <v>43341</v>
      </c>
      <c r="B1174">
        <v>12.25</v>
      </c>
      <c r="C1174" s="1">
        <v>43341</v>
      </c>
      <c r="D1174">
        <v>18.52</v>
      </c>
      <c r="E1174" s="1">
        <v>43283</v>
      </c>
      <c r="F1174">
        <v>50.251199999999997</v>
      </c>
      <c r="G1174" s="1">
        <v>43341</v>
      </c>
      <c r="H1174">
        <v>24.32</v>
      </c>
      <c r="I1174" s="1">
        <v>43341</v>
      </c>
      <c r="J1174">
        <v>11.25</v>
      </c>
      <c r="K1174" s="1">
        <v>43283</v>
      </c>
      <c r="L1174">
        <v>94.870999999999995</v>
      </c>
    </row>
    <row r="1175" spans="1:12" x14ac:dyDescent="0.25">
      <c r="A1175" s="1">
        <v>43342</v>
      </c>
      <c r="B1175">
        <v>13.53</v>
      </c>
      <c r="C1175" s="1">
        <v>43342</v>
      </c>
      <c r="D1175">
        <v>20.73</v>
      </c>
      <c r="E1175" s="1">
        <v>43284</v>
      </c>
      <c r="F1175">
        <v>51.217199999999998</v>
      </c>
      <c r="G1175" s="1">
        <v>43342</v>
      </c>
      <c r="H1175">
        <v>24.89</v>
      </c>
      <c r="I1175" s="1">
        <v>43342</v>
      </c>
      <c r="J1175">
        <v>11.41</v>
      </c>
      <c r="K1175" s="1">
        <v>43284</v>
      </c>
      <c r="L1175">
        <v>94.590999999999994</v>
      </c>
    </row>
    <row r="1176" spans="1:12" x14ac:dyDescent="0.25">
      <c r="A1176" s="1">
        <v>43343</v>
      </c>
      <c r="B1176">
        <v>12.86</v>
      </c>
      <c r="C1176" s="1">
        <v>43343</v>
      </c>
      <c r="D1176">
        <v>20.260000000000002</v>
      </c>
      <c r="E1176" s="1">
        <v>43286</v>
      </c>
      <c r="F1176">
        <v>51.462400000000002</v>
      </c>
      <c r="G1176" s="1">
        <v>43343</v>
      </c>
      <c r="H1176">
        <v>25.02</v>
      </c>
      <c r="I1176" s="1">
        <v>43343</v>
      </c>
      <c r="J1176">
        <v>10.96</v>
      </c>
      <c r="K1176" s="1">
        <v>43285</v>
      </c>
      <c r="L1176">
        <v>94.531000000000006</v>
      </c>
    </row>
    <row r="1177" spans="1:12" x14ac:dyDescent="0.25">
      <c r="A1177" s="1">
        <v>43347</v>
      </c>
      <c r="B1177">
        <v>13.16</v>
      </c>
      <c r="C1177" s="1">
        <v>43347</v>
      </c>
      <c r="D1177">
        <v>22.53</v>
      </c>
      <c r="E1177" s="1">
        <v>43287</v>
      </c>
      <c r="F1177">
        <v>50.134500000000003</v>
      </c>
      <c r="G1177" s="1">
        <v>43347</v>
      </c>
      <c r="H1177">
        <v>26.7</v>
      </c>
      <c r="I1177" s="1">
        <v>43347</v>
      </c>
      <c r="J1177">
        <v>11.42</v>
      </c>
      <c r="K1177" s="1">
        <v>43286</v>
      </c>
      <c r="L1177">
        <v>94.394999999999996</v>
      </c>
    </row>
    <row r="1178" spans="1:12" x14ac:dyDescent="0.25">
      <c r="A1178" s="1">
        <v>43348</v>
      </c>
      <c r="B1178">
        <v>13.91</v>
      </c>
      <c r="C1178" s="1">
        <v>43348</v>
      </c>
      <c r="D1178">
        <v>22.7</v>
      </c>
      <c r="E1178" s="1">
        <v>43290</v>
      </c>
      <c r="F1178">
        <v>49.690100000000001</v>
      </c>
      <c r="G1178" s="1">
        <v>43348</v>
      </c>
      <c r="H1178">
        <v>26.62</v>
      </c>
      <c r="I1178" s="1">
        <v>43348</v>
      </c>
      <c r="J1178">
        <v>11.24</v>
      </c>
      <c r="K1178" s="1">
        <v>43287</v>
      </c>
      <c r="L1178">
        <v>93.962999999999994</v>
      </c>
    </row>
    <row r="1179" spans="1:12" x14ac:dyDescent="0.25">
      <c r="A1179" s="1">
        <v>43349</v>
      </c>
      <c r="B1179">
        <v>14.65</v>
      </c>
      <c r="C1179" s="1">
        <v>43349</v>
      </c>
      <c r="D1179">
        <v>22.08</v>
      </c>
      <c r="E1179" s="1">
        <v>43291</v>
      </c>
      <c r="F1179">
        <v>49.811399999999999</v>
      </c>
      <c r="G1179" s="1">
        <v>43349</v>
      </c>
      <c r="H1179">
        <v>26.16</v>
      </c>
      <c r="I1179" s="1">
        <v>43349</v>
      </c>
      <c r="J1179">
        <v>11.54</v>
      </c>
      <c r="K1179" s="1">
        <v>43290</v>
      </c>
      <c r="L1179">
        <v>94.076999999999998</v>
      </c>
    </row>
    <row r="1180" spans="1:12" x14ac:dyDescent="0.25">
      <c r="A1180" s="1">
        <v>43350</v>
      </c>
      <c r="B1180">
        <v>14.88</v>
      </c>
      <c r="C1180" s="1">
        <v>43350</v>
      </c>
      <c r="D1180">
        <v>22.28</v>
      </c>
      <c r="E1180" s="1">
        <v>43292</v>
      </c>
      <c r="F1180">
        <v>50.477600000000002</v>
      </c>
      <c r="G1180" s="1">
        <v>43350</v>
      </c>
      <c r="H1180">
        <v>26.07</v>
      </c>
      <c r="I1180" s="1">
        <v>43350</v>
      </c>
      <c r="J1180">
        <v>11.3</v>
      </c>
      <c r="K1180" s="1">
        <v>43291</v>
      </c>
      <c r="L1180">
        <v>94.158000000000001</v>
      </c>
    </row>
    <row r="1181" spans="1:12" x14ac:dyDescent="0.25">
      <c r="A1181" s="1">
        <v>43353</v>
      </c>
      <c r="B1181">
        <v>14.16</v>
      </c>
      <c r="C1181" s="1">
        <v>43353</v>
      </c>
      <c r="D1181">
        <v>22.06</v>
      </c>
      <c r="E1181" s="1">
        <v>43293</v>
      </c>
      <c r="F1181">
        <v>48.572899999999997</v>
      </c>
      <c r="G1181" s="1">
        <v>43353</v>
      </c>
      <c r="H1181">
        <v>26.13</v>
      </c>
      <c r="I1181" s="1">
        <v>43353</v>
      </c>
      <c r="J1181">
        <v>11.33</v>
      </c>
      <c r="K1181" s="1">
        <v>43292</v>
      </c>
      <c r="L1181">
        <v>94.718999999999994</v>
      </c>
    </row>
    <row r="1182" spans="1:12" x14ac:dyDescent="0.25">
      <c r="A1182" s="1">
        <v>43354</v>
      </c>
      <c r="B1182">
        <v>13.22</v>
      </c>
      <c r="C1182" s="1">
        <v>43354</v>
      </c>
      <c r="D1182">
        <v>21.8</v>
      </c>
      <c r="E1182" s="1">
        <v>43294</v>
      </c>
      <c r="F1182">
        <v>48.281500000000001</v>
      </c>
      <c r="G1182" s="1">
        <v>43354</v>
      </c>
      <c r="H1182">
        <v>27.14</v>
      </c>
      <c r="I1182" s="1">
        <v>43354</v>
      </c>
      <c r="J1182">
        <v>11.26</v>
      </c>
      <c r="K1182" s="1">
        <v>43293</v>
      </c>
      <c r="L1182">
        <v>94.826999999999998</v>
      </c>
    </row>
    <row r="1183" spans="1:12" x14ac:dyDescent="0.25">
      <c r="A1183" s="1">
        <v>43355</v>
      </c>
      <c r="B1183">
        <v>13.14</v>
      </c>
      <c r="C1183" s="1">
        <v>43355</v>
      </c>
      <c r="D1183">
        <v>21.35</v>
      </c>
      <c r="E1183" s="1">
        <v>43297</v>
      </c>
      <c r="F1183">
        <v>47.787500000000001</v>
      </c>
      <c r="G1183" s="1">
        <v>43355</v>
      </c>
      <c r="H1183">
        <v>26.94</v>
      </c>
      <c r="I1183" s="1">
        <v>43355</v>
      </c>
      <c r="J1183">
        <v>11.18</v>
      </c>
      <c r="K1183" s="1">
        <v>43294</v>
      </c>
      <c r="L1183">
        <v>94.677000000000007</v>
      </c>
    </row>
    <row r="1184" spans="1:12" x14ac:dyDescent="0.25">
      <c r="A1184" s="1">
        <v>43356</v>
      </c>
      <c r="B1184">
        <v>12.37</v>
      </c>
      <c r="C1184" s="1">
        <v>43356</v>
      </c>
      <c r="D1184">
        <v>20.66</v>
      </c>
      <c r="E1184" s="1">
        <v>43298</v>
      </c>
      <c r="F1184">
        <v>46.6417</v>
      </c>
      <c r="G1184" s="1">
        <v>43356</v>
      </c>
      <c r="H1184">
        <v>26.7</v>
      </c>
      <c r="I1184" s="1">
        <v>43356</v>
      </c>
      <c r="J1184">
        <v>11.15</v>
      </c>
      <c r="K1184" s="1">
        <v>43297</v>
      </c>
      <c r="L1184">
        <v>94.510999999999996</v>
      </c>
    </row>
    <row r="1185" spans="1:12" x14ac:dyDescent="0.25">
      <c r="A1185" s="1">
        <v>43357</v>
      </c>
      <c r="B1185">
        <v>12.07</v>
      </c>
      <c r="C1185" s="1">
        <v>43357</v>
      </c>
      <c r="D1185">
        <v>19.989999999999998</v>
      </c>
      <c r="E1185" s="1">
        <v>43299</v>
      </c>
      <c r="F1185">
        <v>45.264899999999997</v>
      </c>
      <c r="G1185" s="1">
        <v>43357</v>
      </c>
      <c r="H1185">
        <v>26.4</v>
      </c>
      <c r="I1185" s="1">
        <v>43357</v>
      </c>
      <c r="J1185">
        <v>10.84</v>
      </c>
      <c r="K1185" s="1">
        <v>43298</v>
      </c>
      <c r="L1185">
        <v>94.984999999999999</v>
      </c>
    </row>
    <row r="1186" spans="1:12" x14ac:dyDescent="0.25">
      <c r="A1186" s="1">
        <v>43360</v>
      </c>
      <c r="B1186">
        <v>13.68</v>
      </c>
      <c r="C1186" s="1">
        <v>43360</v>
      </c>
      <c r="D1186">
        <v>21.52</v>
      </c>
      <c r="E1186" s="1">
        <v>43300</v>
      </c>
      <c r="F1186">
        <v>47.112499999999997</v>
      </c>
      <c r="G1186" s="1">
        <v>43360</v>
      </c>
      <c r="H1186">
        <v>26.49</v>
      </c>
      <c r="I1186" s="1">
        <v>43360</v>
      </c>
      <c r="J1186">
        <v>10.85</v>
      </c>
      <c r="K1186" s="1">
        <v>43299</v>
      </c>
      <c r="L1186">
        <v>95.084999999999994</v>
      </c>
    </row>
    <row r="1187" spans="1:12" x14ac:dyDescent="0.25">
      <c r="A1187" s="1">
        <v>43361</v>
      </c>
      <c r="B1187">
        <v>12.79</v>
      </c>
      <c r="C1187" s="1">
        <v>43361</v>
      </c>
      <c r="D1187">
        <v>20.27</v>
      </c>
      <c r="E1187" s="1">
        <v>43301</v>
      </c>
      <c r="F1187">
        <v>49.047600000000003</v>
      </c>
      <c r="G1187" s="1">
        <v>43361</v>
      </c>
      <c r="H1187">
        <v>26.8</v>
      </c>
      <c r="I1187" s="1">
        <v>43361</v>
      </c>
      <c r="J1187">
        <v>10.78</v>
      </c>
      <c r="K1187" s="1">
        <v>43300</v>
      </c>
      <c r="L1187">
        <v>95.164000000000001</v>
      </c>
    </row>
    <row r="1188" spans="1:12" x14ac:dyDescent="0.25">
      <c r="A1188" s="1">
        <v>43362</v>
      </c>
      <c r="B1188">
        <v>11.75</v>
      </c>
      <c r="C1188" s="1">
        <v>43362</v>
      </c>
      <c r="D1188">
        <v>19.41</v>
      </c>
      <c r="E1188" s="1">
        <v>43304</v>
      </c>
      <c r="F1188">
        <v>51.505699999999997</v>
      </c>
      <c r="G1188" s="1">
        <v>43362</v>
      </c>
      <c r="H1188">
        <v>26.35</v>
      </c>
      <c r="I1188" s="1">
        <v>43362</v>
      </c>
      <c r="J1188">
        <v>10.81</v>
      </c>
      <c r="K1188" s="1">
        <v>43301</v>
      </c>
      <c r="L1188">
        <v>94.475999999999999</v>
      </c>
    </row>
    <row r="1189" spans="1:12" x14ac:dyDescent="0.25">
      <c r="A1189" s="1">
        <v>43363</v>
      </c>
      <c r="B1189">
        <v>11.8</v>
      </c>
      <c r="C1189" s="1">
        <v>43363</v>
      </c>
      <c r="D1189">
        <v>18.95</v>
      </c>
      <c r="E1189" s="1">
        <v>43305</v>
      </c>
      <c r="F1189">
        <v>50.308199999999999</v>
      </c>
      <c r="G1189" s="1">
        <v>43363</v>
      </c>
      <c r="H1189">
        <v>26.07</v>
      </c>
      <c r="I1189" s="1">
        <v>43363</v>
      </c>
      <c r="J1189">
        <v>10.72</v>
      </c>
      <c r="K1189" s="1">
        <v>43304</v>
      </c>
      <c r="L1189">
        <v>94.632000000000005</v>
      </c>
    </row>
    <row r="1190" spans="1:12" x14ac:dyDescent="0.25">
      <c r="A1190" s="1">
        <v>43364</v>
      </c>
      <c r="B1190">
        <v>11.68</v>
      </c>
      <c r="C1190" s="1">
        <v>43364</v>
      </c>
      <c r="D1190">
        <v>19.11</v>
      </c>
      <c r="E1190" s="1">
        <v>43306</v>
      </c>
      <c r="F1190">
        <v>48.290900000000001</v>
      </c>
      <c r="G1190" s="1">
        <v>43364</v>
      </c>
      <c r="H1190">
        <v>26.15</v>
      </c>
      <c r="I1190" s="1">
        <v>43364</v>
      </c>
      <c r="J1190">
        <v>10.76</v>
      </c>
      <c r="K1190" s="1">
        <v>43305</v>
      </c>
      <c r="L1190">
        <v>94.613</v>
      </c>
    </row>
    <row r="1191" spans="1:12" x14ac:dyDescent="0.25">
      <c r="A1191" s="1">
        <v>43367</v>
      </c>
      <c r="B1191">
        <v>12.2</v>
      </c>
      <c r="C1191" s="1">
        <v>43367</v>
      </c>
      <c r="D1191">
        <v>20.25</v>
      </c>
      <c r="E1191" s="1">
        <v>43307</v>
      </c>
      <c r="F1191">
        <v>49.270499999999998</v>
      </c>
      <c r="G1191" s="1">
        <v>43367</v>
      </c>
      <c r="H1191">
        <v>26.97</v>
      </c>
      <c r="I1191" s="1">
        <v>43367</v>
      </c>
      <c r="J1191">
        <v>10.97</v>
      </c>
      <c r="K1191" s="1">
        <v>43306</v>
      </c>
      <c r="L1191">
        <v>94.233000000000004</v>
      </c>
    </row>
    <row r="1192" spans="1:12" x14ac:dyDescent="0.25">
      <c r="A1192" s="1">
        <v>43368</v>
      </c>
      <c r="B1192">
        <v>12.42</v>
      </c>
      <c r="C1192" s="1">
        <v>43368</v>
      </c>
      <c r="D1192">
        <v>20.13</v>
      </c>
      <c r="E1192" s="1">
        <v>43308</v>
      </c>
      <c r="F1192">
        <v>48.831299999999999</v>
      </c>
      <c r="G1192" s="1">
        <v>43368</v>
      </c>
      <c r="H1192">
        <v>26.83</v>
      </c>
      <c r="I1192" s="1">
        <v>43368</v>
      </c>
      <c r="J1192">
        <v>10.83</v>
      </c>
      <c r="K1192" s="1">
        <v>43307</v>
      </c>
      <c r="L1192">
        <v>94.784999999999997</v>
      </c>
    </row>
    <row r="1193" spans="1:12" x14ac:dyDescent="0.25">
      <c r="A1193" s="1">
        <v>43369</v>
      </c>
      <c r="B1193">
        <v>12.89</v>
      </c>
      <c r="C1193" s="1">
        <v>43369</v>
      </c>
      <c r="D1193">
        <v>20.22</v>
      </c>
      <c r="E1193" s="1">
        <v>43311</v>
      </c>
      <c r="F1193">
        <v>49.415100000000002</v>
      </c>
      <c r="G1193" s="1">
        <v>43369</v>
      </c>
      <c r="H1193">
        <v>26.53</v>
      </c>
      <c r="I1193" s="1">
        <v>43369</v>
      </c>
      <c r="J1193">
        <v>10.76</v>
      </c>
      <c r="K1193" s="1">
        <v>43308</v>
      </c>
      <c r="L1193">
        <v>94.668999999999997</v>
      </c>
    </row>
    <row r="1194" spans="1:12" x14ac:dyDescent="0.25">
      <c r="A1194" s="1">
        <v>43370</v>
      </c>
      <c r="B1194">
        <v>12.41</v>
      </c>
      <c r="C1194" s="1">
        <v>43370</v>
      </c>
      <c r="D1194">
        <v>19.3</v>
      </c>
      <c r="E1194" s="1">
        <v>43312</v>
      </c>
      <c r="F1194">
        <v>46.503799999999998</v>
      </c>
      <c r="G1194" s="1">
        <v>43370</v>
      </c>
      <c r="H1194">
        <v>26.45</v>
      </c>
      <c r="I1194" s="1">
        <v>43370</v>
      </c>
      <c r="J1194">
        <v>10.86</v>
      </c>
      <c r="K1194" s="1">
        <v>43311</v>
      </c>
      <c r="L1194">
        <v>94.347999999999999</v>
      </c>
    </row>
    <row r="1195" spans="1:12" x14ac:dyDescent="0.25">
      <c r="A1195" s="1">
        <v>43371</v>
      </c>
      <c r="B1195">
        <v>12.12</v>
      </c>
      <c r="C1195" s="1">
        <v>43371</v>
      </c>
      <c r="D1195">
        <v>19.649999999999999</v>
      </c>
      <c r="E1195" s="1">
        <v>43313</v>
      </c>
      <c r="F1195">
        <v>48.383299999999998</v>
      </c>
      <c r="G1195" s="1">
        <v>43371</v>
      </c>
      <c r="H1195">
        <v>26.73</v>
      </c>
      <c r="I1195" s="1">
        <v>43371</v>
      </c>
      <c r="J1195">
        <v>10.74</v>
      </c>
      <c r="K1195" s="1">
        <v>43312</v>
      </c>
      <c r="L1195">
        <v>94.554000000000002</v>
      </c>
    </row>
    <row r="1196" spans="1:12" x14ac:dyDescent="0.25">
      <c r="A1196" s="1">
        <v>43374</v>
      </c>
      <c r="B1196">
        <v>12</v>
      </c>
      <c r="C1196" s="1">
        <v>43374</v>
      </c>
      <c r="D1196">
        <v>19.8</v>
      </c>
      <c r="E1196" s="1">
        <v>43314</v>
      </c>
      <c r="F1196">
        <v>47.997100000000003</v>
      </c>
      <c r="G1196" s="1">
        <v>43374</v>
      </c>
      <c r="H1196">
        <v>27.95</v>
      </c>
      <c r="I1196" s="1">
        <v>43374</v>
      </c>
      <c r="J1196">
        <v>11.03</v>
      </c>
      <c r="K1196" s="1">
        <v>43313</v>
      </c>
      <c r="L1196">
        <v>94.661000000000001</v>
      </c>
    </row>
    <row r="1197" spans="1:12" x14ac:dyDescent="0.25">
      <c r="A1197" s="1">
        <v>43375</v>
      </c>
      <c r="B1197">
        <v>12.05</v>
      </c>
      <c r="C1197" s="1">
        <v>43375</v>
      </c>
      <c r="D1197">
        <v>20.79</v>
      </c>
      <c r="E1197" s="1">
        <v>43315</v>
      </c>
      <c r="F1197">
        <v>47.665999999999997</v>
      </c>
      <c r="G1197" s="1">
        <v>43375</v>
      </c>
      <c r="H1197">
        <v>27.68</v>
      </c>
      <c r="I1197" s="1">
        <v>43375</v>
      </c>
      <c r="J1197">
        <v>11.24</v>
      </c>
      <c r="K1197" s="1">
        <v>43314</v>
      </c>
      <c r="L1197">
        <v>95.17</v>
      </c>
    </row>
    <row r="1198" spans="1:12" x14ac:dyDescent="0.25">
      <c r="A1198" s="1">
        <v>43376</v>
      </c>
      <c r="B1198">
        <v>11.61</v>
      </c>
      <c r="C1198" s="1">
        <v>43376</v>
      </c>
      <c r="D1198">
        <v>21.02</v>
      </c>
      <c r="E1198" s="1">
        <v>43318</v>
      </c>
      <c r="F1198">
        <v>46.856200000000001</v>
      </c>
      <c r="G1198" s="1">
        <v>43376</v>
      </c>
      <c r="H1198">
        <v>28.04</v>
      </c>
      <c r="I1198" s="1">
        <v>43376</v>
      </c>
      <c r="J1198">
        <v>11.21</v>
      </c>
      <c r="K1198" s="1">
        <v>43315</v>
      </c>
      <c r="L1198">
        <v>95.161000000000001</v>
      </c>
    </row>
    <row r="1199" spans="1:12" x14ac:dyDescent="0.25">
      <c r="A1199" s="1">
        <v>43377</v>
      </c>
      <c r="B1199">
        <v>14.22</v>
      </c>
      <c r="C1199" s="1">
        <v>43377</v>
      </c>
      <c r="D1199">
        <v>23.07</v>
      </c>
      <c r="E1199" s="1">
        <v>43319</v>
      </c>
      <c r="F1199">
        <v>47.148899999999998</v>
      </c>
      <c r="G1199" s="1">
        <v>43377</v>
      </c>
      <c r="H1199">
        <v>28.9</v>
      </c>
      <c r="I1199" s="1">
        <v>43377</v>
      </c>
      <c r="J1199">
        <v>11.59</v>
      </c>
      <c r="K1199" s="1">
        <v>43318</v>
      </c>
      <c r="L1199">
        <v>95.358000000000004</v>
      </c>
    </row>
    <row r="1200" spans="1:12" x14ac:dyDescent="0.25">
      <c r="A1200" s="1">
        <v>43378</v>
      </c>
      <c r="B1200">
        <v>14.82</v>
      </c>
      <c r="C1200" s="1">
        <v>43378</v>
      </c>
      <c r="D1200">
        <v>23.4</v>
      </c>
      <c r="E1200" s="1">
        <v>43320</v>
      </c>
      <c r="F1200">
        <v>46.835799999999999</v>
      </c>
      <c r="G1200" s="1">
        <v>43378</v>
      </c>
      <c r="H1200">
        <v>28.84</v>
      </c>
      <c r="I1200" s="1">
        <v>43378</v>
      </c>
      <c r="J1200">
        <v>11.64</v>
      </c>
      <c r="K1200" s="1">
        <v>43319</v>
      </c>
      <c r="L1200">
        <v>95.186000000000007</v>
      </c>
    </row>
    <row r="1201" spans="1:12" x14ac:dyDescent="0.25">
      <c r="A1201" s="1">
        <v>43381</v>
      </c>
      <c r="B1201">
        <v>15.69</v>
      </c>
      <c r="C1201" s="1">
        <v>43381</v>
      </c>
      <c r="D1201">
        <v>23.07</v>
      </c>
      <c r="E1201" s="1">
        <v>43321</v>
      </c>
      <c r="F1201">
        <v>47.354100000000003</v>
      </c>
      <c r="G1201" s="1">
        <v>43381</v>
      </c>
      <c r="H1201">
        <v>28.86</v>
      </c>
      <c r="I1201" s="1">
        <v>43381</v>
      </c>
      <c r="J1201">
        <v>12.48</v>
      </c>
      <c r="K1201" s="1">
        <v>43320</v>
      </c>
      <c r="L1201">
        <v>95.091999999999999</v>
      </c>
    </row>
    <row r="1202" spans="1:12" x14ac:dyDescent="0.25">
      <c r="A1202" s="1">
        <v>43382</v>
      </c>
      <c r="B1202">
        <v>15.95</v>
      </c>
      <c r="C1202" s="1">
        <v>43382</v>
      </c>
      <c r="D1202">
        <v>22.99</v>
      </c>
      <c r="E1202" s="1">
        <v>43322</v>
      </c>
      <c r="F1202">
        <v>50.630200000000002</v>
      </c>
      <c r="G1202" s="1">
        <v>43382</v>
      </c>
      <c r="H1202">
        <v>27.9</v>
      </c>
      <c r="I1202" s="1">
        <v>43382</v>
      </c>
      <c r="J1202">
        <v>12.03</v>
      </c>
      <c r="K1202" s="1">
        <v>43321</v>
      </c>
      <c r="L1202">
        <v>95.504000000000005</v>
      </c>
    </row>
    <row r="1203" spans="1:12" x14ac:dyDescent="0.25">
      <c r="A1203" s="1">
        <v>43383</v>
      </c>
      <c r="B1203">
        <v>22.96</v>
      </c>
      <c r="C1203" s="1">
        <v>43383</v>
      </c>
      <c r="D1203">
        <v>26.84</v>
      </c>
      <c r="E1203" s="1">
        <v>43325</v>
      </c>
      <c r="F1203">
        <v>50.772300000000001</v>
      </c>
      <c r="G1203" s="1">
        <v>43383</v>
      </c>
      <c r="H1203">
        <v>28.81</v>
      </c>
      <c r="I1203" s="1">
        <v>43383</v>
      </c>
      <c r="J1203">
        <v>12.51</v>
      </c>
      <c r="K1203" s="1">
        <v>43322</v>
      </c>
      <c r="L1203">
        <v>96.356999999999999</v>
      </c>
    </row>
    <row r="1204" spans="1:12" x14ac:dyDescent="0.25">
      <c r="A1204" s="1">
        <v>43384</v>
      </c>
      <c r="B1204">
        <v>24.98</v>
      </c>
      <c r="C1204" s="1">
        <v>43384</v>
      </c>
      <c r="D1204">
        <v>28.15</v>
      </c>
      <c r="E1204" s="1">
        <v>43326</v>
      </c>
      <c r="F1204">
        <v>49.842700000000001</v>
      </c>
      <c r="G1204" s="1">
        <v>43384</v>
      </c>
      <c r="H1204">
        <v>29.29</v>
      </c>
      <c r="I1204" s="1">
        <v>43384</v>
      </c>
      <c r="J1204">
        <v>13.57</v>
      </c>
      <c r="K1204" s="1">
        <v>43325</v>
      </c>
      <c r="L1204">
        <v>96.391000000000005</v>
      </c>
    </row>
    <row r="1205" spans="1:12" x14ac:dyDescent="0.25">
      <c r="A1205" s="1">
        <v>43385</v>
      </c>
      <c r="B1205">
        <v>21.31</v>
      </c>
      <c r="C1205" s="1">
        <v>43385</v>
      </c>
      <c r="D1205">
        <v>26.13</v>
      </c>
      <c r="E1205" s="1">
        <v>43327</v>
      </c>
      <c r="F1205">
        <v>51.520200000000003</v>
      </c>
      <c r="G1205" s="1">
        <v>43385</v>
      </c>
      <c r="H1205">
        <v>27.73</v>
      </c>
      <c r="I1205" s="1">
        <v>43385</v>
      </c>
      <c r="J1205">
        <v>12.76</v>
      </c>
      <c r="K1205" s="1">
        <v>43326</v>
      </c>
      <c r="L1205">
        <v>96.730999999999995</v>
      </c>
    </row>
    <row r="1206" spans="1:12" x14ac:dyDescent="0.25">
      <c r="A1206" s="1">
        <v>43388</v>
      </c>
      <c r="B1206">
        <v>21.3</v>
      </c>
      <c r="C1206" s="1">
        <v>43388</v>
      </c>
      <c r="D1206">
        <v>25.97</v>
      </c>
      <c r="E1206" s="1">
        <v>43328</v>
      </c>
      <c r="F1206">
        <v>50.608699999999999</v>
      </c>
      <c r="G1206" s="1">
        <v>43388</v>
      </c>
      <c r="H1206">
        <v>28.59</v>
      </c>
      <c r="I1206" s="1">
        <v>43388</v>
      </c>
      <c r="J1206">
        <v>13.13</v>
      </c>
      <c r="K1206" s="1">
        <v>43327</v>
      </c>
      <c r="L1206">
        <v>96.695999999999998</v>
      </c>
    </row>
    <row r="1207" spans="1:12" x14ac:dyDescent="0.25">
      <c r="A1207" s="1">
        <v>43389</v>
      </c>
      <c r="B1207">
        <v>17.62</v>
      </c>
      <c r="C1207" s="1">
        <v>43389</v>
      </c>
      <c r="D1207">
        <v>24.14</v>
      </c>
      <c r="E1207" s="1">
        <v>43329</v>
      </c>
      <c r="F1207">
        <v>50.694899999999997</v>
      </c>
      <c r="G1207" s="1">
        <v>43389</v>
      </c>
      <c r="H1207">
        <v>28.59</v>
      </c>
      <c r="I1207" s="1">
        <v>43389</v>
      </c>
      <c r="J1207">
        <v>12.2</v>
      </c>
      <c r="K1207" s="1">
        <v>43328</v>
      </c>
      <c r="L1207">
        <v>96.644999999999996</v>
      </c>
    </row>
    <row r="1208" spans="1:12" x14ac:dyDescent="0.25">
      <c r="A1208" s="1">
        <v>43390</v>
      </c>
      <c r="B1208">
        <v>17.399999999999999</v>
      </c>
      <c r="C1208" s="1">
        <v>43390</v>
      </c>
      <c r="D1208">
        <v>24.44</v>
      </c>
      <c r="E1208" s="1">
        <v>43332</v>
      </c>
      <c r="F1208">
        <v>50.974600000000002</v>
      </c>
      <c r="G1208" s="1">
        <v>43390</v>
      </c>
      <c r="H1208">
        <v>28.13</v>
      </c>
      <c r="I1208" s="1">
        <v>43390</v>
      </c>
      <c r="J1208">
        <v>12.14</v>
      </c>
      <c r="K1208" s="1">
        <v>43329</v>
      </c>
      <c r="L1208">
        <v>96.100999999999999</v>
      </c>
    </row>
    <row r="1209" spans="1:12" x14ac:dyDescent="0.25">
      <c r="A1209" s="1">
        <v>43391</v>
      </c>
      <c r="B1209">
        <v>20.059999999999999</v>
      </c>
      <c r="C1209" s="1">
        <v>43391</v>
      </c>
      <c r="D1209">
        <v>27.34</v>
      </c>
      <c r="E1209" s="1">
        <v>43333</v>
      </c>
      <c r="F1209">
        <v>50.316600000000001</v>
      </c>
      <c r="G1209" s="1">
        <v>43391</v>
      </c>
      <c r="H1209">
        <v>28.53</v>
      </c>
      <c r="I1209" s="1">
        <v>43391</v>
      </c>
      <c r="J1209">
        <v>12.23</v>
      </c>
      <c r="K1209" s="1">
        <v>43332</v>
      </c>
      <c r="L1209">
        <v>95.9</v>
      </c>
    </row>
    <row r="1210" spans="1:12" x14ac:dyDescent="0.25">
      <c r="A1210" s="1">
        <v>43392</v>
      </c>
      <c r="B1210">
        <v>19.89</v>
      </c>
      <c r="C1210" s="1">
        <v>43392</v>
      </c>
      <c r="D1210">
        <v>25.85</v>
      </c>
      <c r="E1210" s="1">
        <v>43334</v>
      </c>
      <c r="F1210">
        <v>49.636800000000001</v>
      </c>
      <c r="G1210" s="1">
        <v>43392</v>
      </c>
      <c r="H1210">
        <v>27.42</v>
      </c>
      <c r="I1210" s="1">
        <v>43392</v>
      </c>
      <c r="J1210">
        <v>11.76</v>
      </c>
      <c r="K1210" s="1">
        <v>43333</v>
      </c>
      <c r="L1210">
        <v>95.256</v>
      </c>
    </row>
    <row r="1211" spans="1:12" x14ac:dyDescent="0.25">
      <c r="A1211" s="1">
        <v>43395</v>
      </c>
      <c r="B1211">
        <v>19.64</v>
      </c>
      <c r="C1211" s="1">
        <v>43395</v>
      </c>
      <c r="D1211">
        <v>25.64</v>
      </c>
      <c r="E1211" s="1">
        <v>43335</v>
      </c>
      <c r="F1211">
        <v>49.198300000000003</v>
      </c>
      <c r="G1211" s="1">
        <v>43395</v>
      </c>
      <c r="H1211">
        <v>27.76</v>
      </c>
      <c r="I1211" s="1">
        <v>43395</v>
      </c>
      <c r="J1211">
        <v>11.68</v>
      </c>
      <c r="K1211" s="1">
        <v>43334</v>
      </c>
      <c r="L1211">
        <v>95.146000000000001</v>
      </c>
    </row>
    <row r="1212" spans="1:12" x14ac:dyDescent="0.25">
      <c r="A1212" s="1">
        <v>43396</v>
      </c>
      <c r="B1212">
        <v>20.71</v>
      </c>
      <c r="C1212" s="1">
        <v>43396</v>
      </c>
      <c r="D1212">
        <v>27.16</v>
      </c>
      <c r="E1212" s="1">
        <v>43336</v>
      </c>
      <c r="F1212">
        <v>49.157699999999998</v>
      </c>
      <c r="G1212" s="1">
        <v>43396</v>
      </c>
      <c r="H1212">
        <v>29.38</v>
      </c>
      <c r="I1212" s="1">
        <v>43396</v>
      </c>
      <c r="J1212">
        <v>12.31</v>
      </c>
      <c r="K1212" s="1">
        <v>43335</v>
      </c>
      <c r="L1212">
        <v>95.665999999999997</v>
      </c>
    </row>
    <row r="1213" spans="1:12" x14ac:dyDescent="0.25">
      <c r="A1213" s="1">
        <v>43397</v>
      </c>
      <c r="B1213">
        <v>25.23</v>
      </c>
      <c r="C1213" s="1">
        <v>43397</v>
      </c>
      <c r="D1213">
        <v>31.68</v>
      </c>
      <c r="E1213" s="1">
        <v>43339</v>
      </c>
      <c r="F1213">
        <v>49.380200000000002</v>
      </c>
      <c r="G1213" s="1">
        <v>43397</v>
      </c>
      <c r="H1213">
        <v>29.8</v>
      </c>
      <c r="I1213" s="1">
        <v>43397</v>
      </c>
      <c r="J1213">
        <v>13.11</v>
      </c>
      <c r="K1213" s="1">
        <v>43336</v>
      </c>
      <c r="L1213">
        <v>95.146000000000001</v>
      </c>
    </row>
    <row r="1214" spans="1:12" x14ac:dyDescent="0.25">
      <c r="A1214" s="1">
        <v>43398</v>
      </c>
      <c r="B1214">
        <v>24.22</v>
      </c>
      <c r="C1214" s="1">
        <v>43398</v>
      </c>
      <c r="D1214">
        <v>29.53</v>
      </c>
      <c r="E1214" s="1">
        <v>43340</v>
      </c>
      <c r="F1214">
        <v>49.947299999999998</v>
      </c>
      <c r="G1214" s="1">
        <v>43398</v>
      </c>
      <c r="H1214">
        <v>28.5</v>
      </c>
      <c r="I1214" s="1">
        <v>43398</v>
      </c>
      <c r="J1214">
        <v>12.3</v>
      </c>
      <c r="K1214" s="1">
        <v>43339</v>
      </c>
      <c r="L1214">
        <v>94.778999999999996</v>
      </c>
    </row>
    <row r="1215" spans="1:12" x14ac:dyDescent="0.25">
      <c r="A1215" s="1">
        <v>43399</v>
      </c>
      <c r="B1215">
        <v>24.16</v>
      </c>
      <c r="C1215" s="1">
        <v>43399</v>
      </c>
      <c r="D1215">
        <v>30.68</v>
      </c>
      <c r="E1215" s="1">
        <v>43341</v>
      </c>
      <c r="F1215">
        <v>49.1</v>
      </c>
      <c r="G1215" s="1">
        <v>43399</v>
      </c>
      <c r="H1215">
        <v>29.09</v>
      </c>
      <c r="I1215" s="1">
        <v>43399</v>
      </c>
      <c r="J1215">
        <v>12.92</v>
      </c>
      <c r="K1215" s="1">
        <v>43340</v>
      </c>
      <c r="L1215">
        <v>94.72</v>
      </c>
    </row>
    <row r="1216" spans="1:12" x14ac:dyDescent="0.25">
      <c r="A1216" s="1">
        <v>43402</v>
      </c>
      <c r="B1216">
        <v>24.7</v>
      </c>
      <c r="C1216" s="1">
        <v>43402</v>
      </c>
      <c r="D1216">
        <v>31.51</v>
      </c>
      <c r="E1216" s="1">
        <v>43342</v>
      </c>
      <c r="F1216">
        <v>50.409300000000002</v>
      </c>
      <c r="G1216" s="1">
        <v>43402</v>
      </c>
      <c r="H1216">
        <v>29.46</v>
      </c>
      <c r="I1216" s="1">
        <v>43402</v>
      </c>
      <c r="J1216">
        <v>12.98</v>
      </c>
      <c r="K1216" s="1">
        <v>43341</v>
      </c>
      <c r="L1216">
        <v>94.6</v>
      </c>
    </row>
    <row r="1217" spans="1:12" x14ac:dyDescent="0.25">
      <c r="A1217" s="1">
        <v>43403</v>
      </c>
      <c r="B1217">
        <v>23.35</v>
      </c>
      <c r="C1217" s="1">
        <v>43403</v>
      </c>
      <c r="D1217">
        <v>29.24</v>
      </c>
      <c r="E1217" s="1">
        <v>43343</v>
      </c>
      <c r="F1217">
        <v>50.709699999999998</v>
      </c>
      <c r="G1217" s="1">
        <v>43403</v>
      </c>
      <c r="H1217">
        <v>29.9</v>
      </c>
      <c r="I1217" s="1">
        <v>43403</v>
      </c>
      <c r="J1217">
        <v>12.3</v>
      </c>
      <c r="K1217" s="1">
        <v>43342</v>
      </c>
      <c r="L1217">
        <v>94.722999999999999</v>
      </c>
    </row>
    <row r="1218" spans="1:12" x14ac:dyDescent="0.25">
      <c r="A1218" s="1">
        <v>43404</v>
      </c>
      <c r="B1218">
        <v>21.23</v>
      </c>
      <c r="C1218" s="1">
        <v>43404</v>
      </c>
      <c r="D1218">
        <v>27.92</v>
      </c>
      <c r="E1218" s="1">
        <v>43347</v>
      </c>
      <c r="F1218">
        <v>49.569200000000002</v>
      </c>
      <c r="G1218" s="1">
        <v>43404</v>
      </c>
      <c r="H1218">
        <v>30.12</v>
      </c>
      <c r="I1218" s="1">
        <v>43404</v>
      </c>
      <c r="J1218">
        <v>12.08</v>
      </c>
      <c r="K1218" s="1">
        <v>43343</v>
      </c>
      <c r="L1218">
        <v>95.14</v>
      </c>
    </row>
    <row r="1219" spans="1:12" x14ac:dyDescent="0.25">
      <c r="A1219" s="1">
        <v>43405</v>
      </c>
      <c r="B1219">
        <v>19.34</v>
      </c>
      <c r="C1219" s="1">
        <v>43405</v>
      </c>
      <c r="D1219">
        <v>26.6</v>
      </c>
      <c r="E1219" s="1">
        <v>43348</v>
      </c>
      <c r="F1219">
        <v>48.395800000000001</v>
      </c>
      <c r="G1219" s="1">
        <v>43405</v>
      </c>
      <c r="H1219">
        <v>31.54</v>
      </c>
      <c r="I1219" s="1">
        <v>43405</v>
      </c>
      <c r="J1219">
        <v>12.6</v>
      </c>
      <c r="K1219" s="1">
        <v>43346</v>
      </c>
      <c r="L1219">
        <v>95.14</v>
      </c>
    </row>
    <row r="1220" spans="1:12" x14ac:dyDescent="0.25">
      <c r="A1220" s="1">
        <v>43406</v>
      </c>
      <c r="B1220">
        <v>19.510000000000002</v>
      </c>
      <c r="C1220" s="1">
        <v>43406</v>
      </c>
      <c r="D1220">
        <v>27.72</v>
      </c>
      <c r="E1220" s="1">
        <v>43349</v>
      </c>
      <c r="F1220">
        <v>48.654699999999998</v>
      </c>
      <c r="G1220" s="1">
        <v>43406</v>
      </c>
      <c r="H1220">
        <v>32.21</v>
      </c>
      <c r="I1220" s="1">
        <v>43406</v>
      </c>
      <c r="J1220">
        <v>12.5</v>
      </c>
      <c r="K1220" s="1">
        <v>43347</v>
      </c>
      <c r="L1220">
        <v>95.438999999999993</v>
      </c>
    </row>
    <row r="1221" spans="1:12" x14ac:dyDescent="0.25">
      <c r="A1221" s="1">
        <v>43409</v>
      </c>
      <c r="B1221">
        <v>19.96</v>
      </c>
      <c r="C1221" s="1">
        <v>43409</v>
      </c>
      <c r="D1221">
        <v>27.63</v>
      </c>
      <c r="E1221" s="1">
        <v>43350</v>
      </c>
      <c r="F1221">
        <v>49.430199999999999</v>
      </c>
      <c r="G1221" s="1">
        <v>43409</v>
      </c>
      <c r="H1221">
        <v>32.68</v>
      </c>
      <c r="I1221" s="1">
        <v>43409</v>
      </c>
      <c r="J1221">
        <v>12.39</v>
      </c>
      <c r="K1221" s="1">
        <v>43348</v>
      </c>
      <c r="L1221">
        <v>95.183999999999997</v>
      </c>
    </row>
    <row r="1222" spans="1:12" x14ac:dyDescent="0.25">
      <c r="A1222" s="1">
        <v>43410</v>
      </c>
      <c r="B1222">
        <v>19.91</v>
      </c>
      <c r="C1222" s="1">
        <v>43410</v>
      </c>
      <c r="D1222">
        <v>27.1</v>
      </c>
      <c r="E1222" s="1">
        <v>43353</v>
      </c>
      <c r="F1222">
        <v>47.691499999999998</v>
      </c>
      <c r="G1222" s="1">
        <v>43410</v>
      </c>
      <c r="H1222">
        <v>34.15</v>
      </c>
      <c r="I1222" s="1">
        <v>43410</v>
      </c>
      <c r="J1222">
        <v>12.47</v>
      </c>
      <c r="K1222" s="1">
        <v>43349</v>
      </c>
      <c r="L1222">
        <v>95.021000000000001</v>
      </c>
    </row>
    <row r="1223" spans="1:12" x14ac:dyDescent="0.25">
      <c r="A1223" s="1">
        <v>43411</v>
      </c>
      <c r="B1223">
        <v>16.36</v>
      </c>
      <c r="C1223" s="1">
        <v>43411</v>
      </c>
      <c r="D1223">
        <v>24.27</v>
      </c>
      <c r="E1223" s="1">
        <v>43354</v>
      </c>
      <c r="F1223">
        <v>47.973399999999998</v>
      </c>
      <c r="G1223" s="1">
        <v>43411</v>
      </c>
      <c r="H1223">
        <v>33.049999999999997</v>
      </c>
      <c r="I1223" s="1">
        <v>43411</v>
      </c>
      <c r="J1223">
        <v>11.23</v>
      </c>
      <c r="K1223" s="1">
        <v>43350</v>
      </c>
      <c r="L1223">
        <v>95.364999999999995</v>
      </c>
    </row>
    <row r="1224" spans="1:12" x14ac:dyDescent="0.25">
      <c r="A1224" s="1">
        <v>43412</v>
      </c>
      <c r="B1224">
        <v>16.72</v>
      </c>
      <c r="C1224" s="1">
        <v>43412</v>
      </c>
      <c r="D1224">
        <v>24.86</v>
      </c>
      <c r="E1224" s="1">
        <v>43355</v>
      </c>
      <c r="F1224">
        <v>46.789000000000001</v>
      </c>
      <c r="G1224" s="1">
        <v>43412</v>
      </c>
      <c r="H1224">
        <v>32.229999999999997</v>
      </c>
      <c r="I1224" s="1">
        <v>43412</v>
      </c>
      <c r="J1224">
        <v>11.41</v>
      </c>
      <c r="K1224" s="1">
        <v>43353</v>
      </c>
      <c r="L1224">
        <v>95.15</v>
      </c>
    </row>
    <row r="1225" spans="1:12" x14ac:dyDescent="0.25">
      <c r="A1225" s="1">
        <v>43413</v>
      </c>
      <c r="B1225">
        <v>17.36</v>
      </c>
      <c r="C1225" s="1">
        <v>43413</v>
      </c>
      <c r="D1225">
        <v>26.13</v>
      </c>
      <c r="E1225" s="1">
        <v>43356</v>
      </c>
      <c r="F1225">
        <v>46.055799999999998</v>
      </c>
      <c r="G1225" s="1">
        <v>43413</v>
      </c>
      <c r="H1225">
        <v>35.1</v>
      </c>
      <c r="I1225" s="1">
        <v>43413</v>
      </c>
      <c r="J1225">
        <v>11.44</v>
      </c>
      <c r="K1225" s="1">
        <v>43354</v>
      </c>
      <c r="L1225">
        <v>95.248999999999995</v>
      </c>
    </row>
    <row r="1226" spans="1:12" x14ac:dyDescent="0.25">
      <c r="A1226" s="1">
        <v>43416</v>
      </c>
      <c r="B1226">
        <v>20.45</v>
      </c>
      <c r="C1226" s="1">
        <v>43416</v>
      </c>
      <c r="D1226">
        <v>28.66</v>
      </c>
      <c r="E1226" s="1">
        <v>43357</v>
      </c>
      <c r="F1226">
        <v>47.45</v>
      </c>
      <c r="G1226" s="1">
        <v>43416</v>
      </c>
      <c r="H1226">
        <v>40.14</v>
      </c>
      <c r="I1226" s="1">
        <v>43416</v>
      </c>
      <c r="J1226">
        <v>12.13</v>
      </c>
      <c r="K1226" s="1">
        <v>43355</v>
      </c>
      <c r="L1226">
        <v>94.799000000000007</v>
      </c>
    </row>
    <row r="1227" spans="1:12" x14ac:dyDescent="0.25">
      <c r="A1227" s="1">
        <v>43417</v>
      </c>
      <c r="B1227">
        <v>20.02</v>
      </c>
      <c r="C1227" s="1">
        <v>43417</v>
      </c>
      <c r="D1227">
        <v>28.61</v>
      </c>
      <c r="E1227" s="1">
        <v>43360</v>
      </c>
      <c r="F1227">
        <v>46.808700000000002</v>
      </c>
      <c r="G1227" s="1">
        <v>43417</v>
      </c>
      <c r="H1227">
        <v>55.71</v>
      </c>
      <c r="I1227" s="1">
        <v>43417</v>
      </c>
      <c r="J1227">
        <v>12.19</v>
      </c>
      <c r="K1227" s="1">
        <v>43356</v>
      </c>
      <c r="L1227">
        <v>94.518000000000001</v>
      </c>
    </row>
    <row r="1228" spans="1:12" x14ac:dyDescent="0.25">
      <c r="A1228" s="1">
        <v>43418</v>
      </c>
      <c r="B1228">
        <v>21.25</v>
      </c>
      <c r="C1228" s="1">
        <v>43418</v>
      </c>
      <c r="D1228">
        <v>28.25</v>
      </c>
      <c r="E1228" s="1">
        <v>43361</v>
      </c>
      <c r="F1228">
        <v>47.967399999999998</v>
      </c>
      <c r="G1228" s="1">
        <v>43418</v>
      </c>
      <c r="H1228">
        <v>47.07</v>
      </c>
      <c r="I1228" s="1">
        <v>43418</v>
      </c>
      <c r="J1228">
        <v>12.88</v>
      </c>
      <c r="K1228" s="1">
        <v>43357</v>
      </c>
      <c r="L1228">
        <v>94.927000000000007</v>
      </c>
    </row>
    <row r="1229" spans="1:12" x14ac:dyDescent="0.25">
      <c r="A1229" s="1">
        <v>43419</v>
      </c>
      <c r="B1229">
        <v>19.98</v>
      </c>
      <c r="C1229" s="1">
        <v>43419</v>
      </c>
      <c r="D1229">
        <v>28.03</v>
      </c>
      <c r="E1229" s="1">
        <v>43362</v>
      </c>
      <c r="F1229">
        <v>48.793399999999998</v>
      </c>
      <c r="G1229" s="1">
        <v>43419</v>
      </c>
      <c r="H1229">
        <v>43.87</v>
      </c>
      <c r="I1229" s="1">
        <v>43419</v>
      </c>
      <c r="J1229">
        <v>12.12</v>
      </c>
      <c r="K1229" s="1">
        <v>43360</v>
      </c>
      <c r="L1229">
        <v>94.495999999999995</v>
      </c>
    </row>
    <row r="1230" spans="1:12" x14ac:dyDescent="0.25">
      <c r="A1230" s="1">
        <v>43420</v>
      </c>
      <c r="B1230">
        <v>18.14</v>
      </c>
      <c r="C1230" s="1">
        <v>43420</v>
      </c>
      <c r="D1230">
        <v>27.71</v>
      </c>
      <c r="E1230" s="1">
        <v>43363</v>
      </c>
      <c r="F1230">
        <v>49.3444</v>
      </c>
      <c r="G1230" s="1">
        <v>43420</v>
      </c>
      <c r="H1230">
        <v>40.56</v>
      </c>
      <c r="I1230" s="1">
        <v>43420</v>
      </c>
      <c r="J1230">
        <v>12.05</v>
      </c>
      <c r="K1230" s="1">
        <v>43361</v>
      </c>
      <c r="L1230">
        <v>94.64</v>
      </c>
    </row>
    <row r="1231" spans="1:12" x14ac:dyDescent="0.25">
      <c r="A1231" s="1">
        <v>43423</v>
      </c>
      <c r="B1231">
        <v>20.100000000000001</v>
      </c>
      <c r="C1231" s="1">
        <v>43423</v>
      </c>
      <c r="D1231">
        <v>29.06</v>
      </c>
      <c r="E1231" s="1">
        <v>43364</v>
      </c>
      <c r="F1231">
        <v>48.831499999999998</v>
      </c>
      <c r="G1231" s="1">
        <v>43423</v>
      </c>
      <c r="H1231">
        <v>43.45</v>
      </c>
      <c r="I1231" s="1">
        <v>43423</v>
      </c>
      <c r="J1231">
        <v>12.57</v>
      </c>
      <c r="K1231" s="1">
        <v>43362</v>
      </c>
      <c r="L1231">
        <v>94.537000000000006</v>
      </c>
    </row>
    <row r="1232" spans="1:12" x14ac:dyDescent="0.25">
      <c r="A1232" s="1">
        <v>43424</v>
      </c>
      <c r="B1232">
        <v>22.48</v>
      </c>
      <c r="C1232" s="1">
        <v>43424</v>
      </c>
      <c r="D1232">
        <v>29.31</v>
      </c>
      <c r="E1232" s="1">
        <v>43367</v>
      </c>
      <c r="F1232">
        <v>48.305900000000001</v>
      </c>
      <c r="G1232" s="1">
        <v>43424</v>
      </c>
      <c r="H1232">
        <v>56.56</v>
      </c>
      <c r="I1232" s="1">
        <v>43424</v>
      </c>
      <c r="J1232">
        <v>12.63</v>
      </c>
      <c r="K1232" s="1">
        <v>43363</v>
      </c>
      <c r="L1232">
        <v>93.912000000000006</v>
      </c>
    </row>
    <row r="1233" spans="1:12" x14ac:dyDescent="0.25">
      <c r="A1233" s="1">
        <v>43425</v>
      </c>
      <c r="B1233">
        <v>20.8</v>
      </c>
      <c r="C1233" s="1">
        <v>43425</v>
      </c>
      <c r="D1233">
        <v>27.15</v>
      </c>
      <c r="E1233" s="1">
        <v>43368</v>
      </c>
      <c r="F1233">
        <v>49.379300000000001</v>
      </c>
      <c r="G1233" s="1">
        <v>43425</v>
      </c>
      <c r="H1233">
        <v>51.79</v>
      </c>
      <c r="I1233" s="1">
        <v>43425</v>
      </c>
      <c r="J1233">
        <v>12.12</v>
      </c>
      <c r="K1233" s="1">
        <v>43364</v>
      </c>
      <c r="L1233">
        <v>94.22</v>
      </c>
    </row>
    <row r="1234" spans="1:12" x14ac:dyDescent="0.25">
      <c r="A1234" s="1">
        <v>43427</v>
      </c>
      <c r="B1234">
        <v>21.52</v>
      </c>
      <c r="C1234" s="1">
        <v>43427</v>
      </c>
      <c r="D1234">
        <v>27.11</v>
      </c>
      <c r="E1234" s="1">
        <v>43369</v>
      </c>
      <c r="F1234">
        <v>47.439500000000002</v>
      </c>
      <c r="G1234" s="1">
        <v>43427</v>
      </c>
      <c r="H1234">
        <v>65.17</v>
      </c>
      <c r="I1234" s="1">
        <v>43427</v>
      </c>
      <c r="J1234">
        <v>12.1</v>
      </c>
      <c r="K1234" s="1">
        <v>43367</v>
      </c>
      <c r="L1234">
        <v>94.185000000000002</v>
      </c>
    </row>
    <row r="1235" spans="1:12" x14ac:dyDescent="0.25">
      <c r="A1235" s="1">
        <v>43430</v>
      </c>
      <c r="B1235">
        <v>18.899999999999999</v>
      </c>
      <c r="C1235" s="1">
        <v>43430</v>
      </c>
      <c r="D1235">
        <v>26.81</v>
      </c>
      <c r="E1235" s="1">
        <v>43370</v>
      </c>
      <c r="F1235">
        <v>45.707900000000002</v>
      </c>
      <c r="G1235" s="1">
        <v>43430</v>
      </c>
      <c r="H1235">
        <v>57.87</v>
      </c>
      <c r="I1235" s="1">
        <v>43430</v>
      </c>
      <c r="J1235">
        <v>11.83</v>
      </c>
      <c r="K1235" s="1">
        <v>43368</v>
      </c>
      <c r="L1235">
        <v>94.132999999999996</v>
      </c>
    </row>
    <row r="1236" spans="1:12" x14ac:dyDescent="0.25">
      <c r="A1236" s="1">
        <v>43431</v>
      </c>
      <c r="B1236">
        <v>19.02</v>
      </c>
      <c r="C1236" s="1">
        <v>43431</v>
      </c>
      <c r="D1236">
        <v>26.43</v>
      </c>
      <c r="E1236" s="1">
        <v>43371</v>
      </c>
      <c r="F1236">
        <v>46.163400000000003</v>
      </c>
      <c r="G1236" s="1">
        <v>43431</v>
      </c>
      <c r="H1236">
        <v>54.64</v>
      </c>
      <c r="I1236" s="1">
        <v>43431</v>
      </c>
      <c r="J1236">
        <v>12.01</v>
      </c>
      <c r="K1236" s="1">
        <v>43369</v>
      </c>
      <c r="L1236">
        <v>94.192999999999998</v>
      </c>
    </row>
    <row r="1237" spans="1:12" x14ac:dyDescent="0.25">
      <c r="A1237" s="1">
        <v>43432</v>
      </c>
      <c r="B1237">
        <v>18.489999999999998</v>
      </c>
      <c r="C1237" s="1">
        <v>43432</v>
      </c>
      <c r="D1237">
        <v>26.42</v>
      </c>
      <c r="E1237" s="1">
        <v>43374</v>
      </c>
      <c r="F1237">
        <v>44.284700000000001</v>
      </c>
      <c r="G1237" s="1">
        <v>43432</v>
      </c>
      <c r="H1237">
        <v>53.99</v>
      </c>
      <c r="I1237" s="1">
        <v>43432</v>
      </c>
      <c r="J1237">
        <v>11.43</v>
      </c>
      <c r="K1237" s="1">
        <v>43370</v>
      </c>
      <c r="L1237">
        <v>94.894000000000005</v>
      </c>
    </row>
    <row r="1238" spans="1:12" x14ac:dyDescent="0.25">
      <c r="A1238" s="1">
        <v>43433</v>
      </c>
      <c r="B1238">
        <v>18.79</v>
      </c>
      <c r="C1238" s="1">
        <v>43433</v>
      </c>
      <c r="D1238">
        <v>26.68</v>
      </c>
      <c r="E1238" s="1">
        <v>43375</v>
      </c>
      <c r="F1238">
        <v>45.354500000000002</v>
      </c>
      <c r="G1238" s="1">
        <v>43433</v>
      </c>
      <c r="H1238">
        <v>53.96</v>
      </c>
      <c r="I1238" s="1">
        <v>43433</v>
      </c>
      <c r="J1238">
        <v>11.39</v>
      </c>
      <c r="K1238" s="1">
        <v>43371</v>
      </c>
      <c r="L1238">
        <v>95.132000000000005</v>
      </c>
    </row>
    <row r="1239" spans="1:12" x14ac:dyDescent="0.25">
      <c r="A1239" s="1">
        <v>43434</v>
      </c>
      <c r="B1239">
        <v>18.07</v>
      </c>
      <c r="C1239" s="1">
        <v>43434</v>
      </c>
      <c r="D1239">
        <v>26.11</v>
      </c>
      <c r="E1239" s="1">
        <v>43376</v>
      </c>
      <c r="F1239">
        <v>50.206400000000002</v>
      </c>
      <c r="G1239" s="1">
        <v>43434</v>
      </c>
      <c r="H1239">
        <v>56.04</v>
      </c>
      <c r="I1239" s="1">
        <v>43434</v>
      </c>
      <c r="J1239">
        <v>11.26</v>
      </c>
      <c r="K1239" s="1">
        <v>43374</v>
      </c>
      <c r="L1239">
        <v>95.298000000000002</v>
      </c>
    </row>
    <row r="1240" spans="1:12" x14ac:dyDescent="0.25">
      <c r="A1240" s="1">
        <v>43437</v>
      </c>
      <c r="B1240">
        <v>16.440000000000001</v>
      </c>
      <c r="C1240" s="1">
        <v>43437</v>
      </c>
      <c r="D1240">
        <v>22.72</v>
      </c>
      <c r="E1240" s="1">
        <v>43377</v>
      </c>
      <c r="F1240">
        <v>55.066699999999997</v>
      </c>
      <c r="G1240" s="1">
        <v>43437</v>
      </c>
      <c r="H1240">
        <v>49.61</v>
      </c>
      <c r="I1240" s="1">
        <v>43437</v>
      </c>
      <c r="J1240">
        <v>10.93</v>
      </c>
      <c r="K1240" s="1">
        <v>43375</v>
      </c>
      <c r="L1240">
        <v>95.507000000000005</v>
      </c>
    </row>
    <row r="1241" spans="1:12" x14ac:dyDescent="0.25">
      <c r="A1241" s="1">
        <v>43438</v>
      </c>
      <c r="B1241">
        <v>20.74</v>
      </c>
      <c r="C1241" s="1">
        <v>43438</v>
      </c>
      <c r="D1241">
        <v>25.23</v>
      </c>
      <c r="E1241" s="1">
        <v>43378</v>
      </c>
      <c r="F1241">
        <v>55.186500000000002</v>
      </c>
      <c r="G1241" s="1">
        <v>43438</v>
      </c>
      <c r="H1241">
        <v>49.84</v>
      </c>
      <c r="I1241" s="1">
        <v>43438</v>
      </c>
      <c r="J1241">
        <v>11.63</v>
      </c>
      <c r="K1241" s="1">
        <v>43376</v>
      </c>
      <c r="L1241">
        <v>95.762</v>
      </c>
    </row>
    <row r="1242" spans="1:12" x14ac:dyDescent="0.25">
      <c r="A1242" s="1">
        <v>43440</v>
      </c>
      <c r="B1242">
        <v>21.19</v>
      </c>
      <c r="C1242" s="1">
        <v>43440</v>
      </c>
      <c r="D1242">
        <v>26.25</v>
      </c>
      <c r="E1242" s="1">
        <v>43382</v>
      </c>
      <c r="F1242">
        <v>53.446899999999999</v>
      </c>
      <c r="G1242" s="1">
        <v>43440</v>
      </c>
      <c r="H1242">
        <v>50.13</v>
      </c>
      <c r="I1242" s="1">
        <v>43440</v>
      </c>
      <c r="J1242">
        <v>11.61</v>
      </c>
      <c r="K1242" s="1">
        <v>43377</v>
      </c>
      <c r="L1242">
        <v>95.751000000000005</v>
      </c>
    </row>
    <row r="1243" spans="1:12" x14ac:dyDescent="0.25">
      <c r="A1243" s="1">
        <v>43441</v>
      </c>
      <c r="B1243">
        <v>23.23</v>
      </c>
      <c r="C1243" s="1">
        <v>43441</v>
      </c>
      <c r="D1243">
        <v>27.7</v>
      </c>
      <c r="E1243" s="1">
        <v>43383</v>
      </c>
      <c r="F1243">
        <v>55.7</v>
      </c>
      <c r="G1243" s="1">
        <v>43441</v>
      </c>
      <c r="H1243">
        <v>41.83</v>
      </c>
      <c r="I1243" s="1">
        <v>43441</v>
      </c>
      <c r="J1243">
        <v>12.22</v>
      </c>
      <c r="K1243" s="1">
        <v>43378</v>
      </c>
      <c r="L1243">
        <v>95.623999999999995</v>
      </c>
    </row>
    <row r="1244" spans="1:12" x14ac:dyDescent="0.25">
      <c r="A1244" s="1">
        <v>43444</v>
      </c>
      <c r="B1244">
        <v>22.64</v>
      </c>
      <c r="C1244" s="1">
        <v>43444</v>
      </c>
      <c r="D1244">
        <v>27.23</v>
      </c>
      <c r="E1244" s="1">
        <v>43384</v>
      </c>
      <c r="F1244">
        <v>56.069699999999997</v>
      </c>
      <c r="G1244" s="1">
        <v>43444</v>
      </c>
      <c r="H1244">
        <v>45.06</v>
      </c>
      <c r="I1244" s="1">
        <v>43444</v>
      </c>
      <c r="J1244">
        <v>12.04</v>
      </c>
      <c r="K1244" s="1">
        <v>43381</v>
      </c>
      <c r="L1244">
        <v>95.760999999999996</v>
      </c>
    </row>
    <row r="1245" spans="1:12" x14ac:dyDescent="0.25">
      <c r="A1245" s="1">
        <v>43445</v>
      </c>
      <c r="B1245">
        <v>21.76</v>
      </c>
      <c r="C1245" s="1">
        <v>43445</v>
      </c>
      <c r="D1245">
        <v>26.17</v>
      </c>
      <c r="E1245" s="1">
        <v>43385</v>
      </c>
      <c r="F1245">
        <v>54.374099999999999</v>
      </c>
      <c r="G1245" s="1">
        <v>43445</v>
      </c>
      <c r="H1245">
        <v>41.46</v>
      </c>
      <c r="I1245" s="1">
        <v>43445</v>
      </c>
      <c r="J1245">
        <v>11.46</v>
      </c>
      <c r="K1245" s="1">
        <v>43382</v>
      </c>
      <c r="L1245">
        <v>95.668000000000006</v>
      </c>
    </row>
    <row r="1246" spans="1:12" x14ac:dyDescent="0.25">
      <c r="A1246" s="1">
        <v>43446</v>
      </c>
      <c r="B1246">
        <v>21.46</v>
      </c>
      <c r="C1246" s="1">
        <v>43446</v>
      </c>
      <c r="D1246">
        <v>24.9</v>
      </c>
      <c r="E1246" s="1">
        <v>43388</v>
      </c>
      <c r="F1246">
        <v>51.246299999999998</v>
      </c>
      <c r="G1246" s="1">
        <v>43446</v>
      </c>
      <c r="H1246">
        <v>39.9</v>
      </c>
      <c r="I1246" s="1">
        <v>43446</v>
      </c>
      <c r="J1246">
        <v>11.29</v>
      </c>
      <c r="K1246" s="1">
        <v>43383</v>
      </c>
      <c r="L1246">
        <v>95.507999999999996</v>
      </c>
    </row>
    <row r="1247" spans="1:12" x14ac:dyDescent="0.25">
      <c r="A1247" s="1">
        <v>43447</v>
      </c>
      <c r="B1247">
        <v>20.65</v>
      </c>
      <c r="C1247" s="1">
        <v>43447</v>
      </c>
      <c r="D1247">
        <v>24.05</v>
      </c>
      <c r="E1247" s="1">
        <v>43389</v>
      </c>
      <c r="F1247">
        <v>50.179900000000004</v>
      </c>
      <c r="G1247" s="1">
        <v>43447</v>
      </c>
      <c r="H1247">
        <v>39.25</v>
      </c>
      <c r="I1247" s="1">
        <v>43447</v>
      </c>
      <c r="J1247">
        <v>10.69</v>
      </c>
      <c r="K1247" s="1">
        <v>43384</v>
      </c>
      <c r="L1247">
        <v>95.016999999999996</v>
      </c>
    </row>
    <row r="1248" spans="1:12" x14ac:dyDescent="0.25">
      <c r="A1248" s="1">
        <v>43448</v>
      </c>
      <c r="B1248">
        <v>21.63</v>
      </c>
      <c r="C1248" s="1">
        <v>43448</v>
      </c>
      <c r="D1248">
        <v>24.12</v>
      </c>
      <c r="E1248" s="1">
        <v>43390</v>
      </c>
      <c r="F1248">
        <v>48.9863</v>
      </c>
      <c r="G1248" s="1">
        <v>43448</v>
      </c>
      <c r="H1248">
        <v>42.38</v>
      </c>
      <c r="I1248" s="1">
        <v>43448</v>
      </c>
      <c r="J1248">
        <v>10.77</v>
      </c>
      <c r="K1248" s="1">
        <v>43385</v>
      </c>
      <c r="L1248">
        <v>95.221000000000004</v>
      </c>
    </row>
    <row r="1249" spans="1:12" x14ac:dyDescent="0.25">
      <c r="A1249" s="1">
        <v>43451</v>
      </c>
      <c r="B1249">
        <v>24.52</v>
      </c>
      <c r="C1249" s="1">
        <v>43451</v>
      </c>
      <c r="D1249">
        <v>26.76</v>
      </c>
      <c r="E1249" s="1">
        <v>43391</v>
      </c>
      <c r="F1249">
        <v>52.634999999999998</v>
      </c>
      <c r="G1249" s="1">
        <v>43451</v>
      </c>
      <c r="H1249">
        <v>46.59</v>
      </c>
      <c r="I1249" s="1">
        <v>43451</v>
      </c>
      <c r="J1249">
        <v>11.75</v>
      </c>
      <c r="K1249" s="1">
        <v>43388</v>
      </c>
      <c r="L1249">
        <v>95.058999999999997</v>
      </c>
    </row>
    <row r="1250" spans="1:12" x14ac:dyDescent="0.25">
      <c r="A1250" s="1">
        <v>43452</v>
      </c>
      <c r="B1250">
        <v>25.58</v>
      </c>
      <c r="C1250" s="1">
        <v>43452</v>
      </c>
      <c r="D1250">
        <v>25.98</v>
      </c>
      <c r="E1250" s="1">
        <v>43392</v>
      </c>
      <c r="F1250">
        <v>52.043300000000002</v>
      </c>
      <c r="G1250" s="1">
        <v>43452</v>
      </c>
      <c r="H1250">
        <v>53.35</v>
      </c>
      <c r="I1250" s="1">
        <v>43452</v>
      </c>
      <c r="J1250">
        <v>12.18</v>
      </c>
      <c r="K1250" s="1">
        <v>43389</v>
      </c>
      <c r="L1250">
        <v>95.048000000000002</v>
      </c>
    </row>
    <row r="1251" spans="1:12" x14ac:dyDescent="0.25">
      <c r="A1251" s="1">
        <v>43453</v>
      </c>
      <c r="B1251">
        <v>25.58</v>
      </c>
      <c r="C1251" s="1">
        <v>43453</v>
      </c>
      <c r="D1251">
        <v>25.85</v>
      </c>
      <c r="E1251" s="1">
        <v>43395</v>
      </c>
      <c r="F1251">
        <v>51.849600000000002</v>
      </c>
      <c r="G1251" s="1">
        <v>43453</v>
      </c>
      <c r="H1251">
        <v>50.86</v>
      </c>
      <c r="I1251" s="1">
        <v>43453</v>
      </c>
      <c r="J1251">
        <v>11.4</v>
      </c>
      <c r="K1251" s="1">
        <v>43390</v>
      </c>
      <c r="L1251">
        <v>95.575000000000003</v>
      </c>
    </row>
    <row r="1252" spans="1:12" x14ac:dyDescent="0.25">
      <c r="A1252" s="1">
        <v>43454</v>
      </c>
      <c r="B1252">
        <v>28.38</v>
      </c>
      <c r="C1252" s="1">
        <v>43454</v>
      </c>
      <c r="D1252">
        <v>25.91</v>
      </c>
      <c r="E1252" s="1">
        <v>43396</v>
      </c>
      <c r="F1252">
        <v>55.0139</v>
      </c>
      <c r="G1252" s="1">
        <v>43454</v>
      </c>
      <c r="H1252">
        <v>52.89</v>
      </c>
      <c r="I1252" s="1">
        <v>43454</v>
      </c>
      <c r="J1252">
        <v>12.45</v>
      </c>
      <c r="K1252" s="1">
        <v>43391</v>
      </c>
      <c r="L1252">
        <v>95.9</v>
      </c>
    </row>
    <row r="1253" spans="1:12" x14ac:dyDescent="0.25">
      <c r="A1253" s="1">
        <v>43455</v>
      </c>
      <c r="B1253">
        <v>30.11</v>
      </c>
      <c r="C1253" s="1">
        <v>43455</v>
      </c>
      <c r="D1253">
        <v>26.34</v>
      </c>
      <c r="E1253" s="1">
        <v>43397</v>
      </c>
      <c r="F1253">
        <v>57.692999999999998</v>
      </c>
      <c r="G1253" s="1">
        <v>43455</v>
      </c>
      <c r="H1253">
        <v>51.76</v>
      </c>
      <c r="I1253" s="1">
        <v>43455</v>
      </c>
      <c r="J1253">
        <v>11.97</v>
      </c>
      <c r="K1253" s="1">
        <v>43392</v>
      </c>
      <c r="L1253">
        <v>95.712999999999994</v>
      </c>
    </row>
    <row r="1254" spans="1:12" x14ac:dyDescent="0.25">
      <c r="A1254" s="1">
        <v>43458</v>
      </c>
      <c r="B1254">
        <v>36.07</v>
      </c>
      <c r="C1254" s="1">
        <v>43458</v>
      </c>
      <c r="D1254">
        <v>28.26</v>
      </c>
      <c r="E1254" s="1">
        <v>43398</v>
      </c>
      <c r="F1254">
        <v>56.6997</v>
      </c>
      <c r="G1254" s="1">
        <v>43458</v>
      </c>
      <c r="H1254">
        <v>56.73</v>
      </c>
      <c r="I1254" s="1">
        <v>43458</v>
      </c>
      <c r="J1254">
        <v>14.8</v>
      </c>
      <c r="K1254" s="1">
        <v>43395</v>
      </c>
      <c r="L1254">
        <v>96.013000000000005</v>
      </c>
    </row>
    <row r="1255" spans="1:12" x14ac:dyDescent="0.25">
      <c r="A1255" s="1">
        <v>43460</v>
      </c>
      <c r="B1255">
        <v>30.41</v>
      </c>
      <c r="C1255" s="1">
        <v>43460</v>
      </c>
      <c r="D1255">
        <v>26.35</v>
      </c>
      <c r="E1255" s="1">
        <v>43399</v>
      </c>
      <c r="F1255">
        <v>62.701300000000003</v>
      </c>
      <c r="G1255" s="1">
        <v>43460</v>
      </c>
      <c r="H1255">
        <v>54.07</v>
      </c>
      <c r="I1255" s="1">
        <v>43460</v>
      </c>
      <c r="J1255">
        <v>14.47</v>
      </c>
      <c r="K1255" s="1">
        <v>43396</v>
      </c>
      <c r="L1255">
        <v>95.960999999999999</v>
      </c>
    </row>
    <row r="1256" spans="1:12" x14ac:dyDescent="0.25">
      <c r="A1256" s="1">
        <v>43461</v>
      </c>
      <c r="B1256">
        <v>29.96</v>
      </c>
      <c r="C1256" s="1">
        <v>43461</v>
      </c>
      <c r="D1256">
        <v>26.5</v>
      </c>
      <c r="E1256" s="1">
        <v>43402</v>
      </c>
      <c r="F1256">
        <v>59.768799999999999</v>
      </c>
      <c r="G1256" s="1">
        <v>43461</v>
      </c>
      <c r="H1256">
        <v>57.16</v>
      </c>
      <c r="I1256" s="1">
        <v>43461</v>
      </c>
      <c r="J1256">
        <v>15.18</v>
      </c>
      <c r="K1256" s="1">
        <v>43397</v>
      </c>
      <c r="L1256">
        <v>96.433999999999997</v>
      </c>
    </row>
    <row r="1257" spans="1:12" x14ac:dyDescent="0.25">
      <c r="A1257" s="1">
        <v>43462</v>
      </c>
      <c r="B1257">
        <v>28.34</v>
      </c>
      <c r="C1257" s="1">
        <v>43462</v>
      </c>
      <c r="D1257">
        <v>25.43</v>
      </c>
      <c r="E1257" s="1">
        <v>43403</v>
      </c>
      <c r="F1257">
        <v>61.792900000000003</v>
      </c>
      <c r="G1257" s="1">
        <v>43462</v>
      </c>
      <c r="H1257">
        <v>53.11</v>
      </c>
      <c r="I1257" s="1">
        <v>43462</v>
      </c>
      <c r="J1257">
        <v>14.56</v>
      </c>
      <c r="K1257" s="1">
        <v>43398</v>
      </c>
      <c r="L1257">
        <v>96.679000000000002</v>
      </c>
    </row>
    <row r="1258" spans="1:12" x14ac:dyDescent="0.25">
      <c r="A1258" s="1">
        <v>43465</v>
      </c>
      <c r="B1258">
        <v>25.42</v>
      </c>
      <c r="C1258" s="1">
        <v>43465</v>
      </c>
      <c r="D1258">
        <v>24.91</v>
      </c>
      <c r="E1258" s="1">
        <v>43404</v>
      </c>
      <c r="F1258">
        <v>60.128500000000003</v>
      </c>
      <c r="G1258" s="1">
        <v>43465</v>
      </c>
      <c r="H1258">
        <v>51.87</v>
      </c>
      <c r="I1258" s="1">
        <v>43465</v>
      </c>
      <c r="J1258">
        <v>13.48</v>
      </c>
      <c r="K1258" s="1">
        <v>43399</v>
      </c>
      <c r="L1258">
        <v>96.358999999999995</v>
      </c>
    </row>
    <row r="1259" spans="1:12" x14ac:dyDescent="0.25">
      <c r="A1259" s="1">
        <v>43467</v>
      </c>
      <c r="B1259">
        <v>23.22</v>
      </c>
      <c r="C1259" s="1">
        <v>43467</v>
      </c>
      <c r="D1259">
        <v>24.72</v>
      </c>
      <c r="E1259" s="1">
        <v>43405</v>
      </c>
      <c r="F1259">
        <v>58.541499999999999</v>
      </c>
      <c r="G1259" s="1">
        <v>43467</v>
      </c>
      <c r="H1259">
        <v>54.72</v>
      </c>
      <c r="I1259" s="1">
        <v>43467</v>
      </c>
      <c r="J1259">
        <v>13.18</v>
      </c>
      <c r="K1259" s="1">
        <v>43402</v>
      </c>
      <c r="L1259">
        <v>96.578999999999994</v>
      </c>
    </row>
    <row r="1260" spans="1:12" x14ac:dyDescent="0.25">
      <c r="A1260" s="1">
        <v>43468</v>
      </c>
      <c r="B1260">
        <v>25.45</v>
      </c>
      <c r="C1260" s="1">
        <v>43468</v>
      </c>
      <c r="D1260">
        <v>26.14</v>
      </c>
      <c r="E1260" s="1">
        <v>43406</v>
      </c>
      <c r="F1260">
        <v>61.415999999999997</v>
      </c>
      <c r="G1260" s="1">
        <v>43468</v>
      </c>
      <c r="H1260">
        <v>53.57</v>
      </c>
      <c r="I1260" s="1">
        <v>43468</v>
      </c>
      <c r="J1260">
        <v>13.77</v>
      </c>
      <c r="K1260" s="1">
        <v>43403</v>
      </c>
      <c r="L1260">
        <v>97.010999999999996</v>
      </c>
    </row>
    <row r="1261" spans="1:12" x14ac:dyDescent="0.25">
      <c r="A1261" s="1">
        <v>43469</v>
      </c>
      <c r="B1261">
        <v>21.38</v>
      </c>
      <c r="C1261" s="1">
        <v>43469</v>
      </c>
      <c r="D1261">
        <v>23.86</v>
      </c>
      <c r="E1261" s="1">
        <v>43409</v>
      </c>
      <c r="F1261">
        <v>59.896999999999998</v>
      </c>
      <c r="G1261" s="1">
        <v>43469</v>
      </c>
      <c r="H1261">
        <v>51.52</v>
      </c>
      <c r="I1261" s="1">
        <v>43469</v>
      </c>
      <c r="J1261">
        <v>12.04</v>
      </c>
      <c r="K1261" s="1">
        <v>43404</v>
      </c>
      <c r="L1261">
        <v>97.126999999999995</v>
      </c>
    </row>
    <row r="1262" spans="1:12" x14ac:dyDescent="0.25">
      <c r="A1262" s="1">
        <v>43472</v>
      </c>
      <c r="B1262">
        <v>21.4</v>
      </c>
      <c r="C1262" s="1">
        <v>43472</v>
      </c>
      <c r="D1262">
        <v>23.59</v>
      </c>
      <c r="E1262" s="1">
        <v>43410</v>
      </c>
      <c r="F1262">
        <v>59.0075</v>
      </c>
      <c r="G1262" s="1">
        <v>43472</v>
      </c>
      <c r="H1262">
        <v>50.42</v>
      </c>
      <c r="I1262" s="1">
        <v>43472</v>
      </c>
      <c r="J1262">
        <v>11.66</v>
      </c>
      <c r="K1262" s="1">
        <v>43405</v>
      </c>
      <c r="L1262">
        <v>96.277000000000001</v>
      </c>
    </row>
    <row r="1263" spans="1:12" x14ac:dyDescent="0.25">
      <c r="A1263" s="1">
        <v>43473</v>
      </c>
      <c r="B1263">
        <v>20.47</v>
      </c>
      <c r="C1263" s="1">
        <v>43473</v>
      </c>
      <c r="D1263">
        <v>22.53</v>
      </c>
      <c r="E1263" s="1">
        <v>43411</v>
      </c>
      <c r="F1263">
        <v>53.108600000000003</v>
      </c>
      <c r="G1263" s="1">
        <v>43473</v>
      </c>
      <c r="H1263">
        <v>46.08</v>
      </c>
      <c r="I1263" s="1">
        <v>43473</v>
      </c>
      <c r="J1263">
        <v>11.16</v>
      </c>
      <c r="K1263" s="1">
        <v>43406</v>
      </c>
      <c r="L1263">
        <v>96.542000000000002</v>
      </c>
    </row>
    <row r="1264" spans="1:12" x14ac:dyDescent="0.25">
      <c r="A1264" s="1">
        <v>43474</v>
      </c>
      <c r="B1264">
        <v>19.98</v>
      </c>
      <c r="C1264" s="1">
        <v>43474</v>
      </c>
      <c r="D1264">
        <v>21.65</v>
      </c>
      <c r="E1264" s="1">
        <v>43412</v>
      </c>
      <c r="F1264">
        <v>51.584499999999998</v>
      </c>
      <c r="G1264" s="1">
        <v>43474</v>
      </c>
      <c r="H1264">
        <v>44.36</v>
      </c>
      <c r="I1264" s="1">
        <v>43474</v>
      </c>
      <c r="J1264">
        <v>11.69</v>
      </c>
      <c r="K1264" s="1">
        <v>43409</v>
      </c>
      <c r="L1264">
        <v>96.278999999999996</v>
      </c>
    </row>
    <row r="1265" spans="1:12" x14ac:dyDescent="0.25">
      <c r="A1265" s="1">
        <v>43475</v>
      </c>
      <c r="B1265">
        <v>19.5</v>
      </c>
      <c r="C1265" s="1">
        <v>43475</v>
      </c>
      <c r="D1265">
        <v>21</v>
      </c>
      <c r="E1265" s="1">
        <v>43413</v>
      </c>
      <c r="F1265">
        <v>53.544199999999996</v>
      </c>
      <c r="G1265" s="1">
        <v>43475</v>
      </c>
      <c r="H1265">
        <v>42.99</v>
      </c>
      <c r="I1265" s="1">
        <v>43475</v>
      </c>
      <c r="J1265">
        <v>10.95</v>
      </c>
      <c r="K1265" s="1">
        <v>43410</v>
      </c>
      <c r="L1265">
        <v>96.316999999999993</v>
      </c>
    </row>
    <row r="1266" spans="1:12" x14ac:dyDescent="0.25">
      <c r="A1266" s="1">
        <v>43476</v>
      </c>
      <c r="B1266">
        <v>18.190000000000001</v>
      </c>
      <c r="C1266" s="1">
        <v>43476</v>
      </c>
      <c r="D1266">
        <v>20.239999999999998</v>
      </c>
      <c r="E1266" s="1">
        <v>43417</v>
      </c>
      <c r="F1266">
        <v>52.234000000000002</v>
      </c>
      <c r="G1266" s="1">
        <v>43476</v>
      </c>
      <c r="H1266">
        <v>40.99</v>
      </c>
      <c r="I1266" s="1">
        <v>43476</v>
      </c>
      <c r="J1266">
        <v>11</v>
      </c>
      <c r="K1266" s="1">
        <v>43411</v>
      </c>
      <c r="L1266">
        <v>95.997</v>
      </c>
    </row>
    <row r="1267" spans="1:12" x14ac:dyDescent="0.25">
      <c r="A1267" s="1">
        <v>43479</v>
      </c>
      <c r="B1267">
        <v>19.07</v>
      </c>
      <c r="C1267" s="1">
        <v>43479</v>
      </c>
      <c r="D1267">
        <v>20.29</v>
      </c>
      <c r="E1267" s="1">
        <v>43418</v>
      </c>
      <c r="F1267">
        <v>53.899799999999999</v>
      </c>
      <c r="G1267" s="1">
        <v>43479</v>
      </c>
      <c r="H1267">
        <v>40.81</v>
      </c>
      <c r="I1267" s="1">
        <v>43479</v>
      </c>
      <c r="J1267">
        <v>11.06</v>
      </c>
      <c r="K1267" s="1">
        <v>43412</v>
      </c>
      <c r="L1267">
        <v>96.724000000000004</v>
      </c>
    </row>
    <row r="1268" spans="1:12" x14ac:dyDescent="0.25">
      <c r="A1268" s="1">
        <v>43480</v>
      </c>
      <c r="B1268">
        <v>18.600000000000001</v>
      </c>
      <c r="C1268" s="1">
        <v>43480</v>
      </c>
      <c r="D1268">
        <v>19.98</v>
      </c>
      <c r="E1268" s="1">
        <v>43419</v>
      </c>
      <c r="F1268">
        <v>56.2239</v>
      </c>
      <c r="G1268" s="1">
        <v>43480</v>
      </c>
      <c r="H1268">
        <v>39.75</v>
      </c>
      <c r="I1268" s="1">
        <v>43480</v>
      </c>
      <c r="J1268">
        <v>11.06</v>
      </c>
      <c r="K1268" s="1">
        <v>43413</v>
      </c>
      <c r="L1268">
        <v>96.905000000000001</v>
      </c>
    </row>
    <row r="1269" spans="1:12" x14ac:dyDescent="0.25">
      <c r="A1269" s="1">
        <v>43481</v>
      </c>
      <c r="B1269">
        <v>19.04</v>
      </c>
      <c r="C1269" s="1">
        <v>43481</v>
      </c>
      <c r="D1269">
        <v>19.579999999999998</v>
      </c>
      <c r="E1269" s="1">
        <v>43420</v>
      </c>
      <c r="F1269">
        <v>60.4328</v>
      </c>
      <c r="G1269" s="1">
        <v>43481</v>
      </c>
      <c r="H1269">
        <v>38.770000000000003</v>
      </c>
      <c r="I1269" s="1">
        <v>43481</v>
      </c>
      <c r="J1269">
        <v>11.08</v>
      </c>
      <c r="K1269" s="1">
        <v>43416</v>
      </c>
      <c r="L1269">
        <v>97.542000000000002</v>
      </c>
    </row>
    <row r="1270" spans="1:12" x14ac:dyDescent="0.25">
      <c r="A1270" s="1">
        <v>43482</v>
      </c>
      <c r="B1270">
        <v>18.059999999999999</v>
      </c>
      <c r="C1270" s="1">
        <v>43482</v>
      </c>
      <c r="D1270">
        <v>19.88</v>
      </c>
      <c r="E1270" s="1">
        <v>43423</v>
      </c>
      <c r="F1270">
        <v>59.4651</v>
      </c>
      <c r="G1270" s="1">
        <v>43482</v>
      </c>
      <c r="H1270">
        <v>37.03</v>
      </c>
      <c r="I1270" s="1">
        <v>43482</v>
      </c>
      <c r="J1270">
        <v>10.9</v>
      </c>
      <c r="K1270" s="1">
        <v>43417</v>
      </c>
      <c r="L1270">
        <v>97.302999999999997</v>
      </c>
    </row>
    <row r="1271" spans="1:12" x14ac:dyDescent="0.25">
      <c r="A1271" s="1">
        <v>43483</v>
      </c>
      <c r="B1271">
        <v>17.8</v>
      </c>
      <c r="C1271" s="1">
        <v>43483</v>
      </c>
      <c r="D1271">
        <v>18.52</v>
      </c>
      <c r="E1271" s="1">
        <v>43424</v>
      </c>
      <c r="F1271">
        <v>59.487400000000001</v>
      </c>
      <c r="G1271" s="1">
        <v>43483</v>
      </c>
      <c r="H1271">
        <v>35.630000000000003</v>
      </c>
      <c r="I1271" s="1">
        <v>43483</v>
      </c>
      <c r="J1271">
        <v>11.12</v>
      </c>
      <c r="K1271" s="1">
        <v>43418</v>
      </c>
      <c r="L1271">
        <v>96.802999999999997</v>
      </c>
    </row>
    <row r="1272" spans="1:12" x14ac:dyDescent="0.25">
      <c r="A1272" s="1">
        <v>43487</v>
      </c>
      <c r="B1272">
        <v>20.8</v>
      </c>
      <c r="C1272" s="1">
        <v>43487</v>
      </c>
      <c r="D1272">
        <v>21.39</v>
      </c>
      <c r="E1272" s="1">
        <v>43425</v>
      </c>
      <c r="F1272">
        <v>57.645200000000003</v>
      </c>
      <c r="G1272" s="1">
        <v>43487</v>
      </c>
      <c r="H1272">
        <v>38.26</v>
      </c>
      <c r="I1272" s="1">
        <v>43487</v>
      </c>
      <c r="J1272">
        <v>10.77</v>
      </c>
      <c r="K1272" s="1">
        <v>43419</v>
      </c>
      <c r="L1272">
        <v>96.927000000000007</v>
      </c>
    </row>
    <row r="1273" spans="1:12" x14ac:dyDescent="0.25">
      <c r="A1273" s="1">
        <v>43488</v>
      </c>
      <c r="B1273">
        <v>19.52</v>
      </c>
      <c r="C1273" s="1">
        <v>43488</v>
      </c>
      <c r="D1273">
        <v>20.87</v>
      </c>
      <c r="E1273" s="1">
        <v>43427</v>
      </c>
      <c r="F1273">
        <v>57.3123</v>
      </c>
      <c r="G1273" s="1">
        <v>43488</v>
      </c>
      <c r="H1273">
        <v>37.69</v>
      </c>
      <c r="I1273" s="1">
        <v>43488</v>
      </c>
      <c r="J1273">
        <v>10.61</v>
      </c>
      <c r="K1273" s="1">
        <v>43420</v>
      </c>
      <c r="L1273">
        <v>96.465000000000003</v>
      </c>
    </row>
    <row r="1274" spans="1:12" x14ac:dyDescent="0.25">
      <c r="A1274" s="1">
        <v>43489</v>
      </c>
      <c r="B1274">
        <v>18.89</v>
      </c>
      <c r="C1274" s="1">
        <v>43489</v>
      </c>
      <c r="D1274">
        <v>19.77</v>
      </c>
      <c r="E1274" s="1">
        <v>43430</v>
      </c>
      <c r="F1274">
        <v>51.534500000000001</v>
      </c>
      <c r="G1274" s="1">
        <v>43489</v>
      </c>
      <c r="H1274">
        <v>36.75</v>
      </c>
      <c r="I1274" s="1">
        <v>43489</v>
      </c>
      <c r="J1274">
        <v>10.37</v>
      </c>
      <c r="K1274" s="1">
        <v>43423</v>
      </c>
      <c r="L1274">
        <v>96.192999999999998</v>
      </c>
    </row>
    <row r="1275" spans="1:12" x14ac:dyDescent="0.25">
      <c r="A1275" s="1">
        <v>43490</v>
      </c>
      <c r="B1275">
        <v>17.420000000000002</v>
      </c>
      <c r="C1275" s="1">
        <v>43490</v>
      </c>
      <c r="D1275">
        <v>19.64</v>
      </c>
      <c r="E1275" s="1">
        <v>43431</v>
      </c>
      <c r="F1275">
        <v>51.236199999999997</v>
      </c>
      <c r="G1275" s="1">
        <v>43490</v>
      </c>
      <c r="H1275">
        <v>35.21</v>
      </c>
      <c r="I1275" s="1">
        <v>43490</v>
      </c>
      <c r="J1275">
        <v>11.12</v>
      </c>
      <c r="K1275" s="1">
        <v>43424</v>
      </c>
      <c r="L1275">
        <v>96.835999999999999</v>
      </c>
    </row>
    <row r="1276" spans="1:12" x14ac:dyDescent="0.25">
      <c r="A1276" s="1">
        <v>43493</v>
      </c>
      <c r="B1276">
        <v>18.87</v>
      </c>
      <c r="C1276" s="1">
        <v>43493</v>
      </c>
      <c r="D1276">
        <v>20.68</v>
      </c>
      <c r="E1276" s="1">
        <v>43432</v>
      </c>
      <c r="F1276">
        <v>50.762099999999997</v>
      </c>
      <c r="G1276" s="1">
        <v>43493</v>
      </c>
      <c r="H1276">
        <v>37.61</v>
      </c>
      <c r="I1276" s="1">
        <v>43493</v>
      </c>
      <c r="J1276">
        <v>11.04</v>
      </c>
      <c r="K1276" s="1">
        <v>43425</v>
      </c>
      <c r="L1276">
        <v>96.712000000000003</v>
      </c>
    </row>
    <row r="1277" spans="1:12" x14ac:dyDescent="0.25">
      <c r="A1277" s="1">
        <v>43494</v>
      </c>
      <c r="B1277">
        <v>19.13</v>
      </c>
      <c r="C1277" s="1">
        <v>43494</v>
      </c>
      <c r="D1277">
        <v>20.63</v>
      </c>
      <c r="E1277" s="1">
        <v>43433</v>
      </c>
      <c r="F1277">
        <v>50.915900000000001</v>
      </c>
      <c r="G1277" s="1">
        <v>43494</v>
      </c>
      <c r="H1277">
        <v>37.130000000000003</v>
      </c>
      <c r="I1277" s="1">
        <v>43494</v>
      </c>
      <c r="J1277">
        <v>11.25</v>
      </c>
      <c r="K1277" s="1">
        <v>43426</v>
      </c>
      <c r="L1277">
        <v>96.712000000000003</v>
      </c>
    </row>
    <row r="1278" spans="1:12" x14ac:dyDescent="0.25">
      <c r="A1278" s="1">
        <v>43495</v>
      </c>
      <c r="B1278">
        <v>17.66</v>
      </c>
      <c r="C1278" s="1">
        <v>43495</v>
      </c>
      <c r="D1278">
        <v>20.74</v>
      </c>
      <c r="E1278" s="1">
        <v>43434</v>
      </c>
      <c r="F1278">
        <v>52.432200000000002</v>
      </c>
      <c r="G1278" s="1">
        <v>43495</v>
      </c>
      <c r="H1278">
        <v>35.590000000000003</v>
      </c>
      <c r="I1278" s="1">
        <v>43495</v>
      </c>
      <c r="J1278">
        <v>11.14</v>
      </c>
      <c r="K1278" s="1">
        <v>43427</v>
      </c>
      <c r="L1278">
        <v>96.915999999999997</v>
      </c>
    </row>
    <row r="1279" spans="1:12" x14ac:dyDescent="0.25">
      <c r="A1279" s="1">
        <v>43496</v>
      </c>
      <c r="B1279">
        <v>16.57</v>
      </c>
      <c r="C1279" s="1">
        <v>43496</v>
      </c>
      <c r="D1279">
        <v>20.149999999999999</v>
      </c>
      <c r="E1279" s="1">
        <v>43437</v>
      </c>
      <c r="F1279">
        <v>50.310400000000001</v>
      </c>
      <c r="G1279" s="1">
        <v>43496</v>
      </c>
      <c r="H1279">
        <v>34.97</v>
      </c>
      <c r="I1279" s="1">
        <v>43496</v>
      </c>
      <c r="J1279">
        <v>10.74</v>
      </c>
      <c r="K1279" s="1">
        <v>43430</v>
      </c>
      <c r="L1279">
        <v>97.073999999999998</v>
      </c>
    </row>
    <row r="1280" spans="1:12" x14ac:dyDescent="0.25">
      <c r="A1280" s="1">
        <v>43497</v>
      </c>
      <c r="B1280">
        <v>16.14</v>
      </c>
      <c r="C1280" s="1">
        <v>43497</v>
      </c>
      <c r="D1280">
        <v>19.66</v>
      </c>
      <c r="E1280" s="1">
        <v>43438</v>
      </c>
      <c r="F1280">
        <v>53.863900000000001</v>
      </c>
      <c r="G1280" s="1">
        <v>43497</v>
      </c>
      <c r="H1280">
        <v>33.4</v>
      </c>
      <c r="I1280" s="1">
        <v>43497</v>
      </c>
      <c r="J1280">
        <v>10.119999999999999</v>
      </c>
      <c r="K1280" s="1">
        <v>43431</v>
      </c>
      <c r="L1280">
        <v>97.369</v>
      </c>
    </row>
    <row r="1281" spans="1:12" x14ac:dyDescent="0.25">
      <c r="A1281" s="1">
        <v>43500</v>
      </c>
      <c r="B1281">
        <v>15.73</v>
      </c>
      <c r="C1281" s="1">
        <v>43500</v>
      </c>
      <c r="D1281">
        <v>19.11</v>
      </c>
      <c r="E1281" s="1">
        <v>43440</v>
      </c>
      <c r="F1281">
        <v>60.944000000000003</v>
      </c>
      <c r="G1281" s="1">
        <v>43500</v>
      </c>
      <c r="H1281">
        <v>33.700000000000003</v>
      </c>
      <c r="I1281" s="1">
        <v>43500</v>
      </c>
      <c r="J1281">
        <v>10.11</v>
      </c>
      <c r="K1281" s="1">
        <v>43432</v>
      </c>
      <c r="L1281">
        <v>96.786000000000001</v>
      </c>
    </row>
    <row r="1282" spans="1:12" x14ac:dyDescent="0.25">
      <c r="A1282" s="1">
        <v>43501</v>
      </c>
      <c r="B1282">
        <v>15.57</v>
      </c>
      <c r="C1282" s="1">
        <v>43501</v>
      </c>
      <c r="D1282">
        <v>18.63</v>
      </c>
      <c r="E1282" s="1">
        <v>43441</v>
      </c>
      <c r="F1282">
        <v>60.7438</v>
      </c>
      <c r="G1282" s="1">
        <v>43501</v>
      </c>
      <c r="H1282">
        <v>34.57</v>
      </c>
      <c r="I1282" s="1">
        <v>43501</v>
      </c>
      <c r="J1282">
        <v>10.14</v>
      </c>
      <c r="K1282" s="1">
        <v>43433</v>
      </c>
      <c r="L1282">
        <v>96.778000000000006</v>
      </c>
    </row>
    <row r="1283" spans="1:12" x14ac:dyDescent="0.25">
      <c r="A1283" s="1">
        <v>43502</v>
      </c>
      <c r="B1283">
        <v>15.38</v>
      </c>
      <c r="C1283" s="1">
        <v>43502</v>
      </c>
      <c r="D1283">
        <v>18.78</v>
      </c>
      <c r="E1283" s="1">
        <v>43444</v>
      </c>
      <c r="F1283">
        <v>60.258699999999997</v>
      </c>
      <c r="G1283" s="1">
        <v>43502</v>
      </c>
      <c r="H1283">
        <v>33.020000000000003</v>
      </c>
      <c r="I1283" s="1">
        <v>43502</v>
      </c>
      <c r="J1283">
        <v>9.76</v>
      </c>
      <c r="K1283" s="1">
        <v>43434</v>
      </c>
      <c r="L1283">
        <v>97.272000000000006</v>
      </c>
    </row>
    <row r="1284" spans="1:12" x14ac:dyDescent="0.25">
      <c r="A1284" s="1">
        <v>43503</v>
      </c>
      <c r="B1284">
        <v>16.37</v>
      </c>
      <c r="C1284" s="1">
        <v>43503</v>
      </c>
      <c r="D1284">
        <v>19.37</v>
      </c>
      <c r="E1284" s="1">
        <v>43445</v>
      </c>
      <c r="F1284">
        <v>58.731900000000003</v>
      </c>
      <c r="G1284" s="1">
        <v>43503</v>
      </c>
      <c r="H1284">
        <v>34.340000000000003</v>
      </c>
      <c r="I1284" s="1">
        <v>43503</v>
      </c>
      <c r="J1284">
        <v>9.7200000000000006</v>
      </c>
      <c r="K1284" s="1">
        <v>43437</v>
      </c>
      <c r="L1284">
        <v>97.04</v>
      </c>
    </row>
    <row r="1285" spans="1:12" x14ac:dyDescent="0.25">
      <c r="A1285" s="1">
        <v>43504</v>
      </c>
      <c r="B1285">
        <v>15.72</v>
      </c>
      <c r="C1285" s="1">
        <v>43504</v>
      </c>
      <c r="D1285">
        <v>18.920000000000002</v>
      </c>
      <c r="E1285" s="1">
        <v>43446</v>
      </c>
      <c r="F1285">
        <v>58.227499999999999</v>
      </c>
      <c r="G1285" s="1">
        <v>43504</v>
      </c>
      <c r="H1285">
        <v>32.56</v>
      </c>
      <c r="I1285" s="1">
        <v>43504</v>
      </c>
      <c r="J1285">
        <v>9.89</v>
      </c>
      <c r="K1285" s="1">
        <v>43438</v>
      </c>
      <c r="L1285">
        <v>96.965000000000003</v>
      </c>
    </row>
    <row r="1286" spans="1:12" x14ac:dyDescent="0.25">
      <c r="A1286" s="1">
        <v>43507</v>
      </c>
      <c r="B1286">
        <v>15.97</v>
      </c>
      <c r="C1286" s="1">
        <v>43507</v>
      </c>
      <c r="D1286">
        <v>18.89</v>
      </c>
      <c r="E1286" s="1">
        <v>43447</v>
      </c>
      <c r="F1286">
        <v>55.749200000000002</v>
      </c>
      <c r="G1286" s="1">
        <v>43507</v>
      </c>
      <c r="H1286">
        <v>33.340000000000003</v>
      </c>
      <c r="I1286" s="1">
        <v>43507</v>
      </c>
      <c r="J1286">
        <v>10.18</v>
      </c>
      <c r="K1286" s="1">
        <v>43439</v>
      </c>
      <c r="L1286">
        <v>97.07</v>
      </c>
    </row>
    <row r="1287" spans="1:12" x14ac:dyDescent="0.25">
      <c r="A1287" s="1">
        <v>43508</v>
      </c>
      <c r="B1287">
        <v>15.43</v>
      </c>
      <c r="C1287" s="1">
        <v>43508</v>
      </c>
      <c r="D1287">
        <v>17.68</v>
      </c>
      <c r="E1287" s="1">
        <v>43448</v>
      </c>
      <c r="F1287">
        <v>56.127499999999998</v>
      </c>
      <c r="G1287" s="1">
        <v>43508</v>
      </c>
      <c r="H1287">
        <v>32.69</v>
      </c>
      <c r="I1287" s="1">
        <v>43508</v>
      </c>
      <c r="J1287">
        <v>10.029999999999999</v>
      </c>
      <c r="K1287" s="1">
        <v>43440</v>
      </c>
      <c r="L1287">
        <v>96.81</v>
      </c>
    </row>
    <row r="1288" spans="1:12" x14ac:dyDescent="0.25">
      <c r="A1288" s="1">
        <v>43509</v>
      </c>
      <c r="B1288">
        <v>15.65</v>
      </c>
      <c r="C1288" s="1">
        <v>43509</v>
      </c>
      <c r="D1288">
        <v>17.77</v>
      </c>
      <c r="E1288" s="1">
        <v>43451</v>
      </c>
      <c r="F1288">
        <v>55.407499999999999</v>
      </c>
      <c r="G1288" s="1">
        <v>43509</v>
      </c>
      <c r="H1288">
        <v>32.26</v>
      </c>
      <c r="I1288" s="1">
        <v>43509</v>
      </c>
      <c r="J1288">
        <v>9.5500000000000007</v>
      </c>
      <c r="K1288" s="1">
        <v>43441</v>
      </c>
      <c r="L1288">
        <v>96.513999999999996</v>
      </c>
    </row>
    <row r="1289" spans="1:12" x14ac:dyDescent="0.25">
      <c r="A1289" s="1">
        <v>43510</v>
      </c>
      <c r="B1289">
        <v>16.22</v>
      </c>
      <c r="C1289" s="1">
        <v>43510</v>
      </c>
      <c r="D1289">
        <v>17.93</v>
      </c>
      <c r="E1289" s="1">
        <v>43452</v>
      </c>
      <c r="F1289">
        <v>59.3962</v>
      </c>
      <c r="G1289" s="1">
        <v>43510</v>
      </c>
      <c r="H1289">
        <v>32.1</v>
      </c>
      <c r="I1289" s="1">
        <v>43510</v>
      </c>
      <c r="J1289">
        <v>9.92</v>
      </c>
      <c r="K1289" s="1">
        <v>43444</v>
      </c>
      <c r="L1289">
        <v>97.218999999999994</v>
      </c>
    </row>
    <row r="1290" spans="1:12" x14ac:dyDescent="0.25">
      <c r="A1290" s="1">
        <v>43511</v>
      </c>
      <c r="B1290">
        <v>14.91</v>
      </c>
      <c r="C1290" s="1">
        <v>43511</v>
      </c>
      <c r="D1290">
        <v>17.71</v>
      </c>
      <c r="E1290" s="1">
        <v>43453</v>
      </c>
      <c r="F1290">
        <v>59.009</v>
      </c>
      <c r="G1290" s="1">
        <v>43511</v>
      </c>
      <c r="H1290">
        <v>29.46</v>
      </c>
      <c r="I1290" s="1">
        <v>43511</v>
      </c>
      <c r="J1290">
        <v>10.16</v>
      </c>
      <c r="K1290" s="1">
        <v>43445</v>
      </c>
      <c r="L1290">
        <v>97.388000000000005</v>
      </c>
    </row>
    <row r="1291" spans="1:12" x14ac:dyDescent="0.25">
      <c r="A1291" s="1">
        <v>43515</v>
      </c>
      <c r="B1291">
        <v>14.88</v>
      </c>
      <c r="C1291" s="1">
        <v>43515</v>
      </c>
      <c r="D1291">
        <v>17.71</v>
      </c>
      <c r="E1291" s="1">
        <v>43454</v>
      </c>
      <c r="F1291">
        <v>58.762</v>
      </c>
      <c r="G1291" s="1">
        <v>43515</v>
      </c>
      <c r="H1291">
        <v>31</v>
      </c>
      <c r="I1291" s="1">
        <v>43515</v>
      </c>
      <c r="J1291">
        <v>11.39</v>
      </c>
      <c r="K1291" s="1">
        <v>43446</v>
      </c>
      <c r="L1291">
        <v>97.043999999999997</v>
      </c>
    </row>
    <row r="1292" spans="1:12" x14ac:dyDescent="0.25">
      <c r="A1292" s="1">
        <v>43516</v>
      </c>
      <c r="B1292">
        <v>14.02</v>
      </c>
      <c r="C1292" s="1">
        <v>43516</v>
      </c>
      <c r="D1292">
        <v>17.63</v>
      </c>
      <c r="E1292" s="1">
        <v>43455</v>
      </c>
      <c r="F1292">
        <v>61.614800000000002</v>
      </c>
      <c r="G1292" s="1">
        <v>43516</v>
      </c>
      <c r="H1292">
        <v>30.76</v>
      </c>
      <c r="I1292" s="1">
        <v>43516</v>
      </c>
      <c r="J1292">
        <v>10.92</v>
      </c>
      <c r="K1292" s="1">
        <v>43447</v>
      </c>
      <c r="L1292">
        <v>97.063999999999993</v>
      </c>
    </row>
    <row r="1293" spans="1:12" x14ac:dyDescent="0.25">
      <c r="A1293" s="1">
        <v>43517</v>
      </c>
      <c r="B1293">
        <v>14.46</v>
      </c>
      <c r="C1293" s="1">
        <v>43517</v>
      </c>
      <c r="D1293">
        <v>17.21</v>
      </c>
      <c r="E1293" s="1">
        <v>43458</v>
      </c>
      <c r="F1293">
        <v>66.044300000000007</v>
      </c>
      <c r="G1293" s="1">
        <v>43517</v>
      </c>
      <c r="H1293">
        <v>30.16</v>
      </c>
      <c r="I1293" s="1">
        <v>43517</v>
      </c>
      <c r="J1293">
        <v>10.29</v>
      </c>
      <c r="K1293" s="1">
        <v>43448</v>
      </c>
      <c r="L1293">
        <v>97.442999999999998</v>
      </c>
    </row>
    <row r="1294" spans="1:12" x14ac:dyDescent="0.25">
      <c r="A1294" s="1">
        <v>43518</v>
      </c>
      <c r="B1294">
        <v>13.51</v>
      </c>
      <c r="C1294" s="1">
        <v>43518</v>
      </c>
      <c r="D1294">
        <v>16.809999999999999</v>
      </c>
      <c r="E1294" s="1">
        <v>43460</v>
      </c>
      <c r="F1294">
        <v>63.8872</v>
      </c>
      <c r="G1294" s="1">
        <v>43518</v>
      </c>
      <c r="H1294">
        <v>29.85</v>
      </c>
      <c r="I1294" s="1">
        <v>43518</v>
      </c>
      <c r="J1294">
        <v>10.02</v>
      </c>
      <c r="K1294" s="1">
        <v>43451</v>
      </c>
      <c r="L1294">
        <v>97.1</v>
      </c>
    </row>
    <row r="1295" spans="1:12" x14ac:dyDescent="0.25">
      <c r="A1295" s="1">
        <v>43521</v>
      </c>
      <c r="B1295">
        <v>14.85</v>
      </c>
      <c r="C1295" s="1">
        <v>43521</v>
      </c>
      <c r="D1295">
        <v>17.41</v>
      </c>
      <c r="E1295" s="1">
        <v>43461</v>
      </c>
      <c r="F1295">
        <v>68.337100000000007</v>
      </c>
      <c r="G1295" s="1">
        <v>43521</v>
      </c>
      <c r="H1295">
        <v>32.69</v>
      </c>
      <c r="I1295" s="1">
        <v>43521</v>
      </c>
      <c r="J1295">
        <v>9.91</v>
      </c>
      <c r="K1295" s="1">
        <v>43452</v>
      </c>
      <c r="L1295">
        <v>97.103999999999999</v>
      </c>
    </row>
    <row r="1296" spans="1:12" x14ac:dyDescent="0.25">
      <c r="A1296" s="1">
        <v>43522</v>
      </c>
      <c r="B1296">
        <v>15.17</v>
      </c>
      <c r="C1296" s="1">
        <v>43522</v>
      </c>
      <c r="D1296">
        <v>17.57</v>
      </c>
      <c r="E1296" s="1">
        <v>43462</v>
      </c>
      <c r="F1296">
        <v>66.661299999999997</v>
      </c>
      <c r="G1296" s="1">
        <v>43522</v>
      </c>
      <c r="H1296">
        <v>31.57</v>
      </c>
      <c r="I1296" s="1">
        <v>43522</v>
      </c>
      <c r="J1296">
        <v>9.86</v>
      </c>
      <c r="K1296" s="1">
        <v>43453</v>
      </c>
      <c r="L1296">
        <v>97.034999999999997</v>
      </c>
    </row>
    <row r="1297" spans="1:12" x14ac:dyDescent="0.25">
      <c r="A1297" s="1">
        <v>43523</v>
      </c>
      <c r="B1297">
        <v>14.7</v>
      </c>
      <c r="C1297" s="1">
        <v>43523</v>
      </c>
      <c r="D1297">
        <v>18.34</v>
      </c>
      <c r="E1297" s="1">
        <v>43465</v>
      </c>
      <c r="F1297">
        <v>66.582800000000006</v>
      </c>
      <c r="G1297" s="1">
        <v>43523</v>
      </c>
      <c r="H1297">
        <v>31.01</v>
      </c>
      <c r="I1297" s="1">
        <v>43523</v>
      </c>
      <c r="J1297">
        <v>9.7200000000000006</v>
      </c>
      <c r="K1297" s="1">
        <v>43454</v>
      </c>
      <c r="L1297">
        <v>96.275999999999996</v>
      </c>
    </row>
    <row r="1298" spans="1:12" x14ac:dyDescent="0.25">
      <c r="A1298" s="1">
        <v>43524</v>
      </c>
      <c r="B1298">
        <v>14.78</v>
      </c>
      <c r="C1298" s="1">
        <v>43524</v>
      </c>
      <c r="D1298">
        <v>18.66</v>
      </c>
      <c r="E1298" s="1">
        <v>43467</v>
      </c>
      <c r="F1298">
        <v>62.804499999999997</v>
      </c>
      <c r="G1298" s="1">
        <v>43524</v>
      </c>
      <c r="H1298">
        <v>30.27</v>
      </c>
      <c r="I1298" s="1">
        <v>43524</v>
      </c>
      <c r="J1298">
        <v>9.52</v>
      </c>
      <c r="K1298" s="1">
        <v>43455</v>
      </c>
      <c r="L1298">
        <v>96.956000000000003</v>
      </c>
    </row>
    <row r="1299" spans="1:12" x14ac:dyDescent="0.25">
      <c r="A1299" s="1">
        <v>43525</v>
      </c>
      <c r="B1299">
        <v>13.57</v>
      </c>
      <c r="C1299" s="1">
        <v>43525</v>
      </c>
      <c r="D1299">
        <v>18.11</v>
      </c>
      <c r="E1299" s="1">
        <v>43468</v>
      </c>
      <c r="F1299">
        <v>65.785200000000003</v>
      </c>
      <c r="G1299" s="1">
        <v>43525</v>
      </c>
      <c r="H1299">
        <v>30.31</v>
      </c>
      <c r="I1299" s="1">
        <v>43525</v>
      </c>
      <c r="J1299">
        <v>10.199999999999999</v>
      </c>
      <c r="K1299" s="1">
        <v>43458</v>
      </c>
      <c r="L1299">
        <v>96.552999999999997</v>
      </c>
    </row>
    <row r="1300" spans="1:12" x14ac:dyDescent="0.25">
      <c r="A1300" s="1">
        <v>43528</v>
      </c>
      <c r="B1300">
        <v>14.63</v>
      </c>
      <c r="C1300" s="1">
        <v>43528</v>
      </c>
      <c r="D1300">
        <v>18.46</v>
      </c>
      <c r="E1300" s="1">
        <v>43469</v>
      </c>
      <c r="F1300">
        <v>65.820700000000002</v>
      </c>
      <c r="G1300" s="1">
        <v>43528</v>
      </c>
      <c r="H1300">
        <v>30.2</v>
      </c>
      <c r="I1300" s="1">
        <v>43528</v>
      </c>
      <c r="J1300">
        <v>10.26</v>
      </c>
      <c r="K1300" s="1">
        <v>43459</v>
      </c>
      <c r="L1300">
        <v>96.581000000000003</v>
      </c>
    </row>
    <row r="1301" spans="1:12" x14ac:dyDescent="0.25">
      <c r="A1301" s="1">
        <v>43529</v>
      </c>
      <c r="B1301">
        <v>14.74</v>
      </c>
      <c r="C1301" s="1">
        <v>43529</v>
      </c>
      <c r="D1301">
        <v>17.75</v>
      </c>
      <c r="E1301" s="1">
        <v>43472</v>
      </c>
      <c r="F1301">
        <v>60.880200000000002</v>
      </c>
      <c r="G1301" s="1">
        <v>43529</v>
      </c>
      <c r="H1301">
        <v>29.79</v>
      </c>
      <c r="I1301" s="1">
        <v>43529</v>
      </c>
      <c r="J1301">
        <v>10.19</v>
      </c>
      <c r="K1301" s="1">
        <v>43460</v>
      </c>
      <c r="L1301">
        <v>97.05</v>
      </c>
    </row>
    <row r="1302" spans="1:12" x14ac:dyDescent="0.25">
      <c r="A1302" s="1">
        <v>43530</v>
      </c>
      <c r="B1302">
        <v>15.74</v>
      </c>
      <c r="C1302" s="1">
        <v>43530</v>
      </c>
      <c r="D1302">
        <v>18.11</v>
      </c>
      <c r="E1302" s="1">
        <v>43473</v>
      </c>
      <c r="F1302">
        <v>59.045000000000002</v>
      </c>
      <c r="G1302" s="1">
        <v>43530</v>
      </c>
      <c r="H1302">
        <v>29.69</v>
      </c>
      <c r="I1302" s="1">
        <v>43530</v>
      </c>
      <c r="J1302">
        <v>10.130000000000001</v>
      </c>
      <c r="K1302" s="1">
        <v>43461</v>
      </c>
      <c r="L1302">
        <v>96.480999999999995</v>
      </c>
    </row>
    <row r="1303" spans="1:12" x14ac:dyDescent="0.25">
      <c r="A1303" s="1">
        <v>43531</v>
      </c>
      <c r="B1303">
        <v>16.59</v>
      </c>
      <c r="C1303" s="1">
        <v>43531</v>
      </c>
      <c r="D1303">
        <v>19.559999999999999</v>
      </c>
      <c r="E1303" s="1">
        <v>43474</v>
      </c>
      <c r="F1303">
        <v>57.017699999999998</v>
      </c>
      <c r="G1303" s="1">
        <v>43531</v>
      </c>
      <c r="H1303">
        <v>30.43</v>
      </c>
      <c r="I1303" s="1">
        <v>43531</v>
      </c>
      <c r="J1303">
        <v>10.36</v>
      </c>
      <c r="K1303" s="1">
        <v>43462</v>
      </c>
      <c r="L1303">
        <v>96.402000000000001</v>
      </c>
    </row>
    <row r="1304" spans="1:12" x14ac:dyDescent="0.25">
      <c r="A1304" s="1">
        <v>43532</v>
      </c>
      <c r="B1304">
        <v>16.05</v>
      </c>
      <c r="C1304" s="1">
        <v>43532</v>
      </c>
      <c r="D1304">
        <v>19.32</v>
      </c>
      <c r="E1304" s="1">
        <v>43475</v>
      </c>
      <c r="F1304">
        <v>56.649299999999997</v>
      </c>
      <c r="G1304" s="1">
        <v>43532</v>
      </c>
      <c r="H1304">
        <v>29.77</v>
      </c>
      <c r="I1304" s="1">
        <v>43532</v>
      </c>
      <c r="J1304">
        <v>10.51</v>
      </c>
      <c r="K1304" s="1">
        <v>43465</v>
      </c>
      <c r="L1304">
        <v>96.173000000000002</v>
      </c>
    </row>
    <row r="1305" spans="1:12" x14ac:dyDescent="0.25">
      <c r="A1305" s="1">
        <v>43535</v>
      </c>
      <c r="B1305">
        <v>14.33</v>
      </c>
      <c r="C1305" s="1">
        <v>43535</v>
      </c>
      <c r="D1305">
        <v>17.96</v>
      </c>
      <c r="E1305" s="1">
        <v>43476</v>
      </c>
      <c r="F1305">
        <v>55.943399999999997</v>
      </c>
      <c r="G1305" s="1">
        <v>43535</v>
      </c>
      <c r="H1305">
        <v>29.18</v>
      </c>
      <c r="I1305" s="1">
        <v>43535</v>
      </c>
      <c r="J1305">
        <v>10.18</v>
      </c>
      <c r="K1305" s="1">
        <v>43466</v>
      </c>
      <c r="L1305">
        <v>96.084999999999994</v>
      </c>
    </row>
    <row r="1306" spans="1:12" x14ac:dyDescent="0.25">
      <c r="A1306" s="1">
        <v>43536</v>
      </c>
      <c r="B1306">
        <v>13.77</v>
      </c>
      <c r="C1306" s="1">
        <v>43536</v>
      </c>
      <c r="D1306">
        <v>17.600000000000001</v>
      </c>
      <c r="E1306" s="1">
        <v>43479</v>
      </c>
      <c r="F1306">
        <v>55.3414</v>
      </c>
      <c r="G1306" s="1">
        <v>43536</v>
      </c>
      <c r="H1306">
        <v>28.56</v>
      </c>
      <c r="I1306" s="1">
        <v>43536</v>
      </c>
      <c r="J1306">
        <v>10.08</v>
      </c>
      <c r="K1306" s="1">
        <v>43467</v>
      </c>
      <c r="L1306">
        <v>96.819000000000003</v>
      </c>
    </row>
    <row r="1307" spans="1:12" x14ac:dyDescent="0.25">
      <c r="A1307" s="1">
        <v>43537</v>
      </c>
      <c r="B1307">
        <v>13.41</v>
      </c>
      <c r="C1307" s="1">
        <v>43537</v>
      </c>
      <c r="D1307">
        <v>17.47</v>
      </c>
      <c r="E1307" s="1">
        <v>43480</v>
      </c>
      <c r="F1307">
        <v>53.011499999999998</v>
      </c>
      <c r="G1307" s="1">
        <v>43537</v>
      </c>
      <c r="H1307">
        <v>28.13</v>
      </c>
      <c r="I1307" s="1">
        <v>43537</v>
      </c>
      <c r="J1307">
        <v>10.14</v>
      </c>
      <c r="K1307" s="1">
        <v>43468</v>
      </c>
      <c r="L1307">
        <v>96.305000000000007</v>
      </c>
    </row>
    <row r="1308" spans="1:12" x14ac:dyDescent="0.25">
      <c r="A1308" s="1">
        <v>43538</v>
      </c>
      <c r="B1308">
        <v>13.5</v>
      </c>
      <c r="C1308" s="1">
        <v>43538</v>
      </c>
      <c r="D1308">
        <v>17.100000000000001</v>
      </c>
      <c r="E1308" s="1">
        <v>43481</v>
      </c>
      <c r="F1308">
        <v>51.949300000000001</v>
      </c>
      <c r="G1308" s="1">
        <v>43538</v>
      </c>
      <c r="H1308">
        <v>27.22</v>
      </c>
      <c r="I1308" s="1">
        <v>43538</v>
      </c>
      <c r="J1308">
        <v>10.08</v>
      </c>
      <c r="K1308" s="1">
        <v>43469</v>
      </c>
      <c r="L1308">
        <v>96.179000000000002</v>
      </c>
    </row>
    <row r="1309" spans="1:12" x14ac:dyDescent="0.25">
      <c r="A1309" s="1">
        <v>43539</v>
      </c>
      <c r="B1309">
        <v>12.88</v>
      </c>
      <c r="C1309" s="1">
        <v>43539</v>
      </c>
      <c r="D1309">
        <v>15.39</v>
      </c>
      <c r="E1309" s="1">
        <v>43482</v>
      </c>
      <c r="F1309">
        <v>53.439100000000003</v>
      </c>
      <c r="G1309" s="1">
        <v>43539</v>
      </c>
      <c r="H1309">
        <v>26.27</v>
      </c>
      <c r="I1309" s="1">
        <v>43539</v>
      </c>
      <c r="J1309">
        <v>10.01</v>
      </c>
      <c r="K1309" s="1">
        <v>43472</v>
      </c>
      <c r="L1309">
        <v>95.665999999999997</v>
      </c>
    </row>
    <row r="1310" spans="1:12" x14ac:dyDescent="0.25">
      <c r="A1310" s="1">
        <v>43542</v>
      </c>
      <c r="B1310">
        <v>13.1</v>
      </c>
      <c r="C1310" s="1">
        <v>43542</v>
      </c>
      <c r="D1310">
        <v>16.2</v>
      </c>
      <c r="E1310" s="1">
        <v>43483</v>
      </c>
      <c r="F1310">
        <v>53.781799999999997</v>
      </c>
      <c r="G1310" s="1">
        <v>43542</v>
      </c>
      <c r="H1310">
        <v>26.48</v>
      </c>
      <c r="I1310" s="1">
        <v>43542</v>
      </c>
      <c r="J1310">
        <v>9.7899999999999991</v>
      </c>
      <c r="K1310" s="1">
        <v>43473</v>
      </c>
      <c r="L1310">
        <v>95.903000000000006</v>
      </c>
    </row>
    <row r="1311" spans="1:12" x14ac:dyDescent="0.25">
      <c r="A1311" s="1">
        <v>43543</v>
      </c>
      <c r="B1311">
        <v>13.56</v>
      </c>
      <c r="C1311" s="1">
        <v>43543</v>
      </c>
      <c r="D1311">
        <v>16.54</v>
      </c>
      <c r="E1311" s="1">
        <v>43487</v>
      </c>
      <c r="F1311">
        <v>54.640500000000003</v>
      </c>
      <c r="G1311" s="1">
        <v>43543</v>
      </c>
      <c r="H1311">
        <v>28.44</v>
      </c>
      <c r="I1311" s="1">
        <v>43543</v>
      </c>
      <c r="J1311">
        <v>9.82</v>
      </c>
      <c r="K1311" s="1">
        <v>43474</v>
      </c>
      <c r="L1311">
        <v>95.218999999999994</v>
      </c>
    </row>
    <row r="1312" spans="1:12" x14ac:dyDescent="0.25">
      <c r="A1312" s="1">
        <v>43544</v>
      </c>
      <c r="B1312">
        <v>13.91</v>
      </c>
      <c r="C1312" s="1">
        <v>43544</v>
      </c>
      <c r="D1312">
        <v>16.66</v>
      </c>
      <c r="E1312" s="1">
        <v>43488</v>
      </c>
      <c r="F1312">
        <v>54.194200000000002</v>
      </c>
      <c r="G1312" s="1">
        <v>43544</v>
      </c>
      <c r="H1312">
        <v>27.21</v>
      </c>
      <c r="I1312" s="1">
        <v>43544</v>
      </c>
      <c r="J1312">
        <v>10.15</v>
      </c>
      <c r="K1312" s="1">
        <v>43475</v>
      </c>
      <c r="L1312">
        <v>95.539000000000001</v>
      </c>
    </row>
    <row r="1313" spans="1:12" x14ac:dyDescent="0.25">
      <c r="A1313" s="1">
        <v>43545</v>
      </c>
      <c r="B1313">
        <v>13.63</v>
      </c>
      <c r="C1313" s="1">
        <v>43545</v>
      </c>
      <c r="D1313">
        <v>16.2</v>
      </c>
      <c r="E1313" s="1">
        <v>43489</v>
      </c>
      <c r="F1313">
        <v>54.178899999999999</v>
      </c>
      <c r="G1313" s="1">
        <v>43545</v>
      </c>
      <c r="H1313">
        <v>27.14</v>
      </c>
      <c r="I1313" s="1">
        <v>43545</v>
      </c>
      <c r="J1313">
        <v>10.199999999999999</v>
      </c>
      <c r="K1313" s="1">
        <v>43476</v>
      </c>
      <c r="L1313">
        <v>95.67</v>
      </c>
    </row>
    <row r="1314" spans="1:12" x14ac:dyDescent="0.25">
      <c r="A1314" s="1">
        <v>43546</v>
      </c>
      <c r="B1314">
        <v>16.48</v>
      </c>
      <c r="C1314" s="1">
        <v>43546</v>
      </c>
      <c r="D1314">
        <v>19.170000000000002</v>
      </c>
      <c r="E1314" s="1">
        <v>43490</v>
      </c>
      <c r="F1314">
        <v>52.496000000000002</v>
      </c>
      <c r="G1314" s="1">
        <v>43546</v>
      </c>
      <c r="H1314">
        <v>27.78</v>
      </c>
      <c r="I1314" s="1">
        <v>43546</v>
      </c>
      <c r="J1314">
        <v>10.31</v>
      </c>
      <c r="K1314" s="1">
        <v>43479</v>
      </c>
      <c r="L1314">
        <v>95.61</v>
      </c>
    </row>
    <row r="1315" spans="1:12" x14ac:dyDescent="0.25">
      <c r="A1315" s="1">
        <v>43549</v>
      </c>
      <c r="B1315">
        <v>16.329999999999998</v>
      </c>
      <c r="C1315" s="1">
        <v>43549</v>
      </c>
      <c r="D1315">
        <v>19.41</v>
      </c>
      <c r="E1315" s="1">
        <v>43493</v>
      </c>
      <c r="F1315">
        <v>50.9512</v>
      </c>
      <c r="G1315" s="1">
        <v>43549</v>
      </c>
      <c r="H1315">
        <v>29.32</v>
      </c>
      <c r="I1315" s="1">
        <v>43549</v>
      </c>
      <c r="J1315">
        <v>10.77</v>
      </c>
      <c r="K1315" s="1">
        <v>43480</v>
      </c>
      <c r="L1315">
        <v>96.039000000000001</v>
      </c>
    </row>
    <row r="1316" spans="1:12" x14ac:dyDescent="0.25">
      <c r="A1316" s="1">
        <v>43550</v>
      </c>
      <c r="B1316">
        <v>14.68</v>
      </c>
      <c r="C1316" s="1">
        <v>43550</v>
      </c>
      <c r="D1316">
        <v>18.29</v>
      </c>
      <c r="E1316" s="1">
        <v>43494</v>
      </c>
      <c r="F1316">
        <v>49.802100000000003</v>
      </c>
      <c r="G1316" s="1">
        <v>43550</v>
      </c>
      <c r="H1316">
        <v>27.92</v>
      </c>
      <c r="I1316" s="1">
        <v>43550</v>
      </c>
      <c r="J1316">
        <v>10.18</v>
      </c>
      <c r="K1316" s="1">
        <v>43481</v>
      </c>
      <c r="L1316">
        <v>96.058999999999997</v>
      </c>
    </row>
    <row r="1317" spans="1:12" x14ac:dyDescent="0.25">
      <c r="A1317" s="1">
        <v>43551</v>
      </c>
      <c r="B1317">
        <v>15.15</v>
      </c>
      <c r="C1317" s="1">
        <v>43551</v>
      </c>
      <c r="D1317">
        <v>19.36</v>
      </c>
      <c r="E1317" s="1">
        <v>43495</v>
      </c>
      <c r="F1317">
        <v>48.3202</v>
      </c>
      <c r="G1317" s="1">
        <v>43551</v>
      </c>
      <c r="H1317">
        <v>28.11</v>
      </c>
      <c r="I1317" s="1">
        <v>43551</v>
      </c>
      <c r="J1317">
        <v>10.36</v>
      </c>
      <c r="K1317" s="1">
        <v>43482</v>
      </c>
      <c r="L1317">
        <v>96.064999999999998</v>
      </c>
    </row>
    <row r="1318" spans="1:12" x14ac:dyDescent="0.25">
      <c r="A1318" s="1">
        <v>43552</v>
      </c>
      <c r="B1318">
        <v>14.43</v>
      </c>
      <c r="C1318" s="1">
        <v>43552</v>
      </c>
      <c r="D1318">
        <v>18.579999999999998</v>
      </c>
      <c r="E1318" s="1">
        <v>43496</v>
      </c>
      <c r="F1318">
        <v>49.811700000000002</v>
      </c>
      <c r="G1318" s="1">
        <v>43552</v>
      </c>
      <c r="H1318">
        <v>28.52</v>
      </c>
      <c r="I1318" s="1">
        <v>43552</v>
      </c>
      <c r="J1318">
        <v>10.35</v>
      </c>
      <c r="K1318" s="1">
        <v>43483</v>
      </c>
      <c r="L1318">
        <v>96.335999999999999</v>
      </c>
    </row>
    <row r="1319" spans="1:12" x14ac:dyDescent="0.25">
      <c r="A1319" s="1">
        <v>43553</v>
      </c>
      <c r="B1319">
        <v>13.71</v>
      </c>
      <c r="C1319" s="1">
        <v>43553</v>
      </c>
      <c r="D1319">
        <v>18.09</v>
      </c>
      <c r="E1319" s="1">
        <v>43497</v>
      </c>
      <c r="F1319">
        <v>48.788699999999999</v>
      </c>
      <c r="G1319" s="1">
        <v>43553</v>
      </c>
      <c r="H1319">
        <v>26.75</v>
      </c>
      <c r="I1319" s="1">
        <v>43553</v>
      </c>
      <c r="J1319">
        <v>9.94</v>
      </c>
      <c r="K1319" s="1">
        <v>43486</v>
      </c>
      <c r="L1319">
        <v>96.335999999999999</v>
      </c>
    </row>
    <row r="1320" spans="1:12" x14ac:dyDescent="0.25">
      <c r="A1320" s="1">
        <v>43556</v>
      </c>
      <c r="B1320">
        <v>13.4</v>
      </c>
      <c r="C1320" s="1">
        <v>43556</v>
      </c>
      <c r="D1320">
        <v>17.79</v>
      </c>
      <c r="E1320" s="1">
        <v>43500</v>
      </c>
      <c r="F1320">
        <v>48.874000000000002</v>
      </c>
      <c r="G1320" s="1">
        <v>43556</v>
      </c>
      <c r="H1320">
        <v>26.23</v>
      </c>
      <c r="I1320" s="1">
        <v>43556</v>
      </c>
      <c r="J1320">
        <v>10.130000000000001</v>
      </c>
      <c r="K1320" s="1">
        <v>43487</v>
      </c>
      <c r="L1320">
        <v>96.302999999999997</v>
      </c>
    </row>
    <row r="1321" spans="1:12" x14ac:dyDescent="0.25">
      <c r="A1321" s="1">
        <v>43557</v>
      </c>
      <c r="B1321">
        <v>13.36</v>
      </c>
      <c r="C1321" s="1">
        <v>43557</v>
      </c>
      <c r="D1321">
        <v>17.28</v>
      </c>
      <c r="E1321" s="1">
        <v>43501</v>
      </c>
      <c r="F1321">
        <v>48.621200000000002</v>
      </c>
      <c r="G1321" s="1">
        <v>43557</v>
      </c>
      <c r="H1321">
        <v>26.28</v>
      </c>
      <c r="I1321" s="1">
        <v>43557</v>
      </c>
      <c r="J1321">
        <v>9.81</v>
      </c>
      <c r="K1321" s="1">
        <v>43488</v>
      </c>
      <c r="L1321">
        <v>96.123000000000005</v>
      </c>
    </row>
    <row r="1322" spans="1:12" x14ac:dyDescent="0.25">
      <c r="A1322" s="1">
        <v>43558</v>
      </c>
      <c r="B1322">
        <v>13.74</v>
      </c>
      <c r="C1322" s="1">
        <v>43558</v>
      </c>
      <c r="D1322">
        <v>17.739999999999998</v>
      </c>
      <c r="E1322" s="1">
        <v>43502</v>
      </c>
      <c r="F1322">
        <v>47.4392</v>
      </c>
      <c r="G1322" s="1">
        <v>43558</v>
      </c>
      <c r="H1322">
        <v>25.57</v>
      </c>
      <c r="I1322" s="1">
        <v>43558</v>
      </c>
      <c r="J1322">
        <v>9.69</v>
      </c>
      <c r="K1322" s="1">
        <v>43489</v>
      </c>
      <c r="L1322">
        <v>96.600999999999999</v>
      </c>
    </row>
    <row r="1323" spans="1:12" x14ac:dyDescent="0.25">
      <c r="A1323" s="1">
        <v>43559</v>
      </c>
      <c r="B1323">
        <v>13.58</v>
      </c>
      <c r="C1323" s="1">
        <v>43559</v>
      </c>
      <c r="D1323">
        <v>17.09</v>
      </c>
      <c r="E1323" s="1">
        <v>43503</v>
      </c>
      <c r="F1323">
        <v>48.970199999999998</v>
      </c>
      <c r="G1323" s="1">
        <v>43559</v>
      </c>
      <c r="H1323">
        <v>25.22</v>
      </c>
      <c r="I1323" s="1">
        <v>43559</v>
      </c>
      <c r="J1323">
        <v>9.92</v>
      </c>
      <c r="K1323" s="1">
        <v>43490</v>
      </c>
      <c r="L1323">
        <v>95.793999999999997</v>
      </c>
    </row>
    <row r="1324" spans="1:12" x14ac:dyDescent="0.25">
      <c r="A1324" s="1">
        <v>43560</v>
      </c>
      <c r="B1324">
        <v>12.82</v>
      </c>
      <c r="C1324" s="1">
        <v>43560</v>
      </c>
      <c r="D1324">
        <v>16.420000000000002</v>
      </c>
      <c r="E1324" s="1">
        <v>43504</v>
      </c>
      <c r="F1324">
        <v>49.628</v>
      </c>
      <c r="G1324" s="1">
        <v>43560</v>
      </c>
      <c r="H1324">
        <v>24</v>
      </c>
      <c r="I1324" s="1">
        <v>43560</v>
      </c>
      <c r="J1324">
        <v>9.65</v>
      </c>
      <c r="K1324" s="1">
        <v>43493</v>
      </c>
      <c r="L1324">
        <v>95.745999999999995</v>
      </c>
    </row>
    <row r="1325" spans="1:12" x14ac:dyDescent="0.25">
      <c r="A1325" s="1">
        <v>43563</v>
      </c>
      <c r="B1325">
        <v>13.18</v>
      </c>
      <c r="C1325" s="1">
        <v>43563</v>
      </c>
      <c r="D1325">
        <v>16.420000000000002</v>
      </c>
      <c r="E1325" s="1">
        <v>43507</v>
      </c>
      <c r="F1325">
        <v>48.319800000000001</v>
      </c>
      <c r="G1325" s="1">
        <v>43563</v>
      </c>
      <c r="H1325">
        <v>24.33</v>
      </c>
      <c r="I1325" s="1">
        <v>43563</v>
      </c>
      <c r="J1325">
        <v>9.7100000000000009</v>
      </c>
      <c r="K1325" s="1">
        <v>43494</v>
      </c>
      <c r="L1325">
        <v>95.820999999999998</v>
      </c>
    </row>
    <row r="1326" spans="1:12" x14ac:dyDescent="0.25">
      <c r="A1326" s="1">
        <v>43564</v>
      </c>
      <c r="B1326">
        <v>14.28</v>
      </c>
      <c r="C1326" s="1">
        <v>43564</v>
      </c>
      <c r="D1326">
        <v>16.829999999999998</v>
      </c>
      <c r="E1326" s="1">
        <v>43508</v>
      </c>
      <c r="F1326">
        <v>49.023600000000002</v>
      </c>
      <c r="G1326" s="1">
        <v>43564</v>
      </c>
      <c r="H1326">
        <v>24.66</v>
      </c>
      <c r="I1326" s="1">
        <v>43564</v>
      </c>
      <c r="J1326">
        <v>9.5500000000000007</v>
      </c>
      <c r="K1326" s="1">
        <v>43495</v>
      </c>
      <c r="L1326">
        <v>95.34</v>
      </c>
    </row>
    <row r="1327" spans="1:12" x14ac:dyDescent="0.25">
      <c r="A1327" s="1">
        <v>43565</v>
      </c>
      <c r="B1327">
        <v>13.3</v>
      </c>
      <c r="C1327" s="1">
        <v>43565</v>
      </c>
      <c r="D1327">
        <v>16.39</v>
      </c>
      <c r="E1327" s="1">
        <v>43509</v>
      </c>
      <c r="F1327">
        <v>48.167700000000004</v>
      </c>
      <c r="G1327" s="1">
        <v>43565</v>
      </c>
      <c r="H1327">
        <v>24.68</v>
      </c>
      <c r="I1327" s="1">
        <v>43565</v>
      </c>
      <c r="J1327">
        <v>9.4499999999999993</v>
      </c>
      <c r="K1327" s="1">
        <v>43496</v>
      </c>
      <c r="L1327">
        <v>95.578000000000003</v>
      </c>
    </row>
    <row r="1328" spans="1:12" x14ac:dyDescent="0.25">
      <c r="A1328" s="1">
        <v>43566</v>
      </c>
      <c r="B1328">
        <v>13.02</v>
      </c>
      <c r="C1328" s="1">
        <v>43566</v>
      </c>
      <c r="D1328">
        <v>16.84</v>
      </c>
      <c r="E1328" s="1">
        <v>43510</v>
      </c>
      <c r="F1328">
        <v>47.187199999999997</v>
      </c>
      <c r="G1328" s="1">
        <v>43566</v>
      </c>
      <c r="H1328">
        <v>25.7</v>
      </c>
      <c r="I1328" s="1">
        <v>43566</v>
      </c>
      <c r="J1328">
        <v>9.59</v>
      </c>
      <c r="K1328" s="1">
        <v>43497</v>
      </c>
      <c r="L1328">
        <v>95.578999999999994</v>
      </c>
    </row>
    <row r="1329" spans="1:12" x14ac:dyDescent="0.25">
      <c r="A1329" s="1">
        <v>43567</v>
      </c>
      <c r="B1329">
        <v>12.01</v>
      </c>
      <c r="C1329" s="1">
        <v>43567</v>
      </c>
      <c r="D1329">
        <v>16.010000000000002</v>
      </c>
      <c r="E1329" s="1">
        <v>43511</v>
      </c>
      <c r="F1329">
        <v>45.732300000000002</v>
      </c>
      <c r="G1329" s="1">
        <v>43567</v>
      </c>
      <c r="H1329">
        <v>25.7</v>
      </c>
      <c r="I1329" s="1">
        <v>43567</v>
      </c>
      <c r="J1329">
        <v>9.2799999999999994</v>
      </c>
      <c r="K1329" s="1">
        <v>43500</v>
      </c>
      <c r="L1329">
        <v>95.852000000000004</v>
      </c>
    </row>
    <row r="1330" spans="1:12" x14ac:dyDescent="0.25">
      <c r="A1330" s="1">
        <v>43570</v>
      </c>
      <c r="B1330">
        <v>12.32</v>
      </c>
      <c r="C1330" s="1">
        <v>43570</v>
      </c>
      <c r="D1330">
        <v>16.03</v>
      </c>
      <c r="E1330" s="1">
        <v>43515</v>
      </c>
      <c r="F1330">
        <v>45.061399999999999</v>
      </c>
      <c r="G1330" s="1">
        <v>43570</v>
      </c>
      <c r="H1330">
        <v>25.51</v>
      </c>
      <c r="I1330" s="1">
        <v>43570</v>
      </c>
      <c r="J1330">
        <v>9.57</v>
      </c>
      <c r="K1330" s="1">
        <v>43501</v>
      </c>
      <c r="L1330">
        <v>96.066999999999993</v>
      </c>
    </row>
    <row r="1331" spans="1:12" x14ac:dyDescent="0.25">
      <c r="A1331" s="1">
        <v>43571</v>
      </c>
      <c r="B1331">
        <v>12.18</v>
      </c>
      <c r="C1331" s="1">
        <v>43571</v>
      </c>
      <c r="D1331">
        <v>15.57</v>
      </c>
      <c r="E1331" s="1">
        <v>43516</v>
      </c>
      <c r="F1331">
        <v>44.544800000000002</v>
      </c>
      <c r="G1331" s="1">
        <v>43571</v>
      </c>
      <c r="H1331">
        <v>25.57</v>
      </c>
      <c r="I1331" s="1">
        <v>43571</v>
      </c>
      <c r="J1331">
        <v>9.7799999999999994</v>
      </c>
      <c r="K1331" s="1">
        <v>43502</v>
      </c>
      <c r="L1331">
        <v>96.39</v>
      </c>
    </row>
    <row r="1332" spans="1:12" x14ac:dyDescent="0.25">
      <c r="A1332" s="1">
        <v>43572</v>
      </c>
      <c r="B1332">
        <v>12.6</v>
      </c>
      <c r="C1332" s="1">
        <v>43572</v>
      </c>
      <c r="D1332">
        <v>15.28</v>
      </c>
      <c r="E1332" s="1">
        <v>43517</v>
      </c>
      <c r="F1332">
        <v>46.548699999999997</v>
      </c>
      <c r="G1332" s="1">
        <v>43572</v>
      </c>
      <c r="H1332">
        <v>25.19</v>
      </c>
      <c r="I1332" s="1">
        <v>43572</v>
      </c>
      <c r="J1332">
        <v>9.39</v>
      </c>
      <c r="K1332" s="1">
        <v>43503</v>
      </c>
      <c r="L1332">
        <v>96.507000000000005</v>
      </c>
    </row>
    <row r="1333" spans="1:12" x14ac:dyDescent="0.25">
      <c r="A1333" s="1">
        <v>43573</v>
      </c>
      <c r="B1333">
        <v>12.09</v>
      </c>
      <c r="C1333" s="1">
        <v>43573</v>
      </c>
      <c r="D1333">
        <v>15.28</v>
      </c>
      <c r="E1333" s="1">
        <v>43518</v>
      </c>
      <c r="F1333">
        <v>47.218400000000003</v>
      </c>
      <c r="G1333" s="1">
        <v>43573</v>
      </c>
      <c r="H1333">
        <v>24.45</v>
      </c>
      <c r="I1333" s="1">
        <v>43573</v>
      </c>
      <c r="J1333">
        <v>8.9600000000000009</v>
      </c>
      <c r="K1333" s="1">
        <v>43504</v>
      </c>
      <c r="L1333">
        <v>96.637</v>
      </c>
    </row>
    <row r="1334" spans="1:12" x14ac:dyDescent="0.25">
      <c r="A1334" s="1">
        <v>43577</v>
      </c>
      <c r="B1334">
        <v>12.42</v>
      </c>
      <c r="C1334" s="1">
        <v>43577</v>
      </c>
      <c r="D1334">
        <v>16.399999999999999</v>
      </c>
      <c r="E1334" s="1">
        <v>43521</v>
      </c>
      <c r="F1334">
        <v>46.160600000000002</v>
      </c>
      <c r="G1334" s="1">
        <v>43577</v>
      </c>
      <c r="H1334">
        <v>26.07</v>
      </c>
      <c r="I1334" s="1">
        <v>43577</v>
      </c>
      <c r="J1334">
        <v>9.56</v>
      </c>
      <c r="K1334" s="1">
        <v>43507</v>
      </c>
      <c r="L1334">
        <v>97.057000000000002</v>
      </c>
    </row>
    <row r="1335" spans="1:12" x14ac:dyDescent="0.25">
      <c r="A1335" s="1">
        <v>43578</v>
      </c>
      <c r="B1335">
        <v>12.28</v>
      </c>
      <c r="C1335" s="1">
        <v>43578</v>
      </c>
      <c r="D1335">
        <v>15.71</v>
      </c>
      <c r="E1335" s="1">
        <v>43522</v>
      </c>
      <c r="F1335">
        <v>46.284199999999998</v>
      </c>
      <c r="G1335" s="1">
        <v>43578</v>
      </c>
      <c r="H1335">
        <v>26.56</v>
      </c>
      <c r="I1335" s="1">
        <v>43578</v>
      </c>
      <c r="J1335">
        <v>9.5399999999999991</v>
      </c>
      <c r="K1335" s="1">
        <v>43508</v>
      </c>
      <c r="L1335">
        <v>96.709000000000003</v>
      </c>
    </row>
    <row r="1336" spans="1:12" x14ac:dyDescent="0.25">
      <c r="A1336" s="1">
        <v>43579</v>
      </c>
      <c r="B1336">
        <v>13.14</v>
      </c>
      <c r="C1336" s="1">
        <v>43579</v>
      </c>
      <c r="D1336">
        <v>16.3</v>
      </c>
      <c r="E1336" s="1">
        <v>43523</v>
      </c>
      <c r="F1336">
        <v>46.792900000000003</v>
      </c>
      <c r="G1336" s="1">
        <v>43579</v>
      </c>
      <c r="H1336">
        <v>25.28</v>
      </c>
      <c r="I1336" s="1">
        <v>43579</v>
      </c>
      <c r="J1336">
        <v>9.48</v>
      </c>
      <c r="K1336" s="1">
        <v>43509</v>
      </c>
      <c r="L1336">
        <v>97.129000000000005</v>
      </c>
    </row>
    <row r="1337" spans="1:12" x14ac:dyDescent="0.25">
      <c r="A1337" s="1">
        <v>43580</v>
      </c>
      <c r="B1337">
        <v>13.25</v>
      </c>
      <c r="C1337" s="1">
        <v>43580</v>
      </c>
      <c r="D1337">
        <v>16.559999999999999</v>
      </c>
      <c r="E1337" s="1">
        <v>43524</v>
      </c>
      <c r="F1337">
        <v>47.218299999999999</v>
      </c>
      <c r="G1337" s="1">
        <v>43580</v>
      </c>
      <c r="H1337">
        <v>25.57</v>
      </c>
      <c r="I1337" s="1">
        <v>43580</v>
      </c>
      <c r="J1337">
        <v>9.35</v>
      </c>
      <c r="K1337" s="1">
        <v>43510</v>
      </c>
      <c r="L1337">
        <v>96.977999999999994</v>
      </c>
    </row>
    <row r="1338" spans="1:12" x14ac:dyDescent="0.25">
      <c r="A1338" s="1">
        <v>43581</v>
      </c>
      <c r="B1338">
        <v>12.73</v>
      </c>
      <c r="C1338" s="1">
        <v>43581</v>
      </c>
      <c r="D1338">
        <v>15.77</v>
      </c>
      <c r="E1338" s="1">
        <v>43525</v>
      </c>
      <c r="F1338">
        <v>47.904400000000003</v>
      </c>
      <c r="G1338" s="1">
        <v>43581</v>
      </c>
      <c r="H1338">
        <v>31.24</v>
      </c>
      <c r="I1338" s="1">
        <v>43581</v>
      </c>
      <c r="J1338">
        <v>9.2799999999999994</v>
      </c>
      <c r="K1338" s="1">
        <v>43511</v>
      </c>
      <c r="L1338">
        <v>96.903999999999996</v>
      </c>
    </row>
    <row r="1339" spans="1:12" x14ac:dyDescent="0.25">
      <c r="A1339" s="1">
        <v>43584</v>
      </c>
      <c r="B1339">
        <v>13.11</v>
      </c>
      <c r="C1339" s="1">
        <v>43584</v>
      </c>
      <c r="D1339">
        <v>15.86</v>
      </c>
      <c r="E1339" s="1">
        <v>43528</v>
      </c>
      <c r="F1339">
        <v>46.7423</v>
      </c>
      <c r="G1339" s="1">
        <v>43584</v>
      </c>
      <c r="H1339">
        <v>29.04</v>
      </c>
      <c r="I1339" s="1">
        <v>43584</v>
      </c>
      <c r="J1339">
        <v>9.4600000000000009</v>
      </c>
      <c r="K1339" s="1">
        <v>43514</v>
      </c>
      <c r="L1339">
        <v>96.903999999999996</v>
      </c>
    </row>
    <row r="1340" spans="1:12" x14ac:dyDescent="0.25">
      <c r="A1340" s="1">
        <v>43585</v>
      </c>
      <c r="B1340">
        <v>13.12</v>
      </c>
      <c r="C1340" s="1">
        <v>43585</v>
      </c>
      <c r="D1340">
        <v>16</v>
      </c>
      <c r="E1340" s="1">
        <v>43529</v>
      </c>
      <c r="F1340">
        <v>45.856699999999996</v>
      </c>
      <c r="G1340" s="1">
        <v>43585</v>
      </c>
      <c r="H1340">
        <v>29.31</v>
      </c>
      <c r="I1340" s="1">
        <v>43585</v>
      </c>
      <c r="J1340">
        <v>9.32</v>
      </c>
      <c r="K1340" s="1">
        <v>43515</v>
      </c>
      <c r="L1340">
        <v>96.52</v>
      </c>
    </row>
    <row r="1341" spans="1:12" x14ac:dyDescent="0.25">
      <c r="A1341" s="1">
        <v>43586</v>
      </c>
      <c r="B1341">
        <v>14.8</v>
      </c>
      <c r="C1341" s="1">
        <v>43586</v>
      </c>
      <c r="D1341">
        <v>16.36</v>
      </c>
      <c r="E1341" s="1">
        <v>43530</v>
      </c>
      <c r="F1341">
        <v>45.6342</v>
      </c>
      <c r="G1341" s="1">
        <v>43586</v>
      </c>
      <c r="H1341">
        <v>29.41</v>
      </c>
      <c r="I1341" s="1">
        <v>43586</v>
      </c>
      <c r="J1341">
        <v>9.19</v>
      </c>
      <c r="K1341" s="1">
        <v>43516</v>
      </c>
      <c r="L1341">
        <v>96.453999999999994</v>
      </c>
    </row>
    <row r="1342" spans="1:12" x14ac:dyDescent="0.25">
      <c r="A1342" s="1">
        <v>43587</v>
      </c>
      <c r="B1342">
        <v>14.42</v>
      </c>
      <c r="C1342" s="1">
        <v>43587</v>
      </c>
      <c r="D1342">
        <v>16.440000000000001</v>
      </c>
      <c r="E1342" s="1">
        <v>43531</v>
      </c>
      <c r="F1342">
        <v>45.8309</v>
      </c>
      <c r="G1342" s="1">
        <v>43587</v>
      </c>
      <c r="H1342">
        <v>30.49</v>
      </c>
      <c r="I1342" s="1">
        <v>43587</v>
      </c>
      <c r="J1342">
        <v>9.08</v>
      </c>
      <c r="K1342" s="1">
        <v>43517</v>
      </c>
      <c r="L1342">
        <v>96.605000000000004</v>
      </c>
    </row>
    <row r="1343" spans="1:12" x14ac:dyDescent="0.25">
      <c r="A1343" s="1">
        <v>43588</v>
      </c>
      <c r="B1343">
        <v>12.87</v>
      </c>
      <c r="C1343" s="1">
        <v>43588</v>
      </c>
      <c r="D1343">
        <v>15.84</v>
      </c>
      <c r="E1343" s="1">
        <v>43532</v>
      </c>
      <c r="F1343">
        <v>45.825299999999999</v>
      </c>
      <c r="G1343" s="1">
        <v>43588</v>
      </c>
      <c r="H1343">
        <v>29.88</v>
      </c>
      <c r="I1343" s="1">
        <v>43588</v>
      </c>
      <c r="J1343">
        <v>8.89</v>
      </c>
      <c r="K1343" s="1">
        <v>43518</v>
      </c>
      <c r="L1343">
        <v>96.507000000000005</v>
      </c>
    </row>
    <row r="1344" spans="1:12" x14ac:dyDescent="0.25">
      <c r="A1344" s="1">
        <v>43591</v>
      </c>
      <c r="B1344">
        <v>15.44</v>
      </c>
      <c r="C1344" s="1">
        <v>43591</v>
      </c>
      <c r="D1344">
        <v>19.11</v>
      </c>
      <c r="E1344" s="1">
        <v>43535</v>
      </c>
      <c r="F1344">
        <v>44.843600000000002</v>
      </c>
      <c r="G1344" s="1">
        <v>43591</v>
      </c>
      <c r="H1344">
        <v>30.91</v>
      </c>
      <c r="I1344" s="1">
        <v>43591</v>
      </c>
      <c r="J1344">
        <v>9.26</v>
      </c>
      <c r="K1344" s="1">
        <v>43521</v>
      </c>
      <c r="L1344">
        <v>96.412999999999997</v>
      </c>
    </row>
    <row r="1345" spans="1:12" x14ac:dyDescent="0.25">
      <c r="A1345" s="1">
        <v>43592</v>
      </c>
      <c r="B1345">
        <v>19.32</v>
      </c>
      <c r="C1345" s="1">
        <v>43592</v>
      </c>
      <c r="D1345">
        <v>23.1</v>
      </c>
      <c r="E1345" s="1">
        <v>43536</v>
      </c>
      <c r="F1345">
        <v>44.86</v>
      </c>
      <c r="G1345" s="1">
        <v>43592</v>
      </c>
      <c r="H1345">
        <v>34.07</v>
      </c>
      <c r="I1345" s="1">
        <v>43592</v>
      </c>
      <c r="J1345">
        <v>9.74</v>
      </c>
      <c r="K1345" s="1">
        <v>43522</v>
      </c>
      <c r="L1345">
        <v>96.003</v>
      </c>
    </row>
    <row r="1346" spans="1:12" x14ac:dyDescent="0.25">
      <c r="A1346" s="1">
        <v>43593</v>
      </c>
      <c r="B1346">
        <v>19.399999999999999</v>
      </c>
      <c r="C1346" s="1">
        <v>43593</v>
      </c>
      <c r="D1346">
        <v>23.18</v>
      </c>
      <c r="E1346" s="1">
        <v>43537</v>
      </c>
      <c r="F1346">
        <v>44.568800000000003</v>
      </c>
      <c r="G1346" s="1">
        <v>43593</v>
      </c>
      <c r="H1346">
        <v>32.229999999999997</v>
      </c>
      <c r="I1346" s="1">
        <v>43593</v>
      </c>
      <c r="J1346">
        <v>9.7799999999999994</v>
      </c>
      <c r="K1346" s="1">
        <v>43523</v>
      </c>
      <c r="L1346">
        <v>96.153999999999996</v>
      </c>
    </row>
    <row r="1347" spans="1:12" x14ac:dyDescent="0.25">
      <c r="A1347" s="1">
        <v>43594</v>
      </c>
      <c r="B1347">
        <v>19.100000000000001</v>
      </c>
      <c r="C1347" s="1">
        <v>43594</v>
      </c>
      <c r="D1347">
        <v>24.6</v>
      </c>
      <c r="E1347" s="1">
        <v>43538</v>
      </c>
      <c r="F1347">
        <v>45.238100000000003</v>
      </c>
      <c r="G1347" s="1">
        <v>43594</v>
      </c>
      <c r="H1347">
        <v>32.479999999999997</v>
      </c>
      <c r="I1347" s="1">
        <v>43594</v>
      </c>
      <c r="J1347">
        <v>9.9600000000000009</v>
      </c>
      <c r="K1347" s="1">
        <v>43524</v>
      </c>
      <c r="L1347">
        <v>96.156999999999996</v>
      </c>
    </row>
    <row r="1348" spans="1:12" x14ac:dyDescent="0.25">
      <c r="A1348" s="1">
        <v>43595</v>
      </c>
      <c r="B1348">
        <v>16.04</v>
      </c>
      <c r="C1348" s="1">
        <v>43595</v>
      </c>
      <c r="D1348">
        <v>21.38</v>
      </c>
      <c r="E1348" s="1">
        <v>43539</v>
      </c>
      <c r="F1348">
        <v>46.054000000000002</v>
      </c>
      <c r="G1348" s="1">
        <v>43595</v>
      </c>
      <c r="H1348">
        <v>32.799999999999997</v>
      </c>
      <c r="I1348" s="1">
        <v>43595</v>
      </c>
      <c r="J1348">
        <v>9.33</v>
      </c>
      <c r="K1348" s="1">
        <v>43525</v>
      </c>
      <c r="L1348">
        <v>96.527000000000001</v>
      </c>
    </row>
    <row r="1349" spans="1:12" x14ac:dyDescent="0.25">
      <c r="A1349" s="1">
        <v>43598</v>
      </c>
      <c r="B1349">
        <v>20.55</v>
      </c>
      <c r="C1349" s="1">
        <v>43598</v>
      </c>
      <c r="D1349">
        <v>27.8</v>
      </c>
      <c r="E1349" s="1">
        <v>43542</v>
      </c>
      <c r="F1349">
        <v>44.947699999999998</v>
      </c>
      <c r="G1349" s="1">
        <v>43598</v>
      </c>
      <c r="H1349">
        <v>34.6</v>
      </c>
      <c r="I1349" s="1">
        <v>43598</v>
      </c>
      <c r="J1349">
        <v>10.51</v>
      </c>
      <c r="K1349" s="1">
        <v>43528</v>
      </c>
      <c r="L1349">
        <v>96.682000000000002</v>
      </c>
    </row>
    <row r="1350" spans="1:12" x14ac:dyDescent="0.25">
      <c r="A1350" s="1">
        <v>43599</v>
      </c>
      <c r="B1350">
        <v>18.059999999999999</v>
      </c>
      <c r="C1350" s="1">
        <v>43599</v>
      </c>
      <c r="D1350">
        <v>24.07</v>
      </c>
      <c r="E1350" s="1">
        <v>43543</v>
      </c>
      <c r="F1350">
        <v>43.677799999999998</v>
      </c>
      <c r="G1350" s="1">
        <v>43599</v>
      </c>
      <c r="H1350">
        <v>32.130000000000003</v>
      </c>
      <c r="I1350" s="1">
        <v>43599</v>
      </c>
      <c r="J1350">
        <v>9.76</v>
      </c>
      <c r="K1350" s="1">
        <v>43529</v>
      </c>
      <c r="L1350">
        <v>96.866</v>
      </c>
    </row>
    <row r="1351" spans="1:12" x14ac:dyDescent="0.25">
      <c r="A1351" s="1">
        <v>43600</v>
      </c>
      <c r="B1351">
        <v>16.440000000000001</v>
      </c>
      <c r="C1351" s="1">
        <v>43600</v>
      </c>
      <c r="D1351">
        <v>22</v>
      </c>
      <c r="E1351" s="1">
        <v>43544</v>
      </c>
      <c r="F1351">
        <v>42.532200000000003</v>
      </c>
      <c r="G1351" s="1">
        <v>43600</v>
      </c>
      <c r="H1351">
        <v>29.26</v>
      </c>
      <c r="I1351" s="1">
        <v>43600</v>
      </c>
      <c r="J1351">
        <v>9.4499999999999993</v>
      </c>
      <c r="K1351" s="1">
        <v>43530</v>
      </c>
      <c r="L1351">
        <v>96.873000000000005</v>
      </c>
    </row>
    <row r="1352" spans="1:12" x14ac:dyDescent="0.25">
      <c r="A1352" s="1">
        <v>43601</v>
      </c>
      <c r="B1352">
        <v>15.29</v>
      </c>
      <c r="C1352" s="1">
        <v>43601</v>
      </c>
      <c r="D1352">
        <v>21.26</v>
      </c>
      <c r="E1352" s="1">
        <v>43545</v>
      </c>
      <c r="F1352">
        <v>44.5137</v>
      </c>
      <c r="G1352" s="1">
        <v>43601</v>
      </c>
      <c r="H1352">
        <v>29.42</v>
      </c>
      <c r="I1352" s="1">
        <v>43601</v>
      </c>
      <c r="J1352">
        <v>9.16</v>
      </c>
      <c r="K1352" s="1">
        <v>43531</v>
      </c>
      <c r="L1352">
        <v>97.667000000000002</v>
      </c>
    </row>
    <row r="1353" spans="1:12" x14ac:dyDescent="0.25">
      <c r="A1353" s="1">
        <v>43602</v>
      </c>
      <c r="B1353">
        <v>15.96</v>
      </c>
      <c r="C1353" s="1">
        <v>43602</v>
      </c>
      <c r="D1353">
        <v>21.61</v>
      </c>
      <c r="E1353" s="1">
        <v>43546</v>
      </c>
      <c r="F1353">
        <v>52.258600000000001</v>
      </c>
      <c r="G1353" s="1">
        <v>43602</v>
      </c>
      <c r="H1353">
        <v>29.44</v>
      </c>
      <c r="I1353" s="1">
        <v>43602</v>
      </c>
      <c r="J1353">
        <v>9.16</v>
      </c>
      <c r="K1353" s="1">
        <v>43532</v>
      </c>
      <c r="L1353">
        <v>97.305999999999997</v>
      </c>
    </row>
    <row r="1354" spans="1:12" x14ac:dyDescent="0.25">
      <c r="A1354" s="1">
        <v>43605</v>
      </c>
      <c r="B1354">
        <v>16.309999999999999</v>
      </c>
      <c r="C1354" s="1">
        <v>43605</v>
      </c>
      <c r="D1354">
        <v>21.6</v>
      </c>
      <c r="E1354" s="1">
        <v>43549</v>
      </c>
      <c r="F1354">
        <v>57.105899999999998</v>
      </c>
      <c r="G1354" s="1">
        <v>43605</v>
      </c>
      <c r="H1354">
        <v>27.63</v>
      </c>
      <c r="I1354" s="1">
        <v>43605</v>
      </c>
      <c r="J1354">
        <v>9.16</v>
      </c>
      <c r="K1354" s="1">
        <v>43535</v>
      </c>
      <c r="L1354">
        <v>97.215000000000003</v>
      </c>
    </row>
    <row r="1355" spans="1:12" x14ac:dyDescent="0.25">
      <c r="A1355" s="1">
        <v>43606</v>
      </c>
      <c r="B1355">
        <v>14.95</v>
      </c>
      <c r="C1355" s="1">
        <v>43606</v>
      </c>
      <c r="D1355">
        <v>19.87</v>
      </c>
      <c r="E1355" s="1">
        <v>43550</v>
      </c>
      <c r="F1355">
        <v>56.513100000000001</v>
      </c>
      <c r="G1355" s="1">
        <v>43606</v>
      </c>
      <c r="H1355">
        <v>26.93</v>
      </c>
      <c r="I1355" s="1">
        <v>43606</v>
      </c>
      <c r="J1355">
        <v>8.99</v>
      </c>
      <c r="K1355" s="1">
        <v>43536</v>
      </c>
      <c r="L1355">
        <v>96.935000000000002</v>
      </c>
    </row>
    <row r="1356" spans="1:12" x14ac:dyDescent="0.25">
      <c r="A1356" s="1">
        <v>43607</v>
      </c>
      <c r="B1356">
        <v>14.75</v>
      </c>
      <c r="C1356" s="1">
        <v>43607</v>
      </c>
      <c r="D1356">
        <v>19.79</v>
      </c>
      <c r="E1356" s="1">
        <v>43551</v>
      </c>
      <c r="F1356">
        <v>60.972799999999999</v>
      </c>
      <c r="G1356" s="1">
        <v>43607</v>
      </c>
      <c r="H1356">
        <v>28.19</v>
      </c>
      <c r="I1356" s="1">
        <v>43607</v>
      </c>
      <c r="J1356">
        <v>9.0399999999999991</v>
      </c>
      <c r="K1356" s="1">
        <v>43537</v>
      </c>
      <c r="L1356">
        <v>96.55</v>
      </c>
    </row>
    <row r="1357" spans="1:12" x14ac:dyDescent="0.25">
      <c r="A1357" s="1">
        <v>43608</v>
      </c>
      <c r="B1357">
        <v>16.920000000000002</v>
      </c>
      <c r="C1357" s="1">
        <v>43608</v>
      </c>
      <c r="D1357">
        <v>21.74</v>
      </c>
      <c r="E1357" s="1">
        <v>43552</v>
      </c>
      <c r="F1357">
        <v>59.927</v>
      </c>
      <c r="G1357" s="1">
        <v>43608</v>
      </c>
      <c r="H1357">
        <v>33.79</v>
      </c>
      <c r="I1357" s="1">
        <v>43608</v>
      </c>
      <c r="J1357">
        <v>9.4700000000000006</v>
      </c>
      <c r="K1357" s="1">
        <v>43538</v>
      </c>
      <c r="L1357">
        <v>96.784999999999997</v>
      </c>
    </row>
    <row r="1358" spans="1:12" x14ac:dyDescent="0.25">
      <c r="A1358" s="1">
        <v>43609</v>
      </c>
      <c r="B1358">
        <v>15.85</v>
      </c>
      <c r="C1358" s="1">
        <v>43609</v>
      </c>
      <c r="D1358">
        <v>20.55</v>
      </c>
      <c r="E1358" s="1">
        <v>43553</v>
      </c>
      <c r="F1358">
        <v>58.547800000000002</v>
      </c>
      <c r="G1358" s="1">
        <v>43609</v>
      </c>
      <c r="H1358">
        <v>33.19</v>
      </c>
      <c r="I1358" s="1">
        <v>43609</v>
      </c>
      <c r="J1358">
        <v>9</v>
      </c>
      <c r="K1358" s="1">
        <v>43539</v>
      </c>
      <c r="L1358">
        <v>96.594999999999999</v>
      </c>
    </row>
    <row r="1359" spans="1:12" x14ac:dyDescent="0.25">
      <c r="A1359" s="1">
        <v>43613</v>
      </c>
      <c r="B1359">
        <v>17.5</v>
      </c>
      <c r="C1359" s="1">
        <v>43613</v>
      </c>
      <c r="D1359">
        <v>21.11</v>
      </c>
      <c r="E1359" s="1">
        <v>43556</v>
      </c>
      <c r="F1359">
        <v>52.689900000000002</v>
      </c>
      <c r="G1359" s="1">
        <v>43613</v>
      </c>
      <c r="H1359">
        <v>34.36</v>
      </c>
      <c r="I1359" s="1">
        <v>43613</v>
      </c>
      <c r="J1359">
        <v>9.1999999999999993</v>
      </c>
      <c r="K1359" s="1">
        <v>43542</v>
      </c>
      <c r="L1359">
        <v>96.524000000000001</v>
      </c>
    </row>
    <row r="1360" spans="1:12" x14ac:dyDescent="0.25">
      <c r="A1360" s="1">
        <v>43614</v>
      </c>
      <c r="B1360">
        <v>17.899999999999999</v>
      </c>
      <c r="C1360" s="1">
        <v>43614</v>
      </c>
      <c r="D1360">
        <v>21.14</v>
      </c>
      <c r="E1360" s="1">
        <v>43557</v>
      </c>
      <c r="F1360">
        <v>54.205599999999997</v>
      </c>
      <c r="G1360" s="1">
        <v>43614</v>
      </c>
      <c r="H1360">
        <v>36.43</v>
      </c>
      <c r="I1360" s="1">
        <v>43614</v>
      </c>
      <c r="J1360">
        <v>8.8800000000000008</v>
      </c>
      <c r="K1360" s="1">
        <v>43543</v>
      </c>
      <c r="L1360">
        <v>96.382999999999996</v>
      </c>
    </row>
    <row r="1361" spans="1:12" x14ac:dyDescent="0.25">
      <c r="A1361" s="1">
        <v>43615</v>
      </c>
      <c r="B1361">
        <v>17.3</v>
      </c>
      <c r="C1361" s="1">
        <v>43615</v>
      </c>
      <c r="D1361">
        <v>20.97</v>
      </c>
      <c r="E1361" s="1">
        <v>43558</v>
      </c>
      <c r="F1361">
        <v>53.8399</v>
      </c>
      <c r="G1361" s="1">
        <v>43615</v>
      </c>
      <c r="H1361">
        <v>39.619999999999997</v>
      </c>
      <c r="I1361" s="1">
        <v>43615</v>
      </c>
      <c r="J1361">
        <v>9.3000000000000007</v>
      </c>
      <c r="K1361" s="1">
        <v>43544</v>
      </c>
      <c r="L1361">
        <v>95.760999999999996</v>
      </c>
    </row>
    <row r="1362" spans="1:12" x14ac:dyDescent="0.25">
      <c r="A1362" s="1">
        <v>43616</v>
      </c>
      <c r="B1362">
        <v>18.71</v>
      </c>
      <c r="C1362" s="1">
        <v>43616</v>
      </c>
      <c r="D1362">
        <v>21.17</v>
      </c>
      <c r="E1362" s="1">
        <v>43559</v>
      </c>
      <c r="F1362">
        <v>51.695399999999999</v>
      </c>
      <c r="G1362" s="1">
        <v>43616</v>
      </c>
      <c r="H1362">
        <v>46.91</v>
      </c>
      <c r="I1362" s="1">
        <v>43616</v>
      </c>
      <c r="J1362">
        <v>10.33</v>
      </c>
      <c r="K1362" s="1">
        <v>43545</v>
      </c>
      <c r="L1362">
        <v>96.495000000000005</v>
      </c>
    </row>
    <row r="1363" spans="1:12" x14ac:dyDescent="0.25">
      <c r="A1363" s="1">
        <v>43619</v>
      </c>
      <c r="B1363">
        <v>18.86</v>
      </c>
      <c r="C1363" s="1">
        <v>43619</v>
      </c>
      <c r="D1363">
        <v>21.54</v>
      </c>
      <c r="E1363" s="1">
        <v>43560</v>
      </c>
      <c r="F1363">
        <v>49.2196</v>
      </c>
      <c r="G1363" s="1">
        <v>43619</v>
      </c>
      <c r="H1363">
        <v>46.78</v>
      </c>
      <c r="I1363" s="1">
        <v>43619</v>
      </c>
      <c r="J1363">
        <v>11.79</v>
      </c>
      <c r="K1363" s="1">
        <v>43546</v>
      </c>
      <c r="L1363">
        <v>96.650999999999996</v>
      </c>
    </row>
    <row r="1364" spans="1:12" x14ac:dyDescent="0.25">
      <c r="A1364" s="1">
        <v>43620</v>
      </c>
      <c r="B1364">
        <v>16.97</v>
      </c>
      <c r="C1364" s="1">
        <v>43620</v>
      </c>
      <c r="D1364">
        <v>20.78</v>
      </c>
      <c r="E1364" s="1">
        <v>43563</v>
      </c>
      <c r="F1364">
        <v>47.893700000000003</v>
      </c>
      <c r="G1364" s="1">
        <v>43620</v>
      </c>
      <c r="H1364">
        <v>43.46</v>
      </c>
      <c r="I1364" s="1">
        <v>43620</v>
      </c>
      <c r="J1364">
        <v>10.66</v>
      </c>
      <c r="K1364" s="1">
        <v>43549</v>
      </c>
      <c r="L1364">
        <v>96.566000000000003</v>
      </c>
    </row>
    <row r="1365" spans="1:12" x14ac:dyDescent="0.25">
      <c r="A1365" s="1">
        <v>43621</v>
      </c>
      <c r="B1365">
        <v>16.09</v>
      </c>
      <c r="C1365" s="1">
        <v>43621</v>
      </c>
      <c r="D1365">
        <v>20.88</v>
      </c>
      <c r="E1365" s="1">
        <v>43564</v>
      </c>
      <c r="F1365">
        <v>48.831400000000002</v>
      </c>
      <c r="G1365" s="1">
        <v>43621</v>
      </c>
      <c r="H1365">
        <v>45.19</v>
      </c>
      <c r="I1365" s="1">
        <v>43621</v>
      </c>
      <c r="J1365">
        <v>11.26</v>
      </c>
      <c r="K1365" s="1">
        <v>43550</v>
      </c>
      <c r="L1365">
        <v>96.736000000000004</v>
      </c>
    </row>
    <row r="1366" spans="1:12" x14ac:dyDescent="0.25">
      <c r="A1366" s="1">
        <v>43622</v>
      </c>
      <c r="B1366">
        <v>15.93</v>
      </c>
      <c r="C1366" s="1">
        <v>43622</v>
      </c>
      <c r="D1366">
        <v>20.16</v>
      </c>
      <c r="E1366" s="1">
        <v>43565</v>
      </c>
      <c r="F1366">
        <v>48.600299999999997</v>
      </c>
      <c r="G1366" s="1">
        <v>43622</v>
      </c>
      <c r="H1366">
        <v>40.659999999999997</v>
      </c>
      <c r="I1366" s="1">
        <v>43622</v>
      </c>
      <c r="J1366">
        <v>11.62</v>
      </c>
      <c r="K1366" s="1">
        <v>43551</v>
      </c>
      <c r="L1366">
        <v>96.774000000000001</v>
      </c>
    </row>
    <row r="1367" spans="1:12" x14ac:dyDescent="0.25">
      <c r="A1367" s="1">
        <v>43623</v>
      </c>
      <c r="B1367">
        <v>16.3</v>
      </c>
      <c r="C1367" s="1">
        <v>43623</v>
      </c>
      <c r="D1367">
        <v>19.75</v>
      </c>
      <c r="E1367" s="1">
        <v>43566</v>
      </c>
      <c r="F1367">
        <v>46.9</v>
      </c>
      <c r="G1367" s="1">
        <v>43623</v>
      </c>
      <c r="H1367">
        <v>38.75</v>
      </c>
      <c r="I1367" s="1">
        <v>43623</v>
      </c>
      <c r="J1367">
        <v>11.41</v>
      </c>
      <c r="K1367" s="1">
        <v>43552</v>
      </c>
      <c r="L1367">
        <v>97.201999999999998</v>
      </c>
    </row>
    <row r="1368" spans="1:12" x14ac:dyDescent="0.25">
      <c r="A1368" s="1">
        <v>43626</v>
      </c>
      <c r="B1368">
        <v>15.94</v>
      </c>
      <c r="C1368" s="1">
        <v>43626</v>
      </c>
      <c r="D1368">
        <v>19.28</v>
      </c>
      <c r="E1368" s="1">
        <v>43567</v>
      </c>
      <c r="F1368">
        <v>48.843899999999998</v>
      </c>
      <c r="G1368" s="1">
        <v>43626</v>
      </c>
      <c r="H1368">
        <v>39.119999999999997</v>
      </c>
      <c r="I1368" s="1">
        <v>43626</v>
      </c>
      <c r="J1368">
        <v>10.87</v>
      </c>
      <c r="K1368" s="1">
        <v>43553</v>
      </c>
      <c r="L1368">
        <v>97.284000000000006</v>
      </c>
    </row>
    <row r="1369" spans="1:12" x14ac:dyDescent="0.25">
      <c r="A1369" s="1">
        <v>43627</v>
      </c>
      <c r="B1369">
        <v>15.99</v>
      </c>
      <c r="C1369" s="1">
        <v>43627</v>
      </c>
      <c r="D1369">
        <v>19.309999999999999</v>
      </c>
      <c r="E1369" s="1">
        <v>43570</v>
      </c>
      <c r="F1369">
        <v>47.6389</v>
      </c>
      <c r="G1369" s="1">
        <v>43627</v>
      </c>
      <c r="H1369">
        <v>38.69</v>
      </c>
      <c r="I1369" s="1">
        <v>43627</v>
      </c>
      <c r="J1369">
        <v>10.52</v>
      </c>
      <c r="K1369" s="1">
        <v>43556</v>
      </c>
      <c r="L1369">
        <v>97.231999999999999</v>
      </c>
    </row>
    <row r="1370" spans="1:12" x14ac:dyDescent="0.25">
      <c r="A1370" s="1">
        <v>43628</v>
      </c>
      <c r="B1370">
        <v>15.91</v>
      </c>
      <c r="C1370" s="1">
        <v>43628</v>
      </c>
      <c r="D1370">
        <v>19.940000000000001</v>
      </c>
      <c r="E1370" s="1">
        <v>43571</v>
      </c>
      <c r="F1370">
        <v>48.3127</v>
      </c>
      <c r="G1370" s="1">
        <v>43628</v>
      </c>
      <c r="H1370">
        <v>43.06</v>
      </c>
      <c r="I1370" s="1">
        <v>43628</v>
      </c>
      <c r="J1370">
        <v>11.06</v>
      </c>
      <c r="K1370" s="1">
        <v>43557</v>
      </c>
      <c r="L1370">
        <v>97.361000000000004</v>
      </c>
    </row>
    <row r="1371" spans="1:12" x14ac:dyDescent="0.25">
      <c r="A1371" s="1">
        <v>43629</v>
      </c>
      <c r="B1371">
        <v>15.82</v>
      </c>
      <c r="C1371" s="1">
        <v>43629</v>
      </c>
      <c r="D1371">
        <v>19.399999999999999</v>
      </c>
      <c r="E1371" s="1">
        <v>43572</v>
      </c>
      <c r="F1371">
        <v>48.652799999999999</v>
      </c>
      <c r="G1371" s="1">
        <v>43629</v>
      </c>
      <c r="H1371">
        <v>41.56</v>
      </c>
      <c r="I1371" s="1">
        <v>43629</v>
      </c>
      <c r="J1371">
        <v>11.68</v>
      </c>
      <c r="K1371" s="1">
        <v>43558</v>
      </c>
      <c r="L1371">
        <v>97.090999999999994</v>
      </c>
    </row>
    <row r="1372" spans="1:12" x14ac:dyDescent="0.25">
      <c r="A1372" s="1">
        <v>43630</v>
      </c>
      <c r="B1372">
        <v>15.28</v>
      </c>
      <c r="C1372" s="1">
        <v>43630</v>
      </c>
      <c r="D1372">
        <v>20.21</v>
      </c>
      <c r="E1372" s="1">
        <v>43573</v>
      </c>
      <c r="F1372">
        <v>49.228000000000002</v>
      </c>
      <c r="G1372" s="1">
        <v>43630</v>
      </c>
      <c r="H1372">
        <v>42.89</v>
      </c>
      <c r="I1372" s="1">
        <v>43630</v>
      </c>
      <c r="J1372">
        <v>11.9</v>
      </c>
      <c r="K1372" s="1">
        <v>43559</v>
      </c>
      <c r="L1372">
        <v>97.308000000000007</v>
      </c>
    </row>
    <row r="1373" spans="1:12" x14ac:dyDescent="0.25">
      <c r="A1373" s="1">
        <v>43633</v>
      </c>
      <c r="B1373">
        <v>15.35</v>
      </c>
      <c r="C1373" s="1">
        <v>43633</v>
      </c>
      <c r="D1373">
        <v>19.079999999999998</v>
      </c>
      <c r="E1373" s="1">
        <v>43577</v>
      </c>
      <c r="F1373">
        <v>48.778199999999998</v>
      </c>
      <c r="G1373" s="1">
        <v>43633</v>
      </c>
      <c r="H1373">
        <v>46.15</v>
      </c>
      <c r="I1373" s="1">
        <v>43633</v>
      </c>
      <c r="J1373">
        <v>11.99</v>
      </c>
      <c r="K1373" s="1">
        <v>43560</v>
      </c>
      <c r="L1373">
        <v>97.394999999999996</v>
      </c>
    </row>
    <row r="1374" spans="1:12" x14ac:dyDescent="0.25">
      <c r="A1374" s="1">
        <v>43634</v>
      </c>
      <c r="B1374">
        <v>15.15</v>
      </c>
      <c r="C1374" s="1">
        <v>43634</v>
      </c>
      <c r="D1374">
        <v>19.07</v>
      </c>
      <c r="E1374" s="1">
        <v>43578</v>
      </c>
      <c r="F1374">
        <v>49.785200000000003</v>
      </c>
      <c r="G1374" s="1">
        <v>43634</v>
      </c>
      <c r="H1374">
        <v>43.43</v>
      </c>
      <c r="I1374" s="1">
        <v>43634</v>
      </c>
      <c r="J1374">
        <v>12.4</v>
      </c>
      <c r="K1374" s="1">
        <v>43563</v>
      </c>
      <c r="L1374">
        <v>97.05</v>
      </c>
    </row>
    <row r="1375" spans="1:12" x14ac:dyDescent="0.25">
      <c r="A1375" s="1">
        <v>43635</v>
      </c>
      <c r="B1375">
        <v>14.33</v>
      </c>
      <c r="C1375" s="1">
        <v>43635</v>
      </c>
      <c r="D1375">
        <v>18.3</v>
      </c>
      <c r="E1375" s="1">
        <v>43579</v>
      </c>
      <c r="F1375">
        <v>50.523200000000003</v>
      </c>
      <c r="G1375" s="1">
        <v>43635</v>
      </c>
      <c r="H1375">
        <v>40.79</v>
      </c>
      <c r="I1375" s="1">
        <v>43635</v>
      </c>
      <c r="J1375">
        <v>12.41</v>
      </c>
      <c r="K1375" s="1">
        <v>43564</v>
      </c>
      <c r="L1375">
        <v>97.006</v>
      </c>
    </row>
    <row r="1376" spans="1:12" x14ac:dyDescent="0.25">
      <c r="A1376" s="1">
        <v>43636</v>
      </c>
      <c r="B1376">
        <v>14.75</v>
      </c>
      <c r="C1376" s="1">
        <v>43636</v>
      </c>
      <c r="D1376">
        <v>18.010000000000002</v>
      </c>
      <c r="E1376" s="1">
        <v>43580</v>
      </c>
      <c r="F1376">
        <v>49.785800000000002</v>
      </c>
      <c r="G1376" s="1">
        <v>43636</v>
      </c>
      <c r="H1376">
        <v>41.66</v>
      </c>
      <c r="I1376" s="1">
        <v>43636</v>
      </c>
      <c r="J1376">
        <v>15.69</v>
      </c>
      <c r="K1376" s="1">
        <v>43565</v>
      </c>
      <c r="L1376">
        <v>96.945999999999998</v>
      </c>
    </row>
    <row r="1377" spans="1:12" x14ac:dyDescent="0.25">
      <c r="A1377" s="1">
        <v>43637</v>
      </c>
      <c r="B1377">
        <v>15.4</v>
      </c>
      <c r="C1377" s="1">
        <v>43637</v>
      </c>
      <c r="D1377">
        <v>17.91</v>
      </c>
      <c r="E1377" s="1">
        <v>43581</v>
      </c>
      <c r="F1377">
        <v>49.427900000000001</v>
      </c>
      <c r="G1377" s="1">
        <v>43637</v>
      </c>
      <c r="H1377">
        <v>42.13</v>
      </c>
      <c r="I1377" s="1">
        <v>43637</v>
      </c>
      <c r="J1377">
        <v>15.54</v>
      </c>
      <c r="K1377" s="1">
        <v>43566</v>
      </c>
      <c r="L1377">
        <v>97.177000000000007</v>
      </c>
    </row>
    <row r="1378" spans="1:12" x14ac:dyDescent="0.25">
      <c r="A1378" s="1">
        <v>43640</v>
      </c>
      <c r="B1378">
        <v>15.26</v>
      </c>
      <c r="C1378" s="1">
        <v>43640</v>
      </c>
      <c r="D1378">
        <v>18.32</v>
      </c>
      <c r="E1378" s="1">
        <v>43584</v>
      </c>
      <c r="F1378">
        <v>48.052300000000002</v>
      </c>
      <c r="G1378" s="1">
        <v>43640</v>
      </c>
      <c r="H1378">
        <v>41</v>
      </c>
      <c r="I1378" s="1">
        <v>43640</v>
      </c>
      <c r="J1378">
        <v>16.8</v>
      </c>
      <c r="K1378" s="1">
        <v>43567</v>
      </c>
      <c r="L1378">
        <v>96.971999999999994</v>
      </c>
    </row>
    <row r="1379" spans="1:12" x14ac:dyDescent="0.25">
      <c r="A1379" s="1">
        <v>43641</v>
      </c>
      <c r="B1379">
        <v>16.28</v>
      </c>
      <c r="C1379" s="1">
        <v>43641</v>
      </c>
      <c r="D1379">
        <v>19.27</v>
      </c>
      <c r="E1379" s="1">
        <v>43585</v>
      </c>
      <c r="F1379">
        <v>49.4711</v>
      </c>
      <c r="G1379" s="1">
        <v>43641</v>
      </c>
      <c r="H1379">
        <v>40.26</v>
      </c>
      <c r="I1379" s="1">
        <v>43641</v>
      </c>
      <c r="J1379">
        <v>17.079999999999998</v>
      </c>
      <c r="K1379" s="1">
        <v>43570</v>
      </c>
      <c r="L1379">
        <v>96.941999999999993</v>
      </c>
    </row>
    <row r="1380" spans="1:12" x14ac:dyDescent="0.25">
      <c r="A1380" s="1">
        <v>43642</v>
      </c>
      <c r="B1380">
        <v>16.21</v>
      </c>
      <c r="C1380" s="1">
        <v>43642</v>
      </c>
      <c r="D1380">
        <v>19.010000000000002</v>
      </c>
      <c r="E1380" s="1">
        <v>43586</v>
      </c>
      <c r="F1380">
        <v>46.7453</v>
      </c>
      <c r="G1380" s="1">
        <v>43642</v>
      </c>
      <c r="H1380">
        <v>38.450000000000003</v>
      </c>
      <c r="I1380" s="1">
        <v>43642</v>
      </c>
      <c r="J1380">
        <v>15.88</v>
      </c>
      <c r="K1380" s="1">
        <v>43571</v>
      </c>
      <c r="L1380">
        <v>97.043000000000006</v>
      </c>
    </row>
    <row r="1381" spans="1:12" x14ac:dyDescent="0.25">
      <c r="A1381" s="1">
        <v>43643</v>
      </c>
      <c r="B1381">
        <v>15.82</v>
      </c>
      <c r="C1381" s="1">
        <v>43643</v>
      </c>
      <c r="D1381">
        <v>19.37</v>
      </c>
      <c r="E1381" s="1">
        <v>43587</v>
      </c>
      <c r="F1381">
        <v>46.716500000000003</v>
      </c>
      <c r="G1381" s="1">
        <v>43643</v>
      </c>
      <c r="H1381">
        <v>37.840000000000003</v>
      </c>
      <c r="I1381" s="1">
        <v>43643</v>
      </c>
      <c r="J1381">
        <v>15.57</v>
      </c>
      <c r="K1381" s="1">
        <v>43572</v>
      </c>
      <c r="L1381">
        <v>97.009</v>
      </c>
    </row>
    <row r="1382" spans="1:12" x14ac:dyDescent="0.25">
      <c r="A1382" s="1">
        <v>43644</v>
      </c>
      <c r="B1382">
        <v>15.08</v>
      </c>
      <c r="C1382" s="1">
        <v>43644</v>
      </c>
      <c r="D1382">
        <v>19.73</v>
      </c>
      <c r="E1382" s="1">
        <v>43588</v>
      </c>
      <c r="F1382">
        <v>45.7821</v>
      </c>
      <c r="G1382" s="1">
        <v>43644</v>
      </c>
      <c r="H1382">
        <v>39.46</v>
      </c>
      <c r="I1382" s="1">
        <v>43644</v>
      </c>
      <c r="J1382">
        <v>15.99</v>
      </c>
      <c r="K1382" s="1">
        <v>43573</v>
      </c>
      <c r="L1382">
        <v>97.474000000000004</v>
      </c>
    </row>
    <row r="1383" spans="1:12" x14ac:dyDescent="0.25">
      <c r="A1383" s="1">
        <v>43647</v>
      </c>
      <c r="B1383">
        <v>14.06</v>
      </c>
      <c r="C1383" s="1">
        <v>43647</v>
      </c>
      <c r="D1383">
        <v>17.22</v>
      </c>
      <c r="E1383" s="1">
        <v>43591</v>
      </c>
      <c r="F1383">
        <v>47.819299999999998</v>
      </c>
      <c r="G1383" s="1">
        <v>43647</v>
      </c>
      <c r="H1383">
        <v>35.92</v>
      </c>
      <c r="I1383" s="1">
        <v>43647</v>
      </c>
      <c r="J1383">
        <v>14.08</v>
      </c>
      <c r="K1383" s="1">
        <v>43574</v>
      </c>
      <c r="L1383">
        <v>97.378</v>
      </c>
    </row>
    <row r="1384" spans="1:12" x14ac:dyDescent="0.25">
      <c r="A1384" s="1">
        <v>43648</v>
      </c>
      <c r="B1384">
        <v>12.93</v>
      </c>
      <c r="C1384" s="1">
        <v>43648</v>
      </c>
      <c r="D1384">
        <v>16.53</v>
      </c>
      <c r="E1384" s="1">
        <v>43592</v>
      </c>
      <c r="F1384">
        <v>52.360900000000001</v>
      </c>
      <c r="G1384" s="1">
        <v>43648</v>
      </c>
      <c r="H1384">
        <v>37.770000000000003</v>
      </c>
      <c r="I1384" s="1">
        <v>43648</v>
      </c>
      <c r="J1384">
        <v>15.8</v>
      </c>
      <c r="K1384" s="1">
        <v>43577</v>
      </c>
      <c r="L1384">
        <v>97.287000000000006</v>
      </c>
    </row>
    <row r="1385" spans="1:12" x14ac:dyDescent="0.25">
      <c r="A1385" s="1">
        <v>43649</v>
      </c>
      <c r="B1385">
        <v>12.57</v>
      </c>
      <c r="C1385" s="1">
        <v>43649</v>
      </c>
      <c r="D1385">
        <v>16.64</v>
      </c>
      <c r="E1385" s="1">
        <v>43593</v>
      </c>
      <c r="F1385">
        <v>51.308700000000002</v>
      </c>
      <c r="G1385" s="1">
        <v>43649</v>
      </c>
      <c r="H1385">
        <v>36.72</v>
      </c>
      <c r="I1385" s="1">
        <v>43649</v>
      </c>
      <c r="J1385">
        <v>15.89</v>
      </c>
      <c r="K1385" s="1">
        <v>43578</v>
      </c>
      <c r="L1385">
        <v>97.635999999999996</v>
      </c>
    </row>
    <row r="1386" spans="1:12" x14ac:dyDescent="0.25">
      <c r="A1386" s="1">
        <v>43651</v>
      </c>
      <c r="B1386">
        <v>13.28</v>
      </c>
      <c r="C1386" s="1">
        <v>43651</v>
      </c>
      <c r="D1386">
        <v>16.59</v>
      </c>
      <c r="E1386" s="1">
        <v>43594</v>
      </c>
      <c r="F1386">
        <v>54.723500000000001</v>
      </c>
      <c r="G1386" s="1">
        <v>43651</v>
      </c>
      <c r="H1386">
        <v>34.700000000000003</v>
      </c>
      <c r="I1386" s="1">
        <v>43651</v>
      </c>
      <c r="J1386">
        <v>15.07</v>
      </c>
      <c r="K1386" s="1">
        <v>43579</v>
      </c>
      <c r="L1386">
        <v>98.173000000000002</v>
      </c>
    </row>
    <row r="1387" spans="1:12" x14ac:dyDescent="0.25">
      <c r="A1387" s="1">
        <v>43654</v>
      </c>
      <c r="B1387">
        <v>13.96</v>
      </c>
      <c r="C1387" s="1">
        <v>43654</v>
      </c>
      <c r="D1387">
        <v>17.39</v>
      </c>
      <c r="E1387" s="1">
        <v>43595</v>
      </c>
      <c r="F1387">
        <v>53.4923</v>
      </c>
      <c r="G1387" s="1">
        <v>43654</v>
      </c>
      <c r="H1387">
        <v>34</v>
      </c>
      <c r="I1387" s="1">
        <v>43654</v>
      </c>
      <c r="J1387">
        <v>12.99</v>
      </c>
      <c r="K1387" s="1">
        <v>43580</v>
      </c>
      <c r="L1387">
        <v>98.203000000000003</v>
      </c>
    </row>
    <row r="1388" spans="1:12" x14ac:dyDescent="0.25">
      <c r="A1388" s="1">
        <v>43655</v>
      </c>
      <c r="B1388">
        <v>14.09</v>
      </c>
      <c r="C1388" s="1">
        <v>43655</v>
      </c>
      <c r="D1388">
        <v>17.559999999999999</v>
      </c>
      <c r="E1388" s="1">
        <v>43598</v>
      </c>
      <c r="F1388">
        <v>57.893799999999999</v>
      </c>
      <c r="G1388" s="1">
        <v>43655</v>
      </c>
      <c r="H1388">
        <v>30.3</v>
      </c>
      <c r="I1388" s="1">
        <v>43655</v>
      </c>
      <c r="J1388">
        <v>13.45</v>
      </c>
      <c r="K1388" s="1">
        <v>43581</v>
      </c>
      <c r="L1388">
        <v>98.006</v>
      </c>
    </row>
    <row r="1389" spans="1:12" x14ac:dyDescent="0.25">
      <c r="A1389" s="1">
        <v>43656</v>
      </c>
      <c r="B1389">
        <v>13.03</v>
      </c>
      <c r="C1389" s="1">
        <v>43656</v>
      </c>
      <c r="D1389">
        <v>16.649999999999999</v>
      </c>
      <c r="E1389" s="1">
        <v>43599</v>
      </c>
      <c r="F1389">
        <v>55.346200000000003</v>
      </c>
      <c r="G1389" s="1">
        <v>43656</v>
      </c>
      <c r="H1389">
        <v>30.76</v>
      </c>
      <c r="I1389" s="1">
        <v>43656</v>
      </c>
      <c r="J1389">
        <v>15.01</v>
      </c>
      <c r="K1389" s="1">
        <v>43584</v>
      </c>
      <c r="L1389">
        <v>97.856999999999999</v>
      </c>
    </row>
    <row r="1390" spans="1:12" x14ac:dyDescent="0.25">
      <c r="A1390" s="1">
        <v>43657</v>
      </c>
      <c r="B1390">
        <v>12.93</v>
      </c>
      <c r="C1390" s="1">
        <v>43657</v>
      </c>
      <c r="D1390">
        <v>16.46</v>
      </c>
      <c r="E1390" s="1">
        <v>43600</v>
      </c>
      <c r="F1390">
        <v>57.4009</v>
      </c>
      <c r="G1390" s="1">
        <v>43657</v>
      </c>
      <c r="H1390">
        <v>29.86</v>
      </c>
      <c r="I1390" s="1">
        <v>43657</v>
      </c>
      <c r="J1390">
        <v>13.64</v>
      </c>
      <c r="K1390" s="1">
        <v>43585</v>
      </c>
      <c r="L1390">
        <v>97.478999999999999</v>
      </c>
    </row>
    <row r="1391" spans="1:12" x14ac:dyDescent="0.25">
      <c r="A1391" s="1">
        <v>43658</v>
      </c>
      <c r="B1391">
        <v>12.39</v>
      </c>
      <c r="C1391" s="1">
        <v>43658</v>
      </c>
      <c r="D1391">
        <v>15.77</v>
      </c>
      <c r="E1391" s="1">
        <v>43601</v>
      </c>
      <c r="F1391">
        <v>56.9754</v>
      </c>
      <c r="G1391" s="1">
        <v>43658</v>
      </c>
      <c r="H1391">
        <v>30.39</v>
      </c>
      <c r="I1391" s="1">
        <v>43658</v>
      </c>
      <c r="J1391">
        <v>14.65</v>
      </c>
      <c r="K1391" s="1">
        <v>43586</v>
      </c>
      <c r="L1391">
        <v>97.686000000000007</v>
      </c>
    </row>
    <row r="1392" spans="1:12" x14ac:dyDescent="0.25">
      <c r="A1392" s="1">
        <v>43661</v>
      </c>
      <c r="B1392">
        <v>12.68</v>
      </c>
      <c r="C1392" s="1">
        <v>43661</v>
      </c>
      <c r="D1392">
        <v>15.24</v>
      </c>
      <c r="E1392" s="1">
        <v>43602</v>
      </c>
      <c r="F1392">
        <v>56.973199999999999</v>
      </c>
      <c r="G1392" s="1">
        <v>43661</v>
      </c>
      <c r="H1392">
        <v>30.83</v>
      </c>
      <c r="I1392" s="1">
        <v>43661</v>
      </c>
      <c r="J1392">
        <v>14.9</v>
      </c>
      <c r="K1392" s="1">
        <v>43587</v>
      </c>
      <c r="L1392">
        <v>97.831999999999994</v>
      </c>
    </row>
    <row r="1393" spans="1:12" x14ac:dyDescent="0.25">
      <c r="A1393" s="1">
        <v>43662</v>
      </c>
      <c r="B1393">
        <v>12.86</v>
      </c>
      <c r="C1393" s="1">
        <v>43662</v>
      </c>
      <c r="D1393">
        <v>15.61</v>
      </c>
      <c r="E1393" s="1">
        <v>43605</v>
      </c>
      <c r="F1393">
        <v>56.550400000000003</v>
      </c>
      <c r="G1393" s="1">
        <v>43662</v>
      </c>
      <c r="H1393">
        <v>32.06</v>
      </c>
      <c r="I1393" s="1">
        <v>43662</v>
      </c>
      <c r="J1393">
        <v>14.32</v>
      </c>
      <c r="K1393" s="1">
        <v>43588</v>
      </c>
      <c r="L1393">
        <v>97.52</v>
      </c>
    </row>
    <row r="1394" spans="1:12" x14ac:dyDescent="0.25">
      <c r="A1394" s="1">
        <v>43663</v>
      </c>
      <c r="B1394">
        <v>13.97</v>
      </c>
      <c r="C1394" s="1">
        <v>43663</v>
      </c>
      <c r="D1394">
        <v>15.7</v>
      </c>
      <c r="E1394" s="1">
        <v>43606</v>
      </c>
      <c r="F1394">
        <v>55.347299999999997</v>
      </c>
      <c r="G1394" s="1">
        <v>43663</v>
      </c>
      <c r="H1394">
        <v>34.94</v>
      </c>
      <c r="I1394" s="1">
        <v>43663</v>
      </c>
      <c r="J1394">
        <v>16.02</v>
      </c>
      <c r="K1394" s="1">
        <v>43591</v>
      </c>
      <c r="L1394">
        <v>97.515000000000001</v>
      </c>
    </row>
    <row r="1395" spans="1:12" x14ac:dyDescent="0.25">
      <c r="A1395" s="1">
        <v>43664</v>
      </c>
      <c r="B1395">
        <v>13.53</v>
      </c>
      <c r="C1395" s="1">
        <v>43664</v>
      </c>
      <c r="D1395">
        <v>15.84</v>
      </c>
      <c r="E1395" s="1">
        <v>43607</v>
      </c>
      <c r="F1395">
        <v>54.958599999999997</v>
      </c>
      <c r="G1395" s="1">
        <v>43664</v>
      </c>
      <c r="H1395">
        <v>33.07</v>
      </c>
      <c r="I1395" s="1">
        <v>43664</v>
      </c>
      <c r="J1395">
        <v>17.45</v>
      </c>
      <c r="K1395" s="1">
        <v>43592</v>
      </c>
      <c r="L1395">
        <v>97.628</v>
      </c>
    </row>
    <row r="1396" spans="1:12" x14ac:dyDescent="0.25">
      <c r="A1396" s="1">
        <v>43665</v>
      </c>
      <c r="B1396">
        <v>14.45</v>
      </c>
      <c r="C1396" s="1">
        <v>43665</v>
      </c>
      <c r="D1396">
        <v>16.170000000000002</v>
      </c>
      <c r="E1396" s="1">
        <v>43608</v>
      </c>
      <c r="F1396">
        <v>61.066499999999998</v>
      </c>
      <c r="G1396" s="1">
        <v>43665</v>
      </c>
      <c r="H1396">
        <v>34.840000000000003</v>
      </c>
      <c r="I1396" s="1">
        <v>43665</v>
      </c>
      <c r="J1396">
        <v>15.83</v>
      </c>
      <c r="K1396" s="1">
        <v>43593</v>
      </c>
      <c r="L1396">
        <v>97.623000000000005</v>
      </c>
    </row>
    <row r="1397" spans="1:12" x14ac:dyDescent="0.25">
      <c r="A1397" s="1">
        <v>43668</v>
      </c>
      <c r="B1397">
        <v>13.53</v>
      </c>
      <c r="C1397" s="1">
        <v>43668</v>
      </c>
      <c r="D1397">
        <v>16.89</v>
      </c>
      <c r="E1397" s="1">
        <v>43609</v>
      </c>
      <c r="F1397">
        <v>60.5383</v>
      </c>
      <c r="G1397" s="1">
        <v>43668</v>
      </c>
      <c r="H1397">
        <v>33.630000000000003</v>
      </c>
      <c r="I1397" s="1">
        <v>43668</v>
      </c>
      <c r="J1397">
        <v>14.89</v>
      </c>
      <c r="K1397" s="1">
        <v>43594</v>
      </c>
      <c r="L1397">
        <v>97.373000000000005</v>
      </c>
    </row>
    <row r="1398" spans="1:12" x14ac:dyDescent="0.25">
      <c r="A1398" s="1">
        <v>43669</v>
      </c>
      <c r="B1398">
        <v>12.61</v>
      </c>
      <c r="C1398" s="1">
        <v>43669</v>
      </c>
      <c r="D1398">
        <v>16.39</v>
      </c>
      <c r="E1398" s="1">
        <v>43613</v>
      </c>
      <c r="F1398">
        <v>61.7682</v>
      </c>
      <c r="G1398" s="1">
        <v>43669</v>
      </c>
      <c r="H1398">
        <v>32.25</v>
      </c>
      <c r="I1398" s="1">
        <v>43669</v>
      </c>
      <c r="J1398">
        <v>14.28</v>
      </c>
      <c r="K1398" s="1">
        <v>43595</v>
      </c>
      <c r="L1398">
        <v>97.33</v>
      </c>
    </row>
    <row r="1399" spans="1:12" x14ac:dyDescent="0.25">
      <c r="A1399" s="1">
        <v>43670</v>
      </c>
      <c r="B1399">
        <v>12.07</v>
      </c>
      <c r="C1399" s="1">
        <v>43670</v>
      </c>
      <c r="D1399">
        <v>16.22</v>
      </c>
      <c r="E1399" s="1">
        <v>43614</v>
      </c>
      <c r="F1399">
        <v>63.1556</v>
      </c>
      <c r="G1399" s="1">
        <v>43670</v>
      </c>
      <c r="H1399">
        <v>32.86</v>
      </c>
      <c r="I1399" s="1">
        <v>43670</v>
      </c>
      <c r="J1399">
        <v>14.55</v>
      </c>
      <c r="K1399" s="1">
        <v>43598</v>
      </c>
      <c r="L1399">
        <v>97.319000000000003</v>
      </c>
    </row>
    <row r="1400" spans="1:12" x14ac:dyDescent="0.25">
      <c r="A1400" s="1">
        <v>43671</v>
      </c>
      <c r="B1400">
        <v>12.74</v>
      </c>
      <c r="C1400" s="1">
        <v>43671</v>
      </c>
      <c r="D1400">
        <v>16.61</v>
      </c>
      <c r="E1400" s="1">
        <v>43615</v>
      </c>
      <c r="F1400">
        <v>61.742899999999999</v>
      </c>
      <c r="G1400" s="1">
        <v>43671</v>
      </c>
      <c r="H1400">
        <v>31.95</v>
      </c>
      <c r="I1400" s="1">
        <v>43671</v>
      </c>
      <c r="J1400">
        <v>13.54</v>
      </c>
      <c r="K1400" s="1">
        <v>43599</v>
      </c>
      <c r="L1400">
        <v>97.525999999999996</v>
      </c>
    </row>
    <row r="1401" spans="1:12" x14ac:dyDescent="0.25">
      <c r="A1401" s="1">
        <v>43672</v>
      </c>
      <c r="B1401">
        <v>12.16</v>
      </c>
      <c r="C1401" s="1">
        <v>43672</v>
      </c>
      <c r="D1401">
        <v>16.22</v>
      </c>
      <c r="E1401" s="1">
        <v>43616</v>
      </c>
      <c r="F1401">
        <v>72.680999999999997</v>
      </c>
      <c r="G1401" s="1">
        <v>43672</v>
      </c>
      <c r="H1401">
        <v>32.29</v>
      </c>
      <c r="I1401" s="1">
        <v>43672</v>
      </c>
      <c r="J1401">
        <v>12.31</v>
      </c>
      <c r="K1401" s="1">
        <v>43600</v>
      </c>
      <c r="L1401">
        <v>97.569000000000003</v>
      </c>
    </row>
    <row r="1402" spans="1:12" x14ac:dyDescent="0.25">
      <c r="A1402" s="1">
        <v>43675</v>
      </c>
      <c r="B1402">
        <v>12.83</v>
      </c>
      <c r="C1402" s="1">
        <v>43675</v>
      </c>
      <c r="D1402">
        <v>16.61</v>
      </c>
      <c r="E1402" s="1">
        <v>43619</v>
      </c>
      <c r="F1402">
        <v>73.557400000000001</v>
      </c>
      <c r="G1402" s="1">
        <v>43675</v>
      </c>
      <c r="H1402">
        <v>31.63</v>
      </c>
      <c r="I1402" s="1">
        <v>43675</v>
      </c>
      <c r="J1402">
        <v>13.59</v>
      </c>
      <c r="K1402" s="1">
        <v>43601</v>
      </c>
      <c r="L1402">
        <v>97.855000000000004</v>
      </c>
    </row>
    <row r="1403" spans="1:12" x14ac:dyDescent="0.25">
      <c r="A1403" s="1">
        <v>43676</v>
      </c>
      <c r="B1403">
        <v>13.94</v>
      </c>
      <c r="C1403" s="1">
        <v>43676</v>
      </c>
      <c r="D1403">
        <v>17.510000000000002</v>
      </c>
      <c r="E1403" s="1">
        <v>43620</v>
      </c>
      <c r="F1403">
        <v>75.259500000000003</v>
      </c>
      <c r="G1403" s="1">
        <v>43676</v>
      </c>
      <c r="H1403">
        <v>30.07</v>
      </c>
      <c r="I1403" s="1">
        <v>43676</v>
      </c>
      <c r="J1403">
        <v>14.51</v>
      </c>
      <c r="K1403" s="1">
        <v>43602</v>
      </c>
      <c r="L1403">
        <v>97.995000000000005</v>
      </c>
    </row>
    <row r="1404" spans="1:12" x14ac:dyDescent="0.25">
      <c r="A1404" s="1">
        <v>43677</v>
      </c>
      <c r="B1404">
        <v>16.12</v>
      </c>
      <c r="C1404" s="1">
        <v>43677</v>
      </c>
      <c r="D1404">
        <v>17.48</v>
      </c>
      <c r="E1404" s="1">
        <v>43621</v>
      </c>
      <c r="F1404">
        <v>77.639600000000002</v>
      </c>
      <c r="G1404" s="1">
        <v>43677</v>
      </c>
      <c r="H1404">
        <v>30.77</v>
      </c>
      <c r="I1404" s="1">
        <v>43677</v>
      </c>
      <c r="J1404">
        <v>13.21</v>
      </c>
      <c r="K1404" s="1">
        <v>43605</v>
      </c>
      <c r="L1404">
        <v>97.933000000000007</v>
      </c>
    </row>
    <row r="1405" spans="1:12" x14ac:dyDescent="0.25">
      <c r="A1405" s="1">
        <v>43678</v>
      </c>
      <c r="B1405">
        <v>17.87</v>
      </c>
      <c r="C1405" s="1">
        <v>43678</v>
      </c>
      <c r="D1405">
        <v>20.09</v>
      </c>
      <c r="E1405" s="1">
        <v>43622</v>
      </c>
      <c r="F1405">
        <v>73.419300000000007</v>
      </c>
      <c r="G1405" s="1">
        <v>43678</v>
      </c>
      <c r="H1405">
        <v>36.43</v>
      </c>
      <c r="I1405" s="1">
        <v>43678</v>
      </c>
      <c r="J1405">
        <v>16.010000000000002</v>
      </c>
      <c r="K1405" s="1">
        <v>43606</v>
      </c>
      <c r="L1405">
        <v>98.061999999999998</v>
      </c>
    </row>
    <row r="1406" spans="1:12" x14ac:dyDescent="0.25">
      <c r="A1406" s="1">
        <v>43679</v>
      </c>
      <c r="B1406">
        <v>17.61</v>
      </c>
      <c r="C1406" s="1">
        <v>43679</v>
      </c>
      <c r="D1406">
        <v>20.53</v>
      </c>
      <c r="E1406" s="1">
        <v>43623</v>
      </c>
      <c r="F1406">
        <v>68.692800000000005</v>
      </c>
      <c r="G1406" s="1">
        <v>43679</v>
      </c>
      <c r="H1406">
        <v>35.56</v>
      </c>
      <c r="I1406" s="1">
        <v>43679</v>
      </c>
      <c r="J1406">
        <v>15</v>
      </c>
      <c r="K1406" s="1">
        <v>43607</v>
      </c>
      <c r="L1406">
        <v>98.040999999999997</v>
      </c>
    </row>
    <row r="1407" spans="1:12" x14ac:dyDescent="0.25">
      <c r="A1407" s="1">
        <v>43682</v>
      </c>
      <c r="B1407">
        <v>24.59</v>
      </c>
      <c r="C1407" s="1">
        <v>43682</v>
      </c>
      <c r="D1407">
        <v>26.5</v>
      </c>
      <c r="E1407" s="1">
        <v>43626</v>
      </c>
      <c r="F1407">
        <v>65.623699999999999</v>
      </c>
      <c r="G1407" s="1">
        <v>43682</v>
      </c>
      <c r="H1407">
        <v>37.04</v>
      </c>
      <c r="I1407" s="1">
        <v>43682</v>
      </c>
      <c r="J1407">
        <v>16.91</v>
      </c>
      <c r="K1407" s="1">
        <v>43608</v>
      </c>
      <c r="L1407">
        <v>97.855999999999995</v>
      </c>
    </row>
    <row r="1408" spans="1:12" x14ac:dyDescent="0.25">
      <c r="A1408" s="1">
        <v>43683</v>
      </c>
      <c r="B1408">
        <v>20.170000000000002</v>
      </c>
      <c r="C1408" s="1">
        <v>43683</v>
      </c>
      <c r="D1408">
        <v>24.27</v>
      </c>
      <c r="E1408" s="1">
        <v>43627</v>
      </c>
      <c r="F1408">
        <v>64.928799999999995</v>
      </c>
      <c r="G1408" s="1">
        <v>43683</v>
      </c>
      <c r="H1408">
        <v>36.43</v>
      </c>
      <c r="I1408" s="1">
        <v>43683</v>
      </c>
      <c r="J1408">
        <v>16.02</v>
      </c>
      <c r="K1408" s="1">
        <v>43609</v>
      </c>
      <c r="L1408">
        <v>97.613</v>
      </c>
    </row>
    <row r="1409" spans="1:12" x14ac:dyDescent="0.25">
      <c r="A1409" s="1">
        <v>43684</v>
      </c>
      <c r="B1409">
        <v>19.489999999999998</v>
      </c>
      <c r="C1409" s="1">
        <v>43684</v>
      </c>
      <c r="D1409">
        <v>24.09</v>
      </c>
      <c r="E1409" s="1">
        <v>43628</v>
      </c>
      <c r="F1409">
        <v>68.425799999999995</v>
      </c>
      <c r="G1409" s="1">
        <v>43684</v>
      </c>
      <c r="H1409">
        <v>38.1</v>
      </c>
      <c r="I1409" s="1">
        <v>43684</v>
      </c>
      <c r="J1409">
        <v>18.16</v>
      </c>
      <c r="K1409" s="1">
        <v>43612</v>
      </c>
      <c r="L1409">
        <v>97.613</v>
      </c>
    </row>
    <row r="1410" spans="1:12" x14ac:dyDescent="0.25">
      <c r="A1410" s="1">
        <v>43685</v>
      </c>
      <c r="B1410">
        <v>16.91</v>
      </c>
      <c r="C1410" s="1">
        <v>43685</v>
      </c>
      <c r="D1410">
        <v>20.58</v>
      </c>
      <c r="E1410" s="1">
        <v>43629</v>
      </c>
      <c r="F1410">
        <v>75.738200000000006</v>
      </c>
      <c r="G1410" s="1">
        <v>43685</v>
      </c>
      <c r="H1410">
        <v>35.979999999999997</v>
      </c>
      <c r="I1410" s="1">
        <v>43685</v>
      </c>
      <c r="J1410">
        <v>17.53</v>
      </c>
      <c r="K1410" s="1">
        <v>43613</v>
      </c>
      <c r="L1410">
        <v>97.951999999999998</v>
      </c>
    </row>
    <row r="1411" spans="1:12" x14ac:dyDescent="0.25">
      <c r="A1411" s="1">
        <v>43686</v>
      </c>
      <c r="B1411">
        <v>17.97</v>
      </c>
      <c r="C1411" s="1">
        <v>43686</v>
      </c>
      <c r="D1411">
        <v>21.14</v>
      </c>
      <c r="E1411" s="1">
        <v>43630</v>
      </c>
      <c r="F1411">
        <v>80.820300000000003</v>
      </c>
      <c r="G1411" s="1">
        <v>43686</v>
      </c>
      <c r="H1411">
        <v>35.14</v>
      </c>
      <c r="I1411" s="1">
        <v>43686</v>
      </c>
      <c r="J1411">
        <v>16.64</v>
      </c>
      <c r="K1411" s="1">
        <v>43614</v>
      </c>
      <c r="L1411">
        <v>98.144000000000005</v>
      </c>
    </row>
    <row r="1412" spans="1:12" x14ac:dyDescent="0.25">
      <c r="A1412" s="1">
        <v>43689</v>
      </c>
      <c r="B1412">
        <v>21.09</v>
      </c>
      <c r="C1412" s="1">
        <v>43689</v>
      </c>
      <c r="D1412">
        <v>23.69</v>
      </c>
      <c r="E1412" s="1">
        <v>43633</v>
      </c>
      <c r="F1412">
        <v>76.875100000000003</v>
      </c>
      <c r="G1412" s="1">
        <v>43689</v>
      </c>
      <c r="H1412">
        <v>34.43</v>
      </c>
      <c r="I1412" s="1">
        <v>43689</v>
      </c>
      <c r="J1412">
        <v>18.46</v>
      </c>
      <c r="K1412" s="1">
        <v>43615</v>
      </c>
      <c r="L1412">
        <v>98.141999999999996</v>
      </c>
    </row>
    <row r="1413" spans="1:12" x14ac:dyDescent="0.25">
      <c r="A1413" s="1">
        <v>43690</v>
      </c>
      <c r="B1413">
        <v>17.52</v>
      </c>
      <c r="C1413" s="1">
        <v>43690</v>
      </c>
      <c r="D1413">
        <v>23.05</v>
      </c>
      <c r="E1413" s="1">
        <v>43634</v>
      </c>
      <c r="F1413">
        <v>76.736500000000007</v>
      </c>
      <c r="G1413" s="1">
        <v>43690</v>
      </c>
      <c r="H1413">
        <v>33.19</v>
      </c>
      <c r="I1413" s="1">
        <v>43690</v>
      </c>
      <c r="J1413">
        <v>17.920000000000002</v>
      </c>
      <c r="K1413" s="1">
        <v>43616</v>
      </c>
      <c r="L1413">
        <v>97.75</v>
      </c>
    </row>
    <row r="1414" spans="1:12" x14ac:dyDescent="0.25">
      <c r="A1414" s="1">
        <v>43691</v>
      </c>
      <c r="B1414">
        <v>22.1</v>
      </c>
      <c r="C1414" s="1">
        <v>43691</v>
      </c>
      <c r="D1414">
        <v>26.45</v>
      </c>
      <c r="E1414" s="1">
        <v>43635</v>
      </c>
      <c r="F1414">
        <v>71.366100000000003</v>
      </c>
      <c r="G1414" s="1">
        <v>43691</v>
      </c>
      <c r="H1414">
        <v>35.83</v>
      </c>
      <c r="I1414" s="1">
        <v>43691</v>
      </c>
      <c r="J1414">
        <v>18.190000000000001</v>
      </c>
      <c r="K1414" s="1">
        <v>43619</v>
      </c>
      <c r="L1414">
        <v>97.141999999999996</v>
      </c>
    </row>
    <row r="1415" spans="1:12" x14ac:dyDescent="0.25">
      <c r="A1415" s="1">
        <v>43692</v>
      </c>
      <c r="B1415">
        <v>21.18</v>
      </c>
      <c r="C1415" s="1">
        <v>43692</v>
      </c>
      <c r="D1415">
        <v>25.17</v>
      </c>
      <c r="E1415" s="1">
        <v>43636</v>
      </c>
      <c r="F1415">
        <v>72.365700000000004</v>
      </c>
      <c r="G1415" s="1">
        <v>43692</v>
      </c>
      <c r="H1415">
        <v>36.200000000000003</v>
      </c>
      <c r="I1415" s="1">
        <v>43692</v>
      </c>
      <c r="J1415">
        <v>18.72</v>
      </c>
      <c r="K1415" s="1">
        <v>43620</v>
      </c>
      <c r="L1415">
        <v>97.072000000000003</v>
      </c>
    </row>
    <row r="1416" spans="1:12" x14ac:dyDescent="0.25">
      <c r="A1416" s="1">
        <v>43693</v>
      </c>
      <c r="B1416">
        <v>18.47</v>
      </c>
      <c r="C1416" s="1">
        <v>43693</v>
      </c>
      <c r="D1416">
        <v>23.29</v>
      </c>
      <c r="E1416" s="1">
        <v>43637</v>
      </c>
      <c r="F1416">
        <v>74.626900000000006</v>
      </c>
      <c r="G1416" s="1">
        <v>43693</v>
      </c>
      <c r="H1416">
        <v>35.020000000000003</v>
      </c>
      <c r="I1416" s="1">
        <v>43693</v>
      </c>
      <c r="J1416">
        <v>16.86</v>
      </c>
      <c r="K1416" s="1">
        <v>43621</v>
      </c>
      <c r="L1416">
        <v>97.32</v>
      </c>
    </row>
    <row r="1417" spans="1:12" x14ac:dyDescent="0.25">
      <c r="A1417" s="1">
        <v>43696</v>
      </c>
      <c r="B1417">
        <v>16.88</v>
      </c>
      <c r="C1417" s="1">
        <v>43696</v>
      </c>
      <c r="D1417">
        <v>20.53</v>
      </c>
      <c r="E1417" s="1">
        <v>43640</v>
      </c>
      <c r="F1417">
        <v>73.760300000000001</v>
      </c>
      <c r="G1417" s="1">
        <v>43696</v>
      </c>
      <c r="H1417">
        <v>32.99</v>
      </c>
      <c r="I1417" s="1">
        <v>43696</v>
      </c>
      <c r="J1417">
        <v>14.94</v>
      </c>
      <c r="K1417" s="1">
        <v>43622</v>
      </c>
      <c r="L1417">
        <v>97.043999999999997</v>
      </c>
    </row>
    <row r="1418" spans="1:12" x14ac:dyDescent="0.25">
      <c r="A1418" s="1">
        <v>43697</v>
      </c>
      <c r="B1418">
        <v>17.5</v>
      </c>
      <c r="C1418" s="1">
        <v>43697</v>
      </c>
      <c r="D1418">
        <v>19.920000000000002</v>
      </c>
      <c r="E1418" s="1">
        <v>43641</v>
      </c>
      <c r="F1418">
        <v>74.224599999999995</v>
      </c>
      <c r="G1418" s="1">
        <v>43697</v>
      </c>
      <c r="H1418">
        <v>32.340000000000003</v>
      </c>
      <c r="I1418" s="1">
        <v>43697</v>
      </c>
      <c r="J1418">
        <v>15.42</v>
      </c>
      <c r="K1418" s="1">
        <v>43623</v>
      </c>
      <c r="L1418">
        <v>96.543999999999997</v>
      </c>
    </row>
    <row r="1419" spans="1:12" x14ac:dyDescent="0.25">
      <c r="A1419" s="1">
        <v>43698</v>
      </c>
      <c r="B1419">
        <v>15.8</v>
      </c>
      <c r="C1419" s="1">
        <v>43698</v>
      </c>
      <c r="D1419">
        <v>19.03</v>
      </c>
      <c r="E1419" s="1">
        <v>43642</v>
      </c>
      <c r="F1419">
        <v>73.734399999999994</v>
      </c>
      <c r="G1419" s="1">
        <v>43698</v>
      </c>
      <c r="H1419">
        <v>32.39</v>
      </c>
      <c r="I1419" s="1">
        <v>43698</v>
      </c>
      <c r="J1419">
        <v>15.13</v>
      </c>
      <c r="K1419" s="1">
        <v>43626</v>
      </c>
      <c r="L1419">
        <v>96.760999999999996</v>
      </c>
    </row>
    <row r="1420" spans="1:12" x14ac:dyDescent="0.25">
      <c r="A1420" s="1">
        <v>43699</v>
      </c>
      <c r="B1420">
        <v>16.68</v>
      </c>
      <c r="C1420" s="1">
        <v>43699</v>
      </c>
      <c r="D1420">
        <v>19.61</v>
      </c>
      <c r="E1420" s="1">
        <v>43643</v>
      </c>
      <c r="F1420">
        <v>69.915400000000005</v>
      </c>
      <c r="G1420" s="1">
        <v>43699</v>
      </c>
      <c r="H1420">
        <v>32.39</v>
      </c>
      <c r="I1420" s="1">
        <v>43699</v>
      </c>
      <c r="J1420">
        <v>15.35</v>
      </c>
      <c r="K1420" s="1">
        <v>43627</v>
      </c>
      <c r="L1420">
        <v>96.686000000000007</v>
      </c>
    </row>
    <row r="1421" spans="1:12" x14ac:dyDescent="0.25">
      <c r="A1421" s="1">
        <v>43700</v>
      </c>
      <c r="B1421">
        <v>19.87</v>
      </c>
      <c r="C1421" s="1">
        <v>43700</v>
      </c>
      <c r="D1421">
        <v>23.18</v>
      </c>
      <c r="E1421" s="1">
        <v>43644</v>
      </c>
      <c r="F1421">
        <v>70.433899999999994</v>
      </c>
      <c r="G1421" s="1">
        <v>43700</v>
      </c>
      <c r="H1421">
        <v>35.200000000000003</v>
      </c>
      <c r="I1421" s="1">
        <v>43700</v>
      </c>
      <c r="J1421">
        <v>18.36</v>
      </c>
      <c r="K1421" s="1">
        <v>43628</v>
      </c>
      <c r="L1421">
        <v>97</v>
      </c>
    </row>
    <row r="1422" spans="1:12" x14ac:dyDescent="0.25">
      <c r="A1422" s="1">
        <v>43703</v>
      </c>
      <c r="B1422">
        <v>19.32</v>
      </c>
      <c r="C1422" s="1">
        <v>43703</v>
      </c>
      <c r="D1422">
        <v>22.71</v>
      </c>
      <c r="E1422" s="1">
        <v>43647</v>
      </c>
      <c r="F1422">
        <v>66.529600000000002</v>
      </c>
      <c r="G1422" s="1">
        <v>43703</v>
      </c>
      <c r="H1422">
        <v>35.42</v>
      </c>
      <c r="I1422" s="1">
        <v>43703</v>
      </c>
      <c r="J1422">
        <v>17.54</v>
      </c>
      <c r="K1422" s="1">
        <v>43629</v>
      </c>
      <c r="L1422">
        <v>97.013000000000005</v>
      </c>
    </row>
    <row r="1423" spans="1:12" x14ac:dyDescent="0.25">
      <c r="A1423" s="1">
        <v>43704</v>
      </c>
      <c r="B1423">
        <v>20.309999999999999</v>
      </c>
      <c r="C1423" s="1">
        <v>43704</v>
      </c>
      <c r="D1423">
        <v>22.24</v>
      </c>
      <c r="E1423" s="1">
        <v>43648</v>
      </c>
      <c r="F1423">
        <v>68.599699999999999</v>
      </c>
      <c r="G1423" s="1">
        <v>43704</v>
      </c>
      <c r="H1423">
        <v>33.729999999999997</v>
      </c>
      <c r="I1423" s="1">
        <v>43704</v>
      </c>
      <c r="J1423">
        <v>17.34</v>
      </c>
      <c r="K1423" s="1">
        <v>43630</v>
      </c>
      <c r="L1423">
        <v>97.572000000000003</v>
      </c>
    </row>
    <row r="1424" spans="1:12" x14ac:dyDescent="0.25">
      <c r="A1424" s="1">
        <v>43705</v>
      </c>
      <c r="B1424">
        <v>19.350000000000001</v>
      </c>
      <c r="C1424" s="1">
        <v>43705</v>
      </c>
      <c r="D1424">
        <v>21.38</v>
      </c>
      <c r="E1424" s="1">
        <v>43649</v>
      </c>
      <c r="F1424">
        <v>68.325999999999993</v>
      </c>
      <c r="G1424" s="1">
        <v>43705</v>
      </c>
      <c r="H1424">
        <v>32.72</v>
      </c>
      <c r="I1424" s="1">
        <v>43705</v>
      </c>
      <c r="J1424">
        <v>16.829999999999998</v>
      </c>
      <c r="K1424" s="1">
        <v>43633</v>
      </c>
      <c r="L1424">
        <v>97.558000000000007</v>
      </c>
    </row>
    <row r="1425" spans="1:12" x14ac:dyDescent="0.25">
      <c r="A1425" s="1">
        <v>43706</v>
      </c>
      <c r="B1425">
        <v>17.88</v>
      </c>
      <c r="C1425" s="1">
        <v>43706</v>
      </c>
      <c r="D1425">
        <v>19.93</v>
      </c>
      <c r="E1425" s="1">
        <v>43651</v>
      </c>
      <c r="F1425">
        <v>65.277299999999997</v>
      </c>
      <c r="G1425" s="1">
        <v>43706</v>
      </c>
      <c r="H1425">
        <v>31.82</v>
      </c>
      <c r="I1425" s="1">
        <v>43706</v>
      </c>
      <c r="J1425">
        <v>16.309999999999999</v>
      </c>
      <c r="K1425" s="1">
        <v>43634</v>
      </c>
      <c r="L1425">
        <v>97.644000000000005</v>
      </c>
    </row>
    <row r="1426" spans="1:12" x14ac:dyDescent="0.25">
      <c r="A1426" s="1">
        <v>43707</v>
      </c>
      <c r="B1426">
        <v>18.98</v>
      </c>
      <c r="C1426" s="1">
        <v>43707</v>
      </c>
      <c r="D1426">
        <v>19.72</v>
      </c>
      <c r="E1426" s="1">
        <v>43654</v>
      </c>
      <c r="F1426">
        <v>63.218800000000002</v>
      </c>
      <c r="G1426" s="1">
        <v>43707</v>
      </c>
      <c r="H1426">
        <v>32.159999999999997</v>
      </c>
      <c r="I1426" s="1">
        <v>43707</v>
      </c>
      <c r="J1426">
        <v>15.45</v>
      </c>
      <c r="K1426" s="1">
        <v>43635</v>
      </c>
      <c r="L1426">
        <v>97.117000000000004</v>
      </c>
    </row>
    <row r="1427" spans="1:12" x14ac:dyDescent="0.25">
      <c r="A1427" s="1">
        <v>43711</v>
      </c>
      <c r="B1427">
        <v>19.66</v>
      </c>
      <c r="C1427" s="1">
        <v>43711</v>
      </c>
      <c r="D1427">
        <v>20.92</v>
      </c>
      <c r="E1427" s="1">
        <v>43655</v>
      </c>
      <c r="F1427">
        <v>62.900199999999998</v>
      </c>
      <c r="G1427" s="1">
        <v>43711</v>
      </c>
      <c r="H1427">
        <v>35.729999999999997</v>
      </c>
      <c r="I1427" s="1">
        <v>43711</v>
      </c>
      <c r="J1427">
        <v>16.86</v>
      </c>
      <c r="K1427" s="1">
        <v>43636</v>
      </c>
      <c r="L1427">
        <v>96.629000000000005</v>
      </c>
    </row>
    <row r="1428" spans="1:12" x14ac:dyDescent="0.25">
      <c r="A1428" s="1">
        <v>43712</v>
      </c>
      <c r="B1428">
        <v>17.329999999999998</v>
      </c>
      <c r="C1428" s="1">
        <v>43712</v>
      </c>
      <c r="D1428">
        <v>19.489999999999998</v>
      </c>
      <c r="E1428" s="1">
        <v>43656</v>
      </c>
      <c r="F1428">
        <v>62.388399999999997</v>
      </c>
      <c r="G1428" s="1">
        <v>43712</v>
      </c>
      <c r="H1428">
        <v>34.56</v>
      </c>
      <c r="I1428" s="1">
        <v>43712</v>
      </c>
      <c r="J1428">
        <v>17.27</v>
      </c>
      <c r="K1428" s="1">
        <v>43637</v>
      </c>
      <c r="L1428">
        <v>96.22</v>
      </c>
    </row>
    <row r="1429" spans="1:12" x14ac:dyDescent="0.25">
      <c r="A1429" s="1">
        <v>43713</v>
      </c>
      <c r="B1429">
        <v>16.27</v>
      </c>
      <c r="C1429" s="1">
        <v>43713</v>
      </c>
      <c r="D1429">
        <v>17.86</v>
      </c>
      <c r="E1429" s="1">
        <v>43657</v>
      </c>
      <c r="F1429">
        <v>62.956299999999999</v>
      </c>
      <c r="G1429" s="1">
        <v>43713</v>
      </c>
      <c r="H1429">
        <v>33.5</v>
      </c>
      <c r="I1429" s="1">
        <v>43713</v>
      </c>
      <c r="J1429">
        <v>15.72</v>
      </c>
      <c r="K1429" s="1">
        <v>43640</v>
      </c>
      <c r="L1429">
        <v>95.98</v>
      </c>
    </row>
    <row r="1430" spans="1:12" x14ac:dyDescent="0.25">
      <c r="A1430" s="1">
        <v>43714</v>
      </c>
      <c r="B1430">
        <v>15</v>
      </c>
      <c r="C1430" s="1">
        <v>43714</v>
      </c>
      <c r="D1430">
        <v>17.48</v>
      </c>
      <c r="E1430" s="1">
        <v>43658</v>
      </c>
      <c r="F1430">
        <v>62.776600000000002</v>
      </c>
      <c r="G1430" s="1">
        <v>43714</v>
      </c>
      <c r="H1430">
        <v>33.21</v>
      </c>
      <c r="I1430" s="1">
        <v>43714</v>
      </c>
      <c r="J1430">
        <v>14.75</v>
      </c>
      <c r="K1430" s="1">
        <v>43641</v>
      </c>
      <c r="L1430">
        <v>96.14</v>
      </c>
    </row>
    <row r="1431" spans="1:12" x14ac:dyDescent="0.25">
      <c r="A1431" s="1">
        <v>43717</v>
      </c>
      <c r="B1431">
        <v>15.27</v>
      </c>
      <c r="C1431" s="1">
        <v>43717</v>
      </c>
      <c r="D1431">
        <v>17.559999999999999</v>
      </c>
      <c r="E1431" s="1">
        <v>43661</v>
      </c>
      <c r="F1431">
        <v>61.895699999999998</v>
      </c>
      <c r="G1431" s="1">
        <v>43717</v>
      </c>
      <c r="H1431">
        <v>33.28</v>
      </c>
      <c r="I1431" s="1">
        <v>43717</v>
      </c>
      <c r="J1431">
        <v>14.76</v>
      </c>
      <c r="K1431" s="1">
        <v>43642</v>
      </c>
      <c r="L1431">
        <v>96.213999999999999</v>
      </c>
    </row>
    <row r="1432" spans="1:12" x14ac:dyDescent="0.25">
      <c r="A1432" s="1">
        <v>43718</v>
      </c>
      <c r="B1432">
        <v>15.2</v>
      </c>
      <c r="C1432" s="1">
        <v>43718</v>
      </c>
      <c r="D1432">
        <v>17.73</v>
      </c>
      <c r="E1432" s="1">
        <v>43662</v>
      </c>
      <c r="F1432">
        <v>61.2943</v>
      </c>
      <c r="G1432" s="1">
        <v>43718</v>
      </c>
      <c r="H1432">
        <v>33.549999999999997</v>
      </c>
      <c r="I1432" s="1">
        <v>43718</v>
      </c>
      <c r="J1432">
        <v>14.62</v>
      </c>
      <c r="K1432" s="1">
        <v>43643</v>
      </c>
      <c r="L1432">
        <v>96.194000000000003</v>
      </c>
    </row>
    <row r="1433" spans="1:12" x14ac:dyDescent="0.25">
      <c r="A1433" s="1">
        <v>43719</v>
      </c>
      <c r="B1433">
        <v>14.61</v>
      </c>
      <c r="C1433" s="1">
        <v>43719</v>
      </c>
      <c r="D1433">
        <v>17.25</v>
      </c>
      <c r="E1433" s="1">
        <v>43663</v>
      </c>
      <c r="F1433">
        <v>62.2913</v>
      </c>
      <c r="G1433" s="1">
        <v>43719</v>
      </c>
      <c r="H1433">
        <v>34.94</v>
      </c>
      <c r="I1433" s="1">
        <v>43719</v>
      </c>
      <c r="J1433">
        <v>14.95</v>
      </c>
      <c r="K1433" s="1">
        <v>43644</v>
      </c>
      <c r="L1433">
        <v>96.13</v>
      </c>
    </row>
    <row r="1434" spans="1:12" x14ac:dyDescent="0.25">
      <c r="A1434" s="1">
        <v>43720</v>
      </c>
      <c r="B1434">
        <v>14.22</v>
      </c>
      <c r="C1434" s="1">
        <v>43720</v>
      </c>
      <c r="D1434">
        <v>16.559999999999999</v>
      </c>
      <c r="E1434" s="1">
        <v>43664</v>
      </c>
      <c r="F1434">
        <v>63.119599999999998</v>
      </c>
      <c r="G1434" s="1">
        <v>43720</v>
      </c>
      <c r="H1434">
        <v>35.58</v>
      </c>
      <c r="I1434" s="1">
        <v>43720</v>
      </c>
      <c r="J1434">
        <v>15.07</v>
      </c>
      <c r="K1434" s="1">
        <v>43647</v>
      </c>
      <c r="L1434">
        <v>96.843999999999994</v>
      </c>
    </row>
    <row r="1435" spans="1:12" x14ac:dyDescent="0.25">
      <c r="A1435" s="1">
        <v>43721</v>
      </c>
      <c r="B1435">
        <v>13.74</v>
      </c>
      <c r="C1435" s="1">
        <v>43721</v>
      </c>
      <c r="D1435">
        <v>16.28</v>
      </c>
      <c r="E1435" s="1">
        <v>43665</v>
      </c>
      <c r="F1435">
        <v>63.864899999999999</v>
      </c>
      <c r="G1435" s="1">
        <v>43721</v>
      </c>
      <c r="H1435">
        <v>35.479999999999997</v>
      </c>
      <c r="I1435" s="1">
        <v>43721</v>
      </c>
      <c r="J1435">
        <v>14.94</v>
      </c>
      <c r="K1435" s="1">
        <v>43648</v>
      </c>
      <c r="L1435">
        <v>96.725999999999999</v>
      </c>
    </row>
    <row r="1436" spans="1:12" x14ac:dyDescent="0.25">
      <c r="A1436" s="1">
        <v>43724</v>
      </c>
      <c r="B1436">
        <v>14.67</v>
      </c>
      <c r="C1436" s="1">
        <v>43724</v>
      </c>
      <c r="D1436">
        <v>17.2</v>
      </c>
      <c r="E1436" s="1">
        <v>43668</v>
      </c>
      <c r="F1436">
        <v>60.973999999999997</v>
      </c>
      <c r="G1436" s="1">
        <v>43724</v>
      </c>
      <c r="H1436">
        <v>48.58</v>
      </c>
      <c r="I1436" s="1">
        <v>43724</v>
      </c>
      <c r="J1436">
        <v>16.07</v>
      </c>
      <c r="K1436" s="1">
        <v>43649</v>
      </c>
      <c r="L1436">
        <v>96.768000000000001</v>
      </c>
    </row>
    <row r="1437" spans="1:12" x14ac:dyDescent="0.25">
      <c r="A1437" s="1">
        <v>43725</v>
      </c>
      <c r="B1437">
        <v>14.44</v>
      </c>
      <c r="C1437" s="1">
        <v>43725</v>
      </c>
      <c r="D1437">
        <v>17.02</v>
      </c>
      <c r="E1437" s="1">
        <v>43669</v>
      </c>
      <c r="F1437">
        <v>61.225999999999999</v>
      </c>
      <c r="G1437" s="1">
        <v>43725</v>
      </c>
      <c r="H1437">
        <v>44.89</v>
      </c>
      <c r="I1437" s="1">
        <v>43725</v>
      </c>
      <c r="J1437">
        <v>15.91</v>
      </c>
      <c r="K1437" s="1">
        <v>43650</v>
      </c>
      <c r="L1437">
        <v>96.768000000000001</v>
      </c>
    </row>
    <row r="1438" spans="1:12" x14ac:dyDescent="0.25">
      <c r="A1438" s="1">
        <v>43726</v>
      </c>
      <c r="B1438">
        <v>13.95</v>
      </c>
      <c r="C1438" s="1">
        <v>43726</v>
      </c>
      <c r="D1438">
        <v>17.23</v>
      </c>
      <c r="E1438" s="1">
        <v>43670</v>
      </c>
      <c r="F1438">
        <v>60.712699999999998</v>
      </c>
      <c r="G1438" s="1">
        <v>43726</v>
      </c>
      <c r="H1438">
        <v>40.44</v>
      </c>
      <c r="I1438" s="1">
        <v>43726</v>
      </c>
      <c r="J1438">
        <v>15.1</v>
      </c>
      <c r="K1438" s="1">
        <v>43651</v>
      </c>
      <c r="L1438">
        <v>97.286000000000001</v>
      </c>
    </row>
    <row r="1439" spans="1:12" x14ac:dyDescent="0.25">
      <c r="A1439" s="1">
        <v>43727</v>
      </c>
      <c r="B1439">
        <v>14.05</v>
      </c>
      <c r="C1439" s="1">
        <v>43727</v>
      </c>
      <c r="D1439">
        <v>17.100000000000001</v>
      </c>
      <c r="E1439" s="1">
        <v>43671</v>
      </c>
      <c r="F1439">
        <v>60.9893</v>
      </c>
      <c r="G1439" s="1">
        <v>43727</v>
      </c>
      <c r="H1439">
        <v>41.15</v>
      </c>
      <c r="I1439" s="1">
        <v>43727</v>
      </c>
      <c r="J1439">
        <v>15.13</v>
      </c>
      <c r="K1439" s="1">
        <v>43654</v>
      </c>
      <c r="L1439">
        <v>97.384</v>
      </c>
    </row>
    <row r="1440" spans="1:12" x14ac:dyDescent="0.25">
      <c r="A1440" s="1">
        <v>43728</v>
      </c>
      <c r="B1440">
        <v>15.32</v>
      </c>
      <c r="C1440" s="1">
        <v>43728</v>
      </c>
      <c r="D1440">
        <v>16.37</v>
      </c>
      <c r="E1440" s="1">
        <v>43672</v>
      </c>
      <c r="F1440">
        <v>58.900799999999997</v>
      </c>
      <c r="G1440" s="1">
        <v>43728</v>
      </c>
      <c r="H1440">
        <v>38.99</v>
      </c>
      <c r="I1440" s="1">
        <v>43728</v>
      </c>
      <c r="J1440">
        <v>16.79</v>
      </c>
      <c r="K1440" s="1">
        <v>43655</v>
      </c>
      <c r="L1440">
        <v>97.489000000000004</v>
      </c>
    </row>
    <row r="1441" spans="1:12" x14ac:dyDescent="0.25">
      <c r="A1441" s="1">
        <v>43731</v>
      </c>
      <c r="B1441">
        <v>14.91</v>
      </c>
      <c r="C1441" s="1">
        <v>43731</v>
      </c>
      <c r="D1441">
        <v>16.579999999999998</v>
      </c>
      <c r="E1441" s="1">
        <v>43675</v>
      </c>
      <c r="F1441">
        <v>58.546300000000002</v>
      </c>
      <c r="G1441" s="1">
        <v>43731</v>
      </c>
      <c r="H1441">
        <v>39.06</v>
      </c>
      <c r="I1441" s="1">
        <v>43731</v>
      </c>
      <c r="J1441">
        <v>16.79</v>
      </c>
      <c r="K1441" s="1">
        <v>43656</v>
      </c>
      <c r="L1441">
        <v>97.103999999999999</v>
      </c>
    </row>
    <row r="1442" spans="1:12" x14ac:dyDescent="0.25">
      <c r="A1442" s="1">
        <v>43732</v>
      </c>
      <c r="B1442">
        <v>17.05</v>
      </c>
      <c r="C1442" s="1">
        <v>43732</v>
      </c>
      <c r="D1442">
        <v>18.66</v>
      </c>
      <c r="E1442" s="1">
        <v>43676</v>
      </c>
      <c r="F1442">
        <v>57.843000000000004</v>
      </c>
      <c r="G1442" s="1">
        <v>43732</v>
      </c>
      <c r="H1442">
        <v>38.74</v>
      </c>
      <c r="I1442" s="1">
        <v>43732</v>
      </c>
      <c r="J1442">
        <v>17.22</v>
      </c>
      <c r="K1442" s="1">
        <v>43657</v>
      </c>
      <c r="L1442">
        <v>97.05</v>
      </c>
    </row>
    <row r="1443" spans="1:12" x14ac:dyDescent="0.25">
      <c r="A1443" s="1">
        <v>43733</v>
      </c>
      <c r="B1443">
        <v>15.96</v>
      </c>
      <c r="C1443" s="1">
        <v>43733</v>
      </c>
      <c r="D1443">
        <v>18.559999999999999</v>
      </c>
      <c r="E1443" s="1">
        <v>43677</v>
      </c>
      <c r="F1443">
        <v>55.2468</v>
      </c>
      <c r="G1443" s="1">
        <v>43733</v>
      </c>
      <c r="H1443">
        <v>38.369999999999997</v>
      </c>
      <c r="I1443" s="1">
        <v>43733</v>
      </c>
      <c r="J1443">
        <v>15.62</v>
      </c>
      <c r="K1443" s="1">
        <v>43658</v>
      </c>
      <c r="L1443">
        <v>96.81</v>
      </c>
    </row>
    <row r="1444" spans="1:12" x14ac:dyDescent="0.25">
      <c r="A1444" s="1">
        <v>43734</v>
      </c>
      <c r="B1444">
        <v>16.07</v>
      </c>
      <c r="C1444" s="1">
        <v>43734</v>
      </c>
      <c r="D1444">
        <v>18.14</v>
      </c>
      <c r="E1444" s="1">
        <v>43678</v>
      </c>
      <c r="F1444">
        <v>64.675600000000003</v>
      </c>
      <c r="G1444" s="1">
        <v>43734</v>
      </c>
      <c r="H1444">
        <v>37.520000000000003</v>
      </c>
      <c r="I1444" s="1">
        <v>43734</v>
      </c>
      <c r="J1444">
        <v>15.11</v>
      </c>
      <c r="K1444" s="1">
        <v>43661</v>
      </c>
      <c r="L1444">
        <v>96.933000000000007</v>
      </c>
    </row>
    <row r="1445" spans="1:12" x14ac:dyDescent="0.25">
      <c r="A1445" s="1">
        <v>43735</v>
      </c>
      <c r="B1445">
        <v>17.22</v>
      </c>
      <c r="C1445" s="1">
        <v>43735</v>
      </c>
      <c r="D1445">
        <v>20.46</v>
      </c>
      <c r="E1445" s="1">
        <v>43679</v>
      </c>
      <c r="F1445">
        <v>66.114500000000007</v>
      </c>
      <c r="G1445" s="1">
        <v>43735</v>
      </c>
      <c r="H1445">
        <v>38.9</v>
      </c>
      <c r="I1445" s="1">
        <v>43735</v>
      </c>
      <c r="J1445">
        <v>14.96</v>
      </c>
      <c r="K1445" s="1">
        <v>43662</v>
      </c>
      <c r="L1445">
        <v>97.394999999999996</v>
      </c>
    </row>
    <row r="1446" spans="1:12" x14ac:dyDescent="0.25">
      <c r="A1446" s="1">
        <v>43738</v>
      </c>
      <c r="B1446">
        <v>16.239999999999998</v>
      </c>
      <c r="C1446" s="1">
        <v>43738</v>
      </c>
      <c r="D1446">
        <v>19.2</v>
      </c>
      <c r="E1446" s="1">
        <v>43682</v>
      </c>
      <c r="F1446">
        <v>77.236000000000004</v>
      </c>
      <c r="G1446" s="1">
        <v>43738</v>
      </c>
      <c r="H1446">
        <v>38.75</v>
      </c>
      <c r="I1446" s="1">
        <v>43738</v>
      </c>
      <c r="J1446">
        <v>15.37</v>
      </c>
      <c r="K1446" s="1">
        <v>43663</v>
      </c>
      <c r="L1446">
        <v>97.222999999999999</v>
      </c>
    </row>
    <row r="1447" spans="1:12" x14ac:dyDescent="0.25">
      <c r="A1447" s="1">
        <v>43739</v>
      </c>
      <c r="B1447">
        <v>18.559999999999999</v>
      </c>
      <c r="C1447" s="1">
        <v>43739</v>
      </c>
      <c r="D1447">
        <v>19.899999999999999</v>
      </c>
      <c r="E1447" s="1">
        <v>43683</v>
      </c>
      <c r="F1447">
        <v>73.921199999999999</v>
      </c>
      <c r="G1447" s="1">
        <v>43739</v>
      </c>
      <c r="H1447">
        <v>38.880000000000003</v>
      </c>
      <c r="I1447" s="1">
        <v>43739</v>
      </c>
      <c r="J1447">
        <v>15.61</v>
      </c>
      <c r="K1447" s="1">
        <v>43664</v>
      </c>
      <c r="L1447">
        <v>96.793999999999997</v>
      </c>
    </row>
    <row r="1448" spans="1:12" x14ac:dyDescent="0.25">
      <c r="A1448" s="1">
        <v>43740</v>
      </c>
      <c r="B1448">
        <v>20.56</v>
      </c>
      <c r="C1448" s="1">
        <v>43740</v>
      </c>
      <c r="D1448">
        <v>21.23</v>
      </c>
      <c r="E1448" s="1">
        <v>43684</v>
      </c>
      <c r="F1448">
        <v>79.076700000000002</v>
      </c>
      <c r="G1448" s="1">
        <v>43740</v>
      </c>
      <c r="H1448">
        <v>39.619999999999997</v>
      </c>
      <c r="I1448" s="1">
        <v>43740</v>
      </c>
      <c r="J1448">
        <v>15.75</v>
      </c>
      <c r="K1448" s="1">
        <v>43665</v>
      </c>
      <c r="L1448">
        <v>97.150999999999996</v>
      </c>
    </row>
    <row r="1449" spans="1:12" x14ac:dyDescent="0.25">
      <c r="A1449" s="1">
        <v>43741</v>
      </c>
      <c r="B1449">
        <v>19.12</v>
      </c>
      <c r="C1449" s="1">
        <v>43741</v>
      </c>
      <c r="D1449">
        <v>20.52</v>
      </c>
      <c r="E1449" s="1">
        <v>43685</v>
      </c>
      <c r="F1449">
        <v>78.552000000000007</v>
      </c>
      <c r="G1449" s="1">
        <v>43741</v>
      </c>
      <c r="H1449">
        <v>40.4</v>
      </c>
      <c r="I1449" s="1">
        <v>43741</v>
      </c>
      <c r="J1449">
        <v>16.329999999999998</v>
      </c>
      <c r="K1449" s="1">
        <v>43668</v>
      </c>
      <c r="L1449">
        <v>97.257000000000005</v>
      </c>
    </row>
    <row r="1450" spans="1:12" x14ac:dyDescent="0.25">
      <c r="A1450" s="1">
        <v>43742</v>
      </c>
      <c r="B1450">
        <v>17.04</v>
      </c>
      <c r="C1450" s="1">
        <v>43742</v>
      </c>
      <c r="D1450">
        <v>19.32</v>
      </c>
      <c r="E1450" s="1">
        <v>43686</v>
      </c>
      <c r="F1450">
        <v>78.967200000000005</v>
      </c>
      <c r="G1450" s="1">
        <v>43742</v>
      </c>
      <c r="H1450">
        <v>39.31</v>
      </c>
      <c r="I1450" s="1">
        <v>43742</v>
      </c>
      <c r="J1450">
        <v>15.26</v>
      </c>
      <c r="K1450" s="1">
        <v>43669</v>
      </c>
      <c r="L1450">
        <v>97.704999999999998</v>
      </c>
    </row>
    <row r="1451" spans="1:12" x14ac:dyDescent="0.25">
      <c r="A1451" s="1">
        <v>43745</v>
      </c>
      <c r="B1451">
        <v>17.86</v>
      </c>
      <c r="C1451" s="1">
        <v>43745</v>
      </c>
      <c r="D1451">
        <v>20.03</v>
      </c>
      <c r="E1451" s="1">
        <v>43689</v>
      </c>
      <c r="F1451">
        <v>81.575500000000005</v>
      </c>
      <c r="G1451" s="1">
        <v>43745</v>
      </c>
      <c r="H1451">
        <v>39.42</v>
      </c>
      <c r="I1451" s="1">
        <v>43745</v>
      </c>
      <c r="J1451">
        <v>15.44</v>
      </c>
      <c r="K1451" s="1">
        <v>43670</v>
      </c>
      <c r="L1451">
        <v>97.728999999999999</v>
      </c>
    </row>
    <row r="1452" spans="1:12" x14ac:dyDescent="0.25">
      <c r="A1452" s="1">
        <v>43746</v>
      </c>
      <c r="B1452">
        <v>20.28</v>
      </c>
      <c r="C1452" s="1">
        <v>43746</v>
      </c>
      <c r="D1452">
        <v>20.93</v>
      </c>
      <c r="E1452" s="1">
        <v>43690</v>
      </c>
      <c r="F1452">
        <v>77.697100000000006</v>
      </c>
      <c r="G1452" s="1">
        <v>43746</v>
      </c>
      <c r="H1452">
        <v>39.49</v>
      </c>
      <c r="I1452" s="1">
        <v>43746</v>
      </c>
      <c r="J1452">
        <v>16.21</v>
      </c>
      <c r="K1452" s="1">
        <v>43671</v>
      </c>
      <c r="L1452">
        <v>97.817999999999998</v>
      </c>
    </row>
    <row r="1453" spans="1:12" x14ac:dyDescent="0.25">
      <c r="A1453" s="1">
        <v>43747</v>
      </c>
      <c r="B1453">
        <v>18.64</v>
      </c>
      <c r="C1453" s="1">
        <v>43747</v>
      </c>
      <c r="D1453">
        <v>19.64</v>
      </c>
      <c r="E1453" s="1">
        <v>43691</v>
      </c>
      <c r="F1453">
        <v>87.219399999999993</v>
      </c>
      <c r="G1453" s="1">
        <v>43747</v>
      </c>
      <c r="H1453">
        <v>38</v>
      </c>
      <c r="I1453" s="1">
        <v>43747</v>
      </c>
      <c r="J1453">
        <v>15.73</v>
      </c>
      <c r="K1453" s="1">
        <v>43672</v>
      </c>
      <c r="L1453">
        <v>98.01</v>
      </c>
    </row>
    <row r="1454" spans="1:12" x14ac:dyDescent="0.25">
      <c r="A1454" s="1">
        <v>43748</v>
      </c>
      <c r="B1454">
        <v>17.57</v>
      </c>
      <c r="C1454" s="1">
        <v>43748</v>
      </c>
      <c r="D1454">
        <v>19.16</v>
      </c>
      <c r="E1454" s="1">
        <v>43692</v>
      </c>
      <c r="F1454">
        <v>90.617000000000004</v>
      </c>
      <c r="G1454" s="1">
        <v>43748</v>
      </c>
      <c r="H1454">
        <v>39.520000000000003</v>
      </c>
      <c r="I1454" s="1">
        <v>43748</v>
      </c>
      <c r="J1454">
        <v>15.7</v>
      </c>
      <c r="K1454" s="1">
        <v>43675</v>
      </c>
      <c r="L1454">
        <v>98.043999999999997</v>
      </c>
    </row>
    <row r="1455" spans="1:12" x14ac:dyDescent="0.25">
      <c r="A1455" s="1">
        <v>43749</v>
      </c>
      <c r="B1455">
        <v>15.58</v>
      </c>
      <c r="C1455" s="1">
        <v>43749</v>
      </c>
      <c r="D1455">
        <v>18.28</v>
      </c>
      <c r="E1455" s="1">
        <v>43693</v>
      </c>
      <c r="F1455">
        <v>89.516199999999998</v>
      </c>
      <c r="G1455" s="1">
        <v>43749</v>
      </c>
      <c r="H1455">
        <v>39.65</v>
      </c>
      <c r="I1455" s="1">
        <v>43749</v>
      </c>
      <c r="J1455">
        <v>15.72</v>
      </c>
      <c r="K1455" s="1">
        <v>43676</v>
      </c>
      <c r="L1455">
        <v>98.05</v>
      </c>
    </row>
    <row r="1456" spans="1:12" x14ac:dyDescent="0.25">
      <c r="A1456" s="1">
        <v>43752</v>
      </c>
      <c r="B1456">
        <v>14.57</v>
      </c>
      <c r="C1456" s="1">
        <v>43752</v>
      </c>
      <c r="D1456">
        <v>17.07</v>
      </c>
      <c r="E1456" s="1">
        <v>43696</v>
      </c>
      <c r="F1456">
        <v>86.491600000000005</v>
      </c>
      <c r="G1456" s="1">
        <v>43752</v>
      </c>
      <c r="H1456">
        <v>40.21</v>
      </c>
      <c r="I1456" s="1">
        <v>43752</v>
      </c>
      <c r="J1456">
        <v>15.65</v>
      </c>
      <c r="K1456" s="1">
        <v>43677</v>
      </c>
      <c r="L1456">
        <v>98.516000000000005</v>
      </c>
    </row>
    <row r="1457" spans="1:12" x14ac:dyDescent="0.25">
      <c r="A1457" s="1">
        <v>43753</v>
      </c>
      <c r="B1457">
        <v>13.54</v>
      </c>
      <c r="C1457" s="1">
        <v>43753</v>
      </c>
      <c r="D1457">
        <v>16.11</v>
      </c>
      <c r="E1457" s="1">
        <v>43697</v>
      </c>
      <c r="F1457">
        <v>86.864199999999997</v>
      </c>
      <c r="G1457" s="1">
        <v>43753</v>
      </c>
      <c r="H1457">
        <v>39.47</v>
      </c>
      <c r="I1457" s="1">
        <v>43753</v>
      </c>
      <c r="J1457">
        <v>15.08</v>
      </c>
      <c r="K1457" s="1">
        <v>43678</v>
      </c>
      <c r="L1457">
        <v>98.369</v>
      </c>
    </row>
    <row r="1458" spans="1:12" x14ac:dyDescent="0.25">
      <c r="A1458" s="1">
        <v>43754</v>
      </c>
      <c r="B1458">
        <v>13.68</v>
      </c>
      <c r="C1458" s="1">
        <v>43754</v>
      </c>
      <c r="D1458">
        <v>16.03</v>
      </c>
      <c r="E1458" s="1">
        <v>43698</v>
      </c>
      <c r="F1458">
        <v>84.512299999999996</v>
      </c>
      <c r="G1458" s="1">
        <v>43754</v>
      </c>
      <c r="H1458">
        <v>39.47</v>
      </c>
      <c r="I1458" s="1">
        <v>43754</v>
      </c>
      <c r="J1458">
        <v>14.94</v>
      </c>
      <c r="K1458" s="1">
        <v>43679</v>
      </c>
      <c r="L1458">
        <v>98.073999999999998</v>
      </c>
    </row>
    <row r="1459" spans="1:12" x14ac:dyDescent="0.25">
      <c r="A1459" s="1">
        <v>43755</v>
      </c>
      <c r="B1459">
        <v>13.79</v>
      </c>
      <c r="C1459" s="1">
        <v>43755</v>
      </c>
      <c r="D1459">
        <v>16.03</v>
      </c>
      <c r="E1459" s="1">
        <v>43699</v>
      </c>
      <c r="F1459">
        <v>83.151600000000002</v>
      </c>
      <c r="G1459" s="1">
        <v>43755</v>
      </c>
      <c r="H1459">
        <v>37.71</v>
      </c>
      <c r="I1459" s="1">
        <v>43755</v>
      </c>
      <c r="J1459">
        <v>14.84</v>
      </c>
      <c r="K1459" s="1">
        <v>43682</v>
      </c>
      <c r="L1459">
        <v>97.522000000000006</v>
      </c>
    </row>
    <row r="1460" spans="1:12" x14ac:dyDescent="0.25">
      <c r="A1460" s="1">
        <v>43756</v>
      </c>
      <c r="B1460">
        <v>14.25</v>
      </c>
      <c r="C1460" s="1">
        <v>43756</v>
      </c>
      <c r="D1460">
        <v>15.81</v>
      </c>
      <c r="E1460" s="1">
        <v>43700</v>
      </c>
      <c r="F1460">
        <v>91.822199999999995</v>
      </c>
      <c r="G1460" s="1">
        <v>43756</v>
      </c>
      <c r="H1460">
        <v>36.43</v>
      </c>
      <c r="I1460" s="1">
        <v>43756</v>
      </c>
      <c r="J1460">
        <v>14.85</v>
      </c>
      <c r="K1460" s="1">
        <v>43683</v>
      </c>
      <c r="L1460">
        <v>97.63</v>
      </c>
    </row>
    <row r="1461" spans="1:12" x14ac:dyDescent="0.25">
      <c r="A1461" s="1">
        <v>43759</v>
      </c>
      <c r="B1461">
        <v>14</v>
      </c>
      <c r="C1461" s="1">
        <v>43759</v>
      </c>
      <c r="D1461">
        <v>15.55</v>
      </c>
      <c r="E1461" s="1">
        <v>43703</v>
      </c>
      <c r="F1461">
        <v>87.979299999999995</v>
      </c>
      <c r="G1461" s="1">
        <v>43759</v>
      </c>
      <c r="H1461">
        <v>36.659999999999997</v>
      </c>
      <c r="I1461" s="1">
        <v>43759</v>
      </c>
      <c r="J1461">
        <v>14.05</v>
      </c>
      <c r="K1461" s="1">
        <v>43684</v>
      </c>
      <c r="L1461">
        <v>97.543999999999997</v>
      </c>
    </row>
    <row r="1462" spans="1:12" x14ac:dyDescent="0.25">
      <c r="A1462" s="1">
        <v>43760</v>
      </c>
      <c r="B1462">
        <v>14.46</v>
      </c>
      <c r="C1462" s="1">
        <v>43760</v>
      </c>
      <c r="D1462">
        <v>16.079999999999998</v>
      </c>
      <c r="E1462" s="1">
        <v>43704</v>
      </c>
      <c r="F1462">
        <v>88.671199999999999</v>
      </c>
      <c r="G1462" s="1">
        <v>43760</v>
      </c>
      <c r="H1462">
        <v>35.520000000000003</v>
      </c>
      <c r="I1462" s="1">
        <v>43760</v>
      </c>
      <c r="J1462">
        <v>13.67</v>
      </c>
      <c r="K1462" s="1">
        <v>43685</v>
      </c>
      <c r="L1462">
        <v>97.617999999999995</v>
      </c>
    </row>
    <row r="1463" spans="1:12" x14ac:dyDescent="0.25">
      <c r="A1463" s="1">
        <v>43761</v>
      </c>
      <c r="B1463">
        <v>14.01</v>
      </c>
      <c r="C1463" s="1">
        <v>43761</v>
      </c>
      <c r="D1463">
        <v>15.94</v>
      </c>
      <c r="E1463" s="1">
        <v>43705</v>
      </c>
      <c r="F1463">
        <v>89.866399999999999</v>
      </c>
      <c r="G1463" s="1">
        <v>43761</v>
      </c>
      <c r="H1463">
        <v>35.659999999999997</v>
      </c>
      <c r="I1463" s="1">
        <v>43761</v>
      </c>
      <c r="J1463">
        <v>13.23</v>
      </c>
      <c r="K1463" s="1">
        <v>43686</v>
      </c>
      <c r="L1463">
        <v>97.491</v>
      </c>
    </row>
    <row r="1464" spans="1:12" x14ac:dyDescent="0.25">
      <c r="A1464" s="1">
        <v>43762</v>
      </c>
      <c r="B1464">
        <v>13.71</v>
      </c>
      <c r="C1464" s="1">
        <v>43762</v>
      </c>
      <c r="D1464">
        <v>16.420000000000002</v>
      </c>
      <c r="E1464" s="1">
        <v>43706</v>
      </c>
      <c r="F1464">
        <v>86.9435</v>
      </c>
      <c r="G1464" s="1">
        <v>43762</v>
      </c>
      <c r="H1464">
        <v>35.950000000000003</v>
      </c>
      <c r="I1464" s="1">
        <v>43762</v>
      </c>
      <c r="J1464">
        <v>13.97</v>
      </c>
      <c r="K1464" s="1">
        <v>43689</v>
      </c>
      <c r="L1464">
        <v>97.38</v>
      </c>
    </row>
    <row r="1465" spans="1:12" x14ac:dyDescent="0.25">
      <c r="A1465" s="1">
        <v>43763</v>
      </c>
      <c r="B1465">
        <v>12.65</v>
      </c>
      <c r="C1465" s="1">
        <v>43763</v>
      </c>
      <c r="D1465">
        <v>15.65</v>
      </c>
      <c r="E1465" s="1">
        <v>43707</v>
      </c>
      <c r="F1465">
        <v>86.889700000000005</v>
      </c>
      <c r="G1465" s="1">
        <v>43763</v>
      </c>
      <c r="H1465">
        <v>34.64</v>
      </c>
      <c r="I1465" s="1">
        <v>43763</v>
      </c>
      <c r="J1465">
        <v>13.48</v>
      </c>
      <c r="K1465" s="1">
        <v>43690</v>
      </c>
      <c r="L1465">
        <v>97.811999999999998</v>
      </c>
    </row>
    <row r="1466" spans="1:12" x14ac:dyDescent="0.25">
      <c r="A1466" s="1">
        <v>43766</v>
      </c>
      <c r="B1466">
        <v>13.11</v>
      </c>
      <c r="C1466" s="1">
        <v>43766</v>
      </c>
      <c r="D1466">
        <v>16.57</v>
      </c>
      <c r="E1466" s="1">
        <v>43711</v>
      </c>
      <c r="F1466">
        <v>85.265299999999996</v>
      </c>
      <c r="G1466" s="1">
        <v>43766</v>
      </c>
      <c r="H1466">
        <v>35.64</v>
      </c>
      <c r="I1466" s="1">
        <v>43766</v>
      </c>
      <c r="J1466">
        <v>13.78</v>
      </c>
      <c r="K1466" s="1">
        <v>43691</v>
      </c>
      <c r="L1466">
        <v>97.986999999999995</v>
      </c>
    </row>
    <row r="1467" spans="1:12" x14ac:dyDescent="0.25">
      <c r="A1467" s="1">
        <v>43767</v>
      </c>
      <c r="B1467">
        <v>13.2</v>
      </c>
      <c r="C1467" s="1">
        <v>43767</v>
      </c>
      <c r="D1467">
        <v>16.579999999999998</v>
      </c>
      <c r="E1467" s="1">
        <v>43712</v>
      </c>
      <c r="F1467">
        <v>81.601600000000005</v>
      </c>
      <c r="G1467" s="1">
        <v>43767</v>
      </c>
      <c r="H1467">
        <v>35.700000000000003</v>
      </c>
      <c r="I1467" s="1">
        <v>43767</v>
      </c>
      <c r="J1467">
        <v>13.46</v>
      </c>
      <c r="K1467" s="1">
        <v>43692</v>
      </c>
      <c r="L1467">
        <v>98.144000000000005</v>
      </c>
    </row>
    <row r="1468" spans="1:12" x14ac:dyDescent="0.25">
      <c r="A1468" s="1">
        <v>43768</v>
      </c>
      <c r="B1468">
        <v>12.33</v>
      </c>
      <c r="C1468" s="1">
        <v>43768</v>
      </c>
      <c r="D1468">
        <v>16.09</v>
      </c>
      <c r="E1468" s="1">
        <v>43713</v>
      </c>
      <c r="F1468">
        <v>79.916899999999998</v>
      </c>
      <c r="G1468" s="1">
        <v>43768</v>
      </c>
      <c r="H1468">
        <v>34.36</v>
      </c>
      <c r="I1468" s="1">
        <v>43768</v>
      </c>
      <c r="J1468">
        <v>13.17</v>
      </c>
      <c r="K1468" s="1">
        <v>43693</v>
      </c>
      <c r="L1468">
        <v>98.141999999999996</v>
      </c>
    </row>
    <row r="1469" spans="1:12" x14ac:dyDescent="0.25">
      <c r="A1469" s="1">
        <v>43769</v>
      </c>
      <c r="B1469">
        <v>13.22</v>
      </c>
      <c r="C1469" s="1">
        <v>43769</v>
      </c>
      <c r="D1469">
        <v>17.52</v>
      </c>
      <c r="E1469" s="1">
        <v>43714</v>
      </c>
      <c r="F1469">
        <v>78.820999999999998</v>
      </c>
      <c r="G1469" s="1">
        <v>43769</v>
      </c>
      <c r="H1469">
        <v>35.840000000000003</v>
      </c>
      <c r="I1469" s="1">
        <v>43769</v>
      </c>
      <c r="J1469">
        <v>13.39</v>
      </c>
      <c r="K1469" s="1">
        <v>43696</v>
      </c>
      <c r="L1469">
        <v>98.346999999999994</v>
      </c>
    </row>
    <row r="1470" spans="1:12" x14ac:dyDescent="0.25">
      <c r="A1470" s="1">
        <v>43770</v>
      </c>
      <c r="B1470">
        <v>12.3</v>
      </c>
      <c r="C1470" s="1">
        <v>43770</v>
      </c>
      <c r="D1470">
        <v>16.82</v>
      </c>
      <c r="E1470" s="1">
        <v>43717</v>
      </c>
      <c r="F1470">
        <v>76.438199999999995</v>
      </c>
      <c r="G1470" s="1">
        <v>43770</v>
      </c>
      <c r="H1470">
        <v>34.369999999999997</v>
      </c>
      <c r="I1470" s="1">
        <v>43770</v>
      </c>
      <c r="J1470">
        <v>12.86</v>
      </c>
      <c r="K1470" s="1">
        <v>43697</v>
      </c>
      <c r="L1470">
        <v>98.19</v>
      </c>
    </row>
    <row r="1471" spans="1:12" x14ac:dyDescent="0.25">
      <c r="A1471" s="1">
        <v>43773</v>
      </c>
      <c r="B1471">
        <v>12.83</v>
      </c>
      <c r="C1471" s="1">
        <v>43773</v>
      </c>
      <c r="D1471">
        <v>17.89</v>
      </c>
      <c r="E1471" s="1">
        <v>43718</v>
      </c>
      <c r="F1471">
        <v>76.783699999999996</v>
      </c>
      <c r="G1471" s="1">
        <v>43773</v>
      </c>
      <c r="H1471">
        <v>35.630000000000003</v>
      </c>
      <c r="I1471" s="1">
        <v>43773</v>
      </c>
      <c r="J1471">
        <v>12.45</v>
      </c>
      <c r="K1471" s="1">
        <v>43698</v>
      </c>
      <c r="L1471">
        <v>98.295000000000002</v>
      </c>
    </row>
    <row r="1472" spans="1:12" x14ac:dyDescent="0.25">
      <c r="A1472" s="1">
        <v>43774</v>
      </c>
      <c r="B1472">
        <v>13.1</v>
      </c>
      <c r="C1472" s="1">
        <v>43774</v>
      </c>
      <c r="D1472">
        <v>17.8</v>
      </c>
      <c r="E1472" s="1">
        <v>43719</v>
      </c>
      <c r="F1472">
        <v>76.703299999999999</v>
      </c>
      <c r="G1472" s="1">
        <v>43774</v>
      </c>
      <c r="H1472">
        <v>33.770000000000003</v>
      </c>
      <c r="I1472" s="1">
        <v>43774</v>
      </c>
      <c r="J1472">
        <v>12.43</v>
      </c>
      <c r="K1472" s="1">
        <v>43699</v>
      </c>
      <c r="L1472">
        <v>98.17</v>
      </c>
    </row>
    <row r="1473" spans="1:12" x14ac:dyDescent="0.25">
      <c r="A1473" s="1">
        <v>43775</v>
      </c>
      <c r="B1473">
        <v>12.62</v>
      </c>
      <c r="C1473" s="1">
        <v>43775</v>
      </c>
      <c r="D1473">
        <v>17.64</v>
      </c>
      <c r="E1473" s="1">
        <v>43720</v>
      </c>
      <c r="F1473">
        <v>77.571100000000001</v>
      </c>
      <c r="G1473" s="1">
        <v>43775</v>
      </c>
      <c r="H1473">
        <v>33.22</v>
      </c>
      <c r="I1473" s="1">
        <v>43775</v>
      </c>
      <c r="J1473">
        <v>12.04</v>
      </c>
      <c r="K1473" s="1">
        <v>43700</v>
      </c>
      <c r="L1473">
        <v>97.64</v>
      </c>
    </row>
    <row r="1474" spans="1:12" x14ac:dyDescent="0.25">
      <c r="A1474" s="1">
        <v>43776</v>
      </c>
      <c r="B1474">
        <v>12.73</v>
      </c>
      <c r="C1474" s="1">
        <v>43776</v>
      </c>
      <c r="D1474">
        <v>17.41</v>
      </c>
      <c r="E1474" s="1">
        <v>43721</v>
      </c>
      <c r="F1474">
        <v>85.530100000000004</v>
      </c>
      <c r="G1474" s="1">
        <v>43776</v>
      </c>
      <c r="H1474">
        <v>31.45</v>
      </c>
      <c r="I1474" s="1">
        <v>43776</v>
      </c>
      <c r="J1474">
        <v>12.35</v>
      </c>
      <c r="K1474" s="1">
        <v>43703</v>
      </c>
      <c r="L1474">
        <v>98.081000000000003</v>
      </c>
    </row>
    <row r="1475" spans="1:12" x14ac:dyDescent="0.25">
      <c r="A1475" s="1">
        <v>43777</v>
      </c>
      <c r="B1475">
        <v>12.07</v>
      </c>
      <c r="C1475" s="1">
        <v>43777</v>
      </c>
      <c r="D1475">
        <v>17.77</v>
      </c>
      <c r="E1475" s="1">
        <v>43724</v>
      </c>
      <c r="F1475">
        <v>85.948499999999996</v>
      </c>
      <c r="G1475" s="1">
        <v>43777</v>
      </c>
      <c r="H1475">
        <v>31.45</v>
      </c>
      <c r="I1475" s="1">
        <v>43777</v>
      </c>
      <c r="J1475">
        <v>12.27</v>
      </c>
      <c r="K1475" s="1">
        <v>43704</v>
      </c>
      <c r="L1475">
        <v>97.998999999999995</v>
      </c>
    </row>
    <row r="1476" spans="1:12" x14ac:dyDescent="0.25">
      <c r="A1476" s="1">
        <v>43780</v>
      </c>
      <c r="B1476">
        <v>12.69</v>
      </c>
      <c r="C1476" s="1">
        <v>43780</v>
      </c>
      <c r="D1476">
        <v>18.98</v>
      </c>
      <c r="E1476" s="1">
        <v>43725</v>
      </c>
      <c r="F1476">
        <v>84.7607</v>
      </c>
      <c r="G1476" s="1">
        <v>43780</v>
      </c>
      <c r="H1476">
        <v>34.22</v>
      </c>
      <c r="I1476" s="1">
        <v>43780</v>
      </c>
      <c r="J1476">
        <v>12.87</v>
      </c>
      <c r="K1476" s="1">
        <v>43705</v>
      </c>
      <c r="L1476">
        <v>98.21</v>
      </c>
    </row>
    <row r="1477" spans="1:12" x14ac:dyDescent="0.25">
      <c r="A1477" s="1">
        <v>43781</v>
      </c>
      <c r="B1477">
        <v>12.68</v>
      </c>
      <c r="C1477" s="1">
        <v>43781</v>
      </c>
      <c r="D1477">
        <v>18.93</v>
      </c>
      <c r="E1477" s="1">
        <v>43726</v>
      </c>
      <c r="F1477">
        <v>79.663300000000007</v>
      </c>
      <c r="G1477" s="1">
        <v>43781</v>
      </c>
      <c r="H1477">
        <v>33.74</v>
      </c>
      <c r="I1477" s="1">
        <v>43781</v>
      </c>
      <c r="J1477">
        <v>11.91</v>
      </c>
      <c r="K1477" s="1">
        <v>43706</v>
      </c>
      <c r="L1477">
        <v>98.507000000000005</v>
      </c>
    </row>
    <row r="1478" spans="1:12" x14ac:dyDescent="0.25">
      <c r="A1478" s="1">
        <v>43782</v>
      </c>
      <c r="B1478">
        <v>13</v>
      </c>
      <c r="C1478" s="1">
        <v>43782</v>
      </c>
      <c r="D1478">
        <v>19.14</v>
      </c>
      <c r="E1478" s="1">
        <v>43727</v>
      </c>
      <c r="F1478">
        <v>78.144499999999994</v>
      </c>
      <c r="G1478" s="1">
        <v>43782</v>
      </c>
      <c r="H1478">
        <v>35.15</v>
      </c>
      <c r="I1478" s="1">
        <v>43782</v>
      </c>
      <c r="J1478">
        <v>11.56</v>
      </c>
      <c r="K1478" s="1">
        <v>43707</v>
      </c>
      <c r="L1478">
        <v>98.915999999999997</v>
      </c>
    </row>
    <row r="1479" spans="1:12" x14ac:dyDescent="0.25">
      <c r="A1479" s="1">
        <v>43783</v>
      </c>
      <c r="B1479">
        <v>13.05</v>
      </c>
      <c r="C1479" s="1">
        <v>43783</v>
      </c>
      <c r="D1479">
        <v>18.489999999999998</v>
      </c>
      <c r="E1479" s="1">
        <v>43728</v>
      </c>
      <c r="F1479">
        <v>80.072599999999994</v>
      </c>
      <c r="G1479" s="1">
        <v>43783</v>
      </c>
      <c r="H1479">
        <v>33.94</v>
      </c>
      <c r="I1479" s="1">
        <v>43783</v>
      </c>
      <c r="J1479">
        <v>11.83</v>
      </c>
      <c r="K1479" s="1">
        <v>43710</v>
      </c>
      <c r="L1479">
        <v>98.915999999999997</v>
      </c>
    </row>
    <row r="1480" spans="1:12" x14ac:dyDescent="0.25">
      <c r="A1480" s="1">
        <v>43784</v>
      </c>
      <c r="B1480">
        <v>12.05</v>
      </c>
      <c r="C1480" s="1">
        <v>43784</v>
      </c>
      <c r="D1480">
        <v>18.170000000000002</v>
      </c>
      <c r="E1480" s="1">
        <v>43731</v>
      </c>
      <c r="F1480">
        <v>81.011600000000001</v>
      </c>
      <c r="G1480" s="1">
        <v>43784</v>
      </c>
      <c r="H1480">
        <v>32.42</v>
      </c>
      <c r="I1480" s="1">
        <v>43784</v>
      </c>
      <c r="J1480">
        <v>11.23</v>
      </c>
      <c r="K1480" s="1">
        <v>43711</v>
      </c>
      <c r="L1480">
        <v>99</v>
      </c>
    </row>
    <row r="1481" spans="1:12" x14ac:dyDescent="0.25">
      <c r="A1481" s="1">
        <v>43787</v>
      </c>
      <c r="B1481">
        <v>12.46</v>
      </c>
      <c r="C1481" s="1">
        <v>43787</v>
      </c>
      <c r="D1481">
        <v>17.77</v>
      </c>
      <c r="E1481" s="1">
        <v>43732</v>
      </c>
      <c r="F1481">
        <v>83.067300000000003</v>
      </c>
      <c r="G1481" s="1">
        <v>43787</v>
      </c>
      <c r="H1481">
        <v>33.68</v>
      </c>
      <c r="I1481" s="1">
        <v>43787</v>
      </c>
      <c r="J1481">
        <v>11.55</v>
      </c>
      <c r="K1481" s="1">
        <v>43712</v>
      </c>
      <c r="L1481">
        <v>98.450999999999993</v>
      </c>
    </row>
    <row r="1482" spans="1:12" x14ac:dyDescent="0.25">
      <c r="A1482" s="1">
        <v>43788</v>
      </c>
      <c r="B1482">
        <v>12.86</v>
      </c>
      <c r="C1482" s="1">
        <v>43788</v>
      </c>
      <c r="D1482">
        <v>17.05</v>
      </c>
      <c r="E1482" s="1">
        <v>43733</v>
      </c>
      <c r="F1482">
        <v>80.217100000000002</v>
      </c>
      <c r="G1482" s="1">
        <v>43788</v>
      </c>
      <c r="H1482">
        <v>32.94</v>
      </c>
      <c r="I1482" s="1">
        <v>43788</v>
      </c>
      <c r="J1482">
        <v>11.5</v>
      </c>
      <c r="K1482" s="1">
        <v>43713</v>
      </c>
      <c r="L1482">
        <v>98.414000000000001</v>
      </c>
    </row>
    <row r="1483" spans="1:12" x14ac:dyDescent="0.25">
      <c r="A1483" s="1">
        <v>43789</v>
      </c>
      <c r="B1483">
        <v>12.78</v>
      </c>
      <c r="C1483" s="1">
        <v>43789</v>
      </c>
      <c r="D1483">
        <v>17.559999999999999</v>
      </c>
      <c r="E1483" s="1">
        <v>43734</v>
      </c>
      <c r="F1483">
        <v>79.871300000000005</v>
      </c>
      <c r="G1483" s="1">
        <v>43789</v>
      </c>
      <c r="H1483">
        <v>32.200000000000003</v>
      </c>
      <c r="I1483" s="1">
        <v>43789</v>
      </c>
      <c r="J1483">
        <v>11.55</v>
      </c>
      <c r="K1483" s="1">
        <v>43714</v>
      </c>
      <c r="L1483">
        <v>98.394000000000005</v>
      </c>
    </row>
    <row r="1484" spans="1:12" x14ac:dyDescent="0.25">
      <c r="A1484" s="1">
        <v>43790</v>
      </c>
      <c r="B1484">
        <v>13.13</v>
      </c>
      <c r="C1484" s="1">
        <v>43790</v>
      </c>
      <c r="D1484">
        <v>17.3</v>
      </c>
      <c r="E1484" s="1">
        <v>43735</v>
      </c>
      <c r="F1484">
        <v>79.972200000000001</v>
      </c>
      <c r="G1484" s="1">
        <v>43790</v>
      </c>
      <c r="H1484">
        <v>31.59</v>
      </c>
      <c r="I1484" s="1">
        <v>43790</v>
      </c>
      <c r="J1484">
        <v>11.37</v>
      </c>
      <c r="K1484" s="1">
        <v>43717</v>
      </c>
      <c r="L1484">
        <v>98.281000000000006</v>
      </c>
    </row>
    <row r="1485" spans="1:12" x14ac:dyDescent="0.25">
      <c r="A1485" s="1">
        <v>43791</v>
      </c>
      <c r="B1485">
        <v>12.34</v>
      </c>
      <c r="C1485" s="1">
        <v>43791</v>
      </c>
      <c r="D1485">
        <v>16.739999999999998</v>
      </c>
      <c r="E1485" s="1">
        <v>43738</v>
      </c>
      <c r="F1485">
        <v>77.200500000000005</v>
      </c>
      <c r="G1485" s="1">
        <v>43791</v>
      </c>
      <c r="H1485">
        <v>32.380000000000003</v>
      </c>
      <c r="I1485" s="1">
        <v>43791</v>
      </c>
      <c r="J1485">
        <v>11.32</v>
      </c>
      <c r="K1485" s="1">
        <v>43718</v>
      </c>
      <c r="L1485">
        <v>98.325999999999993</v>
      </c>
    </row>
    <row r="1486" spans="1:12" x14ac:dyDescent="0.25">
      <c r="A1486" s="1">
        <v>43794</v>
      </c>
      <c r="B1486">
        <v>11.87</v>
      </c>
      <c r="C1486" s="1">
        <v>43794</v>
      </c>
      <c r="D1486">
        <v>16.45</v>
      </c>
      <c r="E1486" s="1">
        <v>43739</v>
      </c>
      <c r="F1486">
        <v>85.607299999999995</v>
      </c>
      <c r="G1486" s="1">
        <v>43794</v>
      </c>
      <c r="H1486">
        <v>31.9</v>
      </c>
      <c r="I1486" s="1">
        <v>43794</v>
      </c>
      <c r="J1486">
        <v>11.15</v>
      </c>
      <c r="K1486" s="1">
        <v>43719</v>
      </c>
      <c r="L1486">
        <v>98.644999999999996</v>
      </c>
    </row>
    <row r="1487" spans="1:12" x14ac:dyDescent="0.25">
      <c r="A1487" s="1">
        <v>43795</v>
      </c>
      <c r="B1487">
        <v>11.54</v>
      </c>
      <c r="C1487" s="1">
        <v>43795</v>
      </c>
      <c r="D1487">
        <v>16.45</v>
      </c>
      <c r="E1487" s="1">
        <v>43740</v>
      </c>
      <c r="F1487">
        <v>89.385300000000001</v>
      </c>
      <c r="G1487" s="1">
        <v>43795</v>
      </c>
      <c r="H1487">
        <v>31.25</v>
      </c>
      <c r="I1487" s="1">
        <v>43795</v>
      </c>
      <c r="J1487">
        <v>10.76</v>
      </c>
      <c r="K1487" s="1">
        <v>43720</v>
      </c>
      <c r="L1487">
        <v>98.308999999999997</v>
      </c>
    </row>
    <row r="1488" spans="1:12" x14ac:dyDescent="0.25">
      <c r="A1488" s="1">
        <v>43796</v>
      </c>
      <c r="B1488">
        <v>11.75</v>
      </c>
      <c r="C1488" s="1">
        <v>43796</v>
      </c>
      <c r="D1488">
        <v>16.350000000000001</v>
      </c>
      <c r="E1488" s="1">
        <v>43741</v>
      </c>
      <c r="F1488">
        <v>87.943799999999996</v>
      </c>
      <c r="G1488" s="1">
        <v>43796</v>
      </c>
      <c r="H1488">
        <v>30.82</v>
      </c>
      <c r="I1488" s="1">
        <v>43796</v>
      </c>
      <c r="J1488">
        <v>10.3</v>
      </c>
      <c r="K1488" s="1">
        <v>43721</v>
      </c>
      <c r="L1488">
        <v>98.257000000000005</v>
      </c>
    </row>
    <row r="1489" spans="1:12" x14ac:dyDescent="0.25">
      <c r="A1489" s="1">
        <v>43798</v>
      </c>
      <c r="B1489">
        <v>12.62</v>
      </c>
      <c r="C1489" s="1">
        <v>43798</v>
      </c>
      <c r="D1489">
        <v>18.02</v>
      </c>
      <c r="E1489" s="1">
        <v>43742</v>
      </c>
      <c r="F1489">
        <v>83.152699999999996</v>
      </c>
      <c r="G1489" s="1">
        <v>43798</v>
      </c>
      <c r="H1489">
        <v>36.729999999999997</v>
      </c>
      <c r="I1489" s="1">
        <v>43798</v>
      </c>
      <c r="J1489">
        <v>10.71</v>
      </c>
      <c r="K1489" s="1">
        <v>43724</v>
      </c>
      <c r="L1489">
        <v>98.61</v>
      </c>
    </row>
    <row r="1490" spans="1:12" x14ac:dyDescent="0.25">
      <c r="A1490" s="1">
        <v>43801</v>
      </c>
      <c r="B1490">
        <v>14.91</v>
      </c>
      <c r="C1490" s="1">
        <v>43801</v>
      </c>
      <c r="D1490">
        <v>17.829999999999998</v>
      </c>
      <c r="E1490" s="1">
        <v>43745</v>
      </c>
      <c r="F1490">
        <v>81.859800000000007</v>
      </c>
      <c r="G1490" s="1">
        <v>43801</v>
      </c>
      <c r="H1490">
        <v>34.97</v>
      </c>
      <c r="I1490" s="1">
        <v>43801</v>
      </c>
      <c r="J1490">
        <v>10.77</v>
      </c>
      <c r="K1490" s="1">
        <v>43725</v>
      </c>
      <c r="L1490">
        <v>98.260999999999996</v>
      </c>
    </row>
    <row r="1491" spans="1:12" x14ac:dyDescent="0.25">
      <c r="A1491" s="1">
        <v>43802</v>
      </c>
      <c r="B1491">
        <v>15.96</v>
      </c>
      <c r="C1491" s="1">
        <v>43802</v>
      </c>
      <c r="D1491">
        <v>18.62</v>
      </c>
      <c r="E1491" s="1">
        <v>43746</v>
      </c>
      <c r="F1491">
        <v>80.468900000000005</v>
      </c>
      <c r="G1491" s="1">
        <v>43802</v>
      </c>
      <c r="H1491">
        <v>35.049999999999997</v>
      </c>
      <c r="I1491" s="1">
        <v>43802</v>
      </c>
      <c r="J1491">
        <v>12.15</v>
      </c>
      <c r="K1491" s="1">
        <v>43726</v>
      </c>
      <c r="L1491">
        <v>98.561000000000007</v>
      </c>
    </row>
    <row r="1492" spans="1:12" x14ac:dyDescent="0.25">
      <c r="A1492" s="1">
        <v>43803</v>
      </c>
      <c r="B1492">
        <v>14.8</v>
      </c>
      <c r="C1492" s="1">
        <v>43803</v>
      </c>
      <c r="D1492">
        <v>17.73</v>
      </c>
      <c r="E1492" s="1">
        <v>43747</v>
      </c>
      <c r="F1492">
        <v>79.310500000000005</v>
      </c>
      <c r="G1492" s="1">
        <v>43803</v>
      </c>
      <c r="H1492">
        <v>32.21</v>
      </c>
      <c r="I1492" s="1">
        <v>43803</v>
      </c>
      <c r="J1492">
        <v>11.57</v>
      </c>
      <c r="K1492" s="1">
        <v>43727</v>
      </c>
      <c r="L1492">
        <v>98.272000000000006</v>
      </c>
    </row>
    <row r="1493" spans="1:12" x14ac:dyDescent="0.25">
      <c r="A1493" s="1">
        <v>43804</v>
      </c>
      <c r="B1493">
        <v>14.52</v>
      </c>
      <c r="C1493" s="1">
        <v>43804</v>
      </c>
      <c r="D1493">
        <v>17.41</v>
      </c>
      <c r="E1493" s="1">
        <v>43748</v>
      </c>
      <c r="F1493">
        <v>80.1374</v>
      </c>
      <c r="G1493" s="1">
        <v>43804</v>
      </c>
      <c r="H1493">
        <v>30.41</v>
      </c>
      <c r="I1493" s="1">
        <v>43804</v>
      </c>
      <c r="J1493">
        <v>11.25</v>
      </c>
      <c r="K1493" s="1">
        <v>43728</v>
      </c>
      <c r="L1493">
        <v>98.513000000000005</v>
      </c>
    </row>
    <row r="1494" spans="1:12" x14ac:dyDescent="0.25">
      <c r="A1494" s="1">
        <v>43805</v>
      </c>
      <c r="B1494">
        <v>13.62</v>
      </c>
      <c r="C1494" s="1">
        <v>43805</v>
      </c>
      <c r="D1494">
        <v>16.91</v>
      </c>
      <c r="E1494" s="1">
        <v>43749</v>
      </c>
      <c r="F1494">
        <v>79.86</v>
      </c>
      <c r="G1494" s="1">
        <v>43805</v>
      </c>
      <c r="H1494">
        <v>30.02</v>
      </c>
      <c r="I1494" s="1">
        <v>43805</v>
      </c>
      <c r="J1494">
        <v>10.73</v>
      </c>
      <c r="K1494" s="1">
        <v>43731</v>
      </c>
      <c r="L1494">
        <v>98.599000000000004</v>
      </c>
    </row>
    <row r="1495" spans="1:12" x14ac:dyDescent="0.25">
      <c r="A1495" s="1">
        <v>43808</v>
      </c>
      <c r="B1495">
        <v>15.86</v>
      </c>
      <c r="C1495" s="1">
        <v>43808</v>
      </c>
      <c r="D1495">
        <v>17.39</v>
      </c>
      <c r="E1495" s="1">
        <v>43753</v>
      </c>
      <c r="F1495">
        <v>80.06</v>
      </c>
      <c r="G1495" s="1">
        <v>43808</v>
      </c>
      <c r="H1495">
        <v>30.02</v>
      </c>
      <c r="I1495" s="1">
        <v>43808</v>
      </c>
      <c r="J1495">
        <v>10.75</v>
      </c>
      <c r="K1495" s="1">
        <v>43732</v>
      </c>
      <c r="L1495">
        <v>98.337000000000003</v>
      </c>
    </row>
    <row r="1496" spans="1:12" x14ac:dyDescent="0.25">
      <c r="A1496" s="1">
        <v>43809</v>
      </c>
      <c r="B1496">
        <v>15.68</v>
      </c>
      <c r="C1496" s="1">
        <v>43809</v>
      </c>
      <c r="D1496">
        <v>17.22</v>
      </c>
      <c r="E1496" s="1">
        <v>43754</v>
      </c>
      <c r="F1496">
        <v>77.94</v>
      </c>
      <c r="G1496" s="1">
        <v>43809</v>
      </c>
      <c r="H1496">
        <v>27.94</v>
      </c>
      <c r="I1496" s="1">
        <v>43809</v>
      </c>
      <c r="J1496">
        <v>10.33</v>
      </c>
      <c r="K1496" s="1">
        <v>43733</v>
      </c>
      <c r="L1496">
        <v>99.037000000000006</v>
      </c>
    </row>
    <row r="1497" spans="1:12" x14ac:dyDescent="0.25">
      <c r="A1497" s="1">
        <v>43810</v>
      </c>
      <c r="B1497">
        <v>14.99</v>
      </c>
      <c r="C1497" s="1">
        <v>43810</v>
      </c>
      <c r="D1497">
        <v>17.399999999999999</v>
      </c>
      <c r="E1497" s="1">
        <v>43755</v>
      </c>
      <c r="F1497">
        <v>77.61</v>
      </c>
      <c r="G1497" s="1">
        <v>43810</v>
      </c>
      <c r="H1497">
        <v>27.81</v>
      </c>
      <c r="I1497" s="1">
        <v>43810</v>
      </c>
      <c r="J1497">
        <v>10.81</v>
      </c>
      <c r="K1497" s="1">
        <v>43734</v>
      </c>
      <c r="L1497">
        <v>99.132000000000005</v>
      </c>
    </row>
    <row r="1498" spans="1:12" x14ac:dyDescent="0.25">
      <c r="A1498" s="1">
        <v>43811</v>
      </c>
      <c r="B1498">
        <v>13.94</v>
      </c>
      <c r="C1498" s="1">
        <v>43811</v>
      </c>
      <c r="D1498">
        <v>17.420000000000002</v>
      </c>
      <c r="E1498" s="1">
        <v>43756</v>
      </c>
      <c r="F1498">
        <v>78.349999999999994</v>
      </c>
      <c r="G1498" s="1">
        <v>43811</v>
      </c>
      <c r="H1498">
        <v>27.44</v>
      </c>
      <c r="I1498" s="1">
        <v>43811</v>
      </c>
      <c r="J1498">
        <v>10.95</v>
      </c>
      <c r="K1498" s="1">
        <v>43735</v>
      </c>
      <c r="L1498">
        <v>99.108999999999995</v>
      </c>
    </row>
    <row r="1499" spans="1:12" x14ac:dyDescent="0.25">
      <c r="A1499" s="1">
        <v>43812</v>
      </c>
      <c r="B1499">
        <v>12.63</v>
      </c>
      <c r="C1499" s="1">
        <v>43812</v>
      </c>
      <c r="D1499">
        <v>15.6</v>
      </c>
      <c r="E1499" s="1">
        <v>43759</v>
      </c>
      <c r="F1499">
        <v>80.25</v>
      </c>
      <c r="G1499" s="1">
        <v>43812</v>
      </c>
      <c r="H1499">
        <v>26.76</v>
      </c>
      <c r="I1499" s="1">
        <v>43812</v>
      </c>
      <c r="J1499">
        <v>10.39</v>
      </c>
      <c r="K1499" s="1">
        <v>43738</v>
      </c>
      <c r="L1499">
        <v>99.376999999999995</v>
      </c>
    </row>
    <row r="1500" spans="1:12" x14ac:dyDescent="0.25">
      <c r="A1500" s="1">
        <v>43815</v>
      </c>
      <c r="B1500">
        <v>12.14</v>
      </c>
      <c r="C1500" s="1">
        <v>43815</v>
      </c>
      <c r="D1500">
        <v>15.45</v>
      </c>
      <c r="E1500" s="1">
        <v>43760</v>
      </c>
      <c r="F1500">
        <v>78.73</v>
      </c>
      <c r="G1500" s="1">
        <v>43815</v>
      </c>
      <c r="H1500">
        <v>26.51</v>
      </c>
      <c r="I1500" s="1">
        <v>43815</v>
      </c>
      <c r="J1500">
        <v>10.39</v>
      </c>
      <c r="K1500" s="1">
        <v>43739</v>
      </c>
      <c r="L1500">
        <v>99.128</v>
      </c>
    </row>
    <row r="1501" spans="1:12" x14ac:dyDescent="0.25">
      <c r="A1501" s="1">
        <v>43816</v>
      </c>
      <c r="B1501">
        <v>12.29</v>
      </c>
      <c r="C1501" s="1">
        <v>43816</v>
      </c>
      <c r="D1501">
        <v>15.45</v>
      </c>
      <c r="E1501" s="1">
        <v>43761</v>
      </c>
      <c r="F1501">
        <v>73.03</v>
      </c>
      <c r="G1501" s="1">
        <v>43816</v>
      </c>
      <c r="H1501">
        <v>26.33</v>
      </c>
      <c r="I1501" s="1">
        <v>43816</v>
      </c>
      <c r="J1501">
        <v>10.029999999999999</v>
      </c>
      <c r="K1501" s="1">
        <v>43740</v>
      </c>
      <c r="L1501">
        <v>99.019000000000005</v>
      </c>
    </row>
    <row r="1502" spans="1:12" x14ac:dyDescent="0.25">
      <c r="A1502" s="1">
        <v>43817</v>
      </c>
      <c r="B1502">
        <v>12.58</v>
      </c>
      <c r="C1502" s="1">
        <v>43817</v>
      </c>
      <c r="D1502">
        <v>15.05</v>
      </c>
      <c r="E1502" s="1">
        <v>43762</v>
      </c>
      <c r="F1502">
        <v>68.97</v>
      </c>
      <c r="G1502" s="1">
        <v>43817</v>
      </c>
      <c r="H1502">
        <v>26.77</v>
      </c>
      <c r="I1502" s="1">
        <v>43817</v>
      </c>
      <c r="J1502">
        <v>10.039999999999999</v>
      </c>
      <c r="K1502" s="1">
        <v>43741</v>
      </c>
      <c r="L1502">
        <v>98.864000000000004</v>
      </c>
    </row>
    <row r="1503" spans="1:12" x14ac:dyDescent="0.25">
      <c r="A1503" s="1">
        <v>43818</v>
      </c>
      <c r="B1503">
        <v>12.5</v>
      </c>
      <c r="C1503" s="1">
        <v>43818</v>
      </c>
      <c r="D1503">
        <v>15.4</v>
      </c>
      <c r="E1503" s="1">
        <v>43763</v>
      </c>
      <c r="F1503">
        <v>67.069999999999993</v>
      </c>
      <c r="G1503" s="1">
        <v>43818</v>
      </c>
      <c r="H1503">
        <v>24.8</v>
      </c>
      <c r="I1503" s="1">
        <v>43818</v>
      </c>
      <c r="J1503">
        <v>10.39</v>
      </c>
      <c r="K1503" s="1">
        <v>43742</v>
      </c>
      <c r="L1503">
        <v>98.808000000000007</v>
      </c>
    </row>
    <row r="1504" spans="1:12" x14ac:dyDescent="0.25">
      <c r="A1504" s="1">
        <v>43819</v>
      </c>
      <c r="B1504">
        <v>12.51</v>
      </c>
      <c r="C1504" s="1">
        <v>43819</v>
      </c>
      <c r="D1504">
        <v>15.03</v>
      </c>
      <c r="E1504" s="1">
        <v>43766</v>
      </c>
      <c r="F1504">
        <v>67.41</v>
      </c>
      <c r="G1504" s="1">
        <v>43819</v>
      </c>
      <c r="H1504">
        <v>25.54</v>
      </c>
      <c r="I1504" s="1">
        <v>43819</v>
      </c>
      <c r="J1504">
        <v>9.69</v>
      </c>
      <c r="K1504" s="1">
        <v>43745</v>
      </c>
      <c r="L1504">
        <v>98.966999999999999</v>
      </c>
    </row>
    <row r="1505" spans="1:12" x14ac:dyDescent="0.25">
      <c r="A1505" s="1">
        <v>43822</v>
      </c>
      <c r="B1505">
        <v>12.61</v>
      </c>
      <c r="C1505" s="1">
        <v>43822</v>
      </c>
      <c r="D1505">
        <v>15.43</v>
      </c>
      <c r="E1505" s="1">
        <v>43767</v>
      </c>
      <c r="F1505">
        <v>67.61</v>
      </c>
      <c r="G1505" s="1">
        <v>43822</v>
      </c>
      <c r="H1505">
        <v>25.11</v>
      </c>
      <c r="I1505" s="1">
        <v>43822</v>
      </c>
      <c r="J1505">
        <v>10.56</v>
      </c>
      <c r="K1505" s="1">
        <v>43746</v>
      </c>
      <c r="L1505">
        <v>99.132999999999996</v>
      </c>
    </row>
    <row r="1506" spans="1:12" x14ac:dyDescent="0.25">
      <c r="A1506" s="1">
        <v>43823</v>
      </c>
      <c r="B1506">
        <v>12.67</v>
      </c>
      <c r="C1506" s="1">
        <v>43823</v>
      </c>
      <c r="D1506">
        <v>15.47</v>
      </c>
      <c r="E1506" s="1">
        <v>43768</v>
      </c>
      <c r="F1506">
        <v>63.32</v>
      </c>
      <c r="G1506" s="1">
        <v>43823</v>
      </c>
      <c r="H1506">
        <v>25.46</v>
      </c>
      <c r="I1506" s="1">
        <v>43823</v>
      </c>
      <c r="J1506">
        <v>11.93</v>
      </c>
      <c r="K1506" s="1">
        <v>43747</v>
      </c>
      <c r="L1506">
        <v>99.117999999999995</v>
      </c>
    </row>
    <row r="1507" spans="1:12" x14ac:dyDescent="0.25">
      <c r="A1507" s="1">
        <v>43825</v>
      </c>
      <c r="B1507">
        <v>12.65</v>
      </c>
      <c r="C1507" s="1">
        <v>43825</v>
      </c>
      <c r="D1507">
        <v>15.81</v>
      </c>
      <c r="E1507" s="1">
        <v>43769</v>
      </c>
      <c r="F1507">
        <v>65.88</v>
      </c>
      <c r="G1507" s="1">
        <v>43825</v>
      </c>
      <c r="H1507">
        <v>24.08</v>
      </c>
      <c r="I1507" s="1">
        <v>43825</v>
      </c>
      <c r="J1507">
        <v>13.33</v>
      </c>
      <c r="K1507" s="1">
        <v>43748</v>
      </c>
      <c r="L1507">
        <v>98.700999999999993</v>
      </c>
    </row>
    <row r="1508" spans="1:12" x14ac:dyDescent="0.25">
      <c r="A1508" s="1">
        <v>43826</v>
      </c>
      <c r="B1508">
        <v>13.43</v>
      </c>
      <c r="C1508" s="1">
        <v>43826</v>
      </c>
      <c r="D1508">
        <v>16.28</v>
      </c>
      <c r="E1508" s="1">
        <v>43770</v>
      </c>
      <c r="F1508">
        <v>57.28</v>
      </c>
      <c r="G1508" s="1">
        <v>43826</v>
      </c>
      <c r="H1508">
        <v>25.16</v>
      </c>
      <c r="I1508" s="1">
        <v>43826</v>
      </c>
      <c r="J1508">
        <v>12.32</v>
      </c>
      <c r="K1508" s="1">
        <v>43749</v>
      </c>
      <c r="L1508">
        <v>98.301000000000002</v>
      </c>
    </row>
    <row r="1509" spans="1:12" x14ac:dyDescent="0.25">
      <c r="A1509" s="1">
        <v>43829</v>
      </c>
      <c r="B1509">
        <v>14.82</v>
      </c>
      <c r="C1509" s="1">
        <v>43829</v>
      </c>
      <c r="D1509">
        <v>17.260000000000002</v>
      </c>
      <c r="E1509" s="1">
        <v>43773</v>
      </c>
      <c r="F1509">
        <v>60.18</v>
      </c>
      <c r="G1509" s="1">
        <v>43829</v>
      </c>
      <c r="H1509">
        <v>25.86</v>
      </c>
      <c r="I1509" s="1">
        <v>43829</v>
      </c>
      <c r="J1509">
        <v>12.56</v>
      </c>
      <c r="K1509" s="1">
        <v>43752</v>
      </c>
      <c r="L1509">
        <v>98.453999999999994</v>
      </c>
    </row>
    <row r="1510" spans="1:12" x14ac:dyDescent="0.25">
      <c r="A1510" s="1">
        <v>43830</v>
      </c>
      <c r="B1510">
        <v>13.78</v>
      </c>
      <c r="C1510" s="1">
        <v>43830</v>
      </c>
      <c r="D1510">
        <v>17.27</v>
      </c>
      <c r="E1510" s="1">
        <v>43774</v>
      </c>
      <c r="F1510">
        <v>61.48</v>
      </c>
      <c r="G1510" s="1">
        <v>43830</v>
      </c>
      <c r="H1510">
        <v>28.3</v>
      </c>
      <c r="I1510" s="1">
        <v>43830</v>
      </c>
      <c r="J1510">
        <v>12.63</v>
      </c>
      <c r="K1510" s="1">
        <v>43753</v>
      </c>
      <c r="L1510">
        <v>98.287999999999997</v>
      </c>
    </row>
    <row r="1511" spans="1:12" x14ac:dyDescent="0.25">
      <c r="A1511" s="1">
        <v>43832</v>
      </c>
      <c r="B1511">
        <v>12.47</v>
      </c>
      <c r="C1511" s="1">
        <v>43832</v>
      </c>
      <c r="D1511">
        <v>16.96</v>
      </c>
      <c r="E1511" s="1">
        <v>43775</v>
      </c>
      <c r="F1511">
        <v>61.73</v>
      </c>
      <c r="G1511" s="1">
        <v>43832</v>
      </c>
      <c r="H1511">
        <v>28.75</v>
      </c>
      <c r="I1511" s="1">
        <v>43832</v>
      </c>
      <c r="J1511">
        <v>12.7</v>
      </c>
      <c r="K1511" s="1">
        <v>43754</v>
      </c>
      <c r="L1511">
        <v>98.001999999999995</v>
      </c>
    </row>
    <row r="1512" spans="1:12" x14ac:dyDescent="0.25">
      <c r="A1512" s="1">
        <v>43833</v>
      </c>
      <c r="B1512">
        <v>14.02</v>
      </c>
      <c r="C1512" s="1">
        <v>43833</v>
      </c>
      <c r="D1512">
        <v>18.309999999999999</v>
      </c>
      <c r="E1512" s="1">
        <v>43776</v>
      </c>
      <c r="F1512">
        <v>67.08</v>
      </c>
      <c r="G1512" s="1">
        <v>43833</v>
      </c>
      <c r="H1512">
        <v>31.92</v>
      </c>
      <c r="I1512" s="1">
        <v>43833</v>
      </c>
      <c r="J1512">
        <v>13.46</v>
      </c>
      <c r="K1512" s="1">
        <v>43755</v>
      </c>
      <c r="L1512">
        <v>97.606999999999999</v>
      </c>
    </row>
    <row r="1513" spans="1:12" x14ac:dyDescent="0.25">
      <c r="A1513" s="1">
        <v>43836</v>
      </c>
      <c r="B1513">
        <v>13.85</v>
      </c>
      <c r="C1513" s="1">
        <v>43836</v>
      </c>
      <c r="D1513">
        <v>17.63</v>
      </c>
      <c r="E1513" s="1">
        <v>43777</v>
      </c>
      <c r="F1513">
        <v>64.44</v>
      </c>
      <c r="G1513" s="1">
        <v>43836</v>
      </c>
      <c r="H1513">
        <v>32.32</v>
      </c>
      <c r="I1513" s="1">
        <v>43836</v>
      </c>
      <c r="J1513">
        <v>14.21</v>
      </c>
      <c r="K1513" s="1">
        <v>43756</v>
      </c>
      <c r="L1513">
        <v>97.281999999999996</v>
      </c>
    </row>
    <row r="1514" spans="1:12" x14ac:dyDescent="0.25">
      <c r="A1514" s="1">
        <v>43837</v>
      </c>
      <c r="B1514">
        <v>13.79</v>
      </c>
      <c r="C1514" s="1">
        <v>43837</v>
      </c>
      <c r="D1514">
        <v>16.100000000000001</v>
      </c>
      <c r="E1514" s="1">
        <v>43781</v>
      </c>
      <c r="F1514">
        <v>69.819999999999993</v>
      </c>
      <c r="G1514" s="1">
        <v>43837</v>
      </c>
      <c r="H1514">
        <v>31.8</v>
      </c>
      <c r="I1514" s="1">
        <v>43837</v>
      </c>
      <c r="J1514">
        <v>14.01</v>
      </c>
      <c r="K1514" s="1">
        <v>43759</v>
      </c>
      <c r="L1514">
        <v>97.328000000000003</v>
      </c>
    </row>
    <row r="1515" spans="1:12" x14ac:dyDescent="0.25">
      <c r="A1515" s="1">
        <v>43838</v>
      </c>
      <c r="B1515">
        <v>13.45</v>
      </c>
      <c r="C1515" s="1">
        <v>43838</v>
      </c>
      <c r="D1515">
        <v>16.21</v>
      </c>
      <c r="E1515" s="1">
        <v>43782</v>
      </c>
      <c r="F1515">
        <v>66.099999999999994</v>
      </c>
      <c r="G1515" s="1">
        <v>43838</v>
      </c>
      <c r="H1515">
        <v>32.6</v>
      </c>
      <c r="I1515" s="1">
        <v>43838</v>
      </c>
      <c r="J1515">
        <v>13.67</v>
      </c>
      <c r="K1515" s="1">
        <v>43760</v>
      </c>
      <c r="L1515">
        <v>97.525999999999996</v>
      </c>
    </row>
    <row r="1516" spans="1:12" x14ac:dyDescent="0.25">
      <c r="A1516" s="1">
        <v>43839</v>
      </c>
      <c r="B1516">
        <v>12.54</v>
      </c>
      <c r="C1516" s="1">
        <v>43839</v>
      </c>
      <c r="D1516">
        <v>15.35</v>
      </c>
      <c r="E1516" s="1">
        <v>43783</v>
      </c>
      <c r="F1516">
        <v>64.17</v>
      </c>
      <c r="G1516" s="1">
        <v>43839</v>
      </c>
      <c r="H1516">
        <v>33.22</v>
      </c>
      <c r="I1516" s="1">
        <v>43839</v>
      </c>
      <c r="J1516">
        <v>12.54</v>
      </c>
      <c r="K1516" s="1">
        <v>43761</v>
      </c>
      <c r="L1516">
        <v>97.491</v>
      </c>
    </row>
    <row r="1517" spans="1:12" x14ac:dyDescent="0.25">
      <c r="A1517" s="1">
        <v>43840</v>
      </c>
      <c r="B1517">
        <v>12.56</v>
      </c>
      <c r="C1517" s="1">
        <v>43840</v>
      </c>
      <c r="D1517">
        <v>15.01</v>
      </c>
      <c r="E1517" s="1">
        <v>43784</v>
      </c>
      <c r="F1517">
        <v>61.7</v>
      </c>
      <c r="G1517" s="1">
        <v>43840</v>
      </c>
      <c r="H1517">
        <v>30.38</v>
      </c>
      <c r="I1517" s="1">
        <v>43840</v>
      </c>
      <c r="J1517">
        <v>12.27</v>
      </c>
      <c r="K1517" s="1">
        <v>43762</v>
      </c>
      <c r="L1517">
        <v>97.631</v>
      </c>
    </row>
    <row r="1518" spans="1:12" x14ac:dyDescent="0.25">
      <c r="A1518" s="1">
        <v>43843</v>
      </c>
      <c r="B1518">
        <v>12.32</v>
      </c>
      <c r="C1518" s="1">
        <v>43843</v>
      </c>
      <c r="D1518">
        <v>14.86</v>
      </c>
      <c r="E1518" s="1">
        <v>43787</v>
      </c>
      <c r="F1518">
        <v>64.13</v>
      </c>
      <c r="G1518" s="1">
        <v>43843</v>
      </c>
      <c r="H1518">
        <v>34.25</v>
      </c>
      <c r="I1518" s="1">
        <v>43843</v>
      </c>
      <c r="J1518">
        <v>10.91</v>
      </c>
      <c r="K1518" s="1">
        <v>43763</v>
      </c>
      <c r="L1518">
        <v>97.831000000000003</v>
      </c>
    </row>
    <row r="1519" spans="1:12" x14ac:dyDescent="0.25">
      <c r="A1519" s="1">
        <v>43844</v>
      </c>
      <c r="B1519">
        <v>12.39</v>
      </c>
      <c r="C1519" s="1">
        <v>43844</v>
      </c>
      <c r="D1519">
        <v>14.93</v>
      </c>
      <c r="E1519" s="1">
        <v>43788</v>
      </c>
      <c r="F1519">
        <v>62.64</v>
      </c>
      <c r="G1519" s="1">
        <v>43844</v>
      </c>
      <c r="H1519">
        <v>33.619999999999997</v>
      </c>
      <c r="I1519" s="1">
        <v>43844</v>
      </c>
      <c r="J1519">
        <v>11.02</v>
      </c>
      <c r="K1519" s="1">
        <v>43766</v>
      </c>
      <c r="L1519">
        <v>97.763999999999996</v>
      </c>
    </row>
    <row r="1520" spans="1:12" x14ac:dyDescent="0.25">
      <c r="A1520" s="1">
        <v>43845</v>
      </c>
      <c r="B1520">
        <v>12.42</v>
      </c>
      <c r="C1520" s="1">
        <v>43845</v>
      </c>
      <c r="D1520">
        <v>14.94</v>
      </c>
      <c r="E1520" s="1">
        <v>43789</v>
      </c>
      <c r="F1520">
        <v>65.58</v>
      </c>
      <c r="G1520" s="1">
        <v>43845</v>
      </c>
      <c r="H1520">
        <v>33.380000000000003</v>
      </c>
      <c r="I1520" s="1">
        <v>43845</v>
      </c>
      <c r="J1520">
        <v>11.75</v>
      </c>
      <c r="K1520" s="1">
        <v>43767</v>
      </c>
      <c r="L1520">
        <v>97.69</v>
      </c>
    </row>
    <row r="1521" spans="1:12" x14ac:dyDescent="0.25">
      <c r="A1521" s="1">
        <v>43846</v>
      </c>
      <c r="B1521">
        <v>12.32</v>
      </c>
      <c r="C1521" s="1">
        <v>43846</v>
      </c>
      <c r="D1521">
        <v>14.23</v>
      </c>
      <c r="E1521" s="1">
        <v>43790</v>
      </c>
      <c r="F1521">
        <v>61.83</v>
      </c>
      <c r="G1521" s="1">
        <v>43846</v>
      </c>
      <c r="H1521">
        <v>29.79</v>
      </c>
      <c r="I1521" s="1">
        <v>43846</v>
      </c>
      <c r="J1521">
        <v>11.38</v>
      </c>
      <c r="K1521" s="1">
        <v>43768</v>
      </c>
      <c r="L1521">
        <v>97.646000000000001</v>
      </c>
    </row>
    <row r="1522" spans="1:12" x14ac:dyDescent="0.25">
      <c r="A1522" s="1">
        <v>43847</v>
      </c>
      <c r="B1522">
        <v>12.1</v>
      </c>
      <c r="C1522" s="1">
        <v>43847</v>
      </c>
      <c r="D1522">
        <v>14.19</v>
      </c>
      <c r="E1522" s="1">
        <v>43791</v>
      </c>
      <c r="F1522">
        <v>62.17</v>
      </c>
      <c r="G1522" s="1">
        <v>43847</v>
      </c>
      <c r="H1522">
        <v>28.6</v>
      </c>
      <c r="I1522" s="1">
        <v>43847</v>
      </c>
      <c r="J1522">
        <v>11.31</v>
      </c>
      <c r="K1522" s="1">
        <v>43769</v>
      </c>
      <c r="L1522">
        <v>97.352000000000004</v>
      </c>
    </row>
    <row r="1523" spans="1:12" x14ac:dyDescent="0.25">
      <c r="A1523" s="1">
        <v>43851</v>
      </c>
      <c r="B1523">
        <v>12.85</v>
      </c>
      <c r="C1523" s="1">
        <v>43851</v>
      </c>
      <c r="D1523">
        <v>16.559999999999999</v>
      </c>
      <c r="E1523" s="1">
        <v>43794</v>
      </c>
      <c r="F1523">
        <v>61.55</v>
      </c>
      <c r="G1523" s="1">
        <v>43851</v>
      </c>
      <c r="H1523">
        <v>27.66</v>
      </c>
      <c r="I1523" s="1">
        <v>43851</v>
      </c>
      <c r="J1523">
        <v>11.48</v>
      </c>
      <c r="K1523" s="1">
        <v>43770</v>
      </c>
      <c r="L1523">
        <v>97.239000000000004</v>
      </c>
    </row>
    <row r="1524" spans="1:12" x14ac:dyDescent="0.25">
      <c r="A1524" s="1">
        <v>43852</v>
      </c>
      <c r="B1524">
        <v>12.91</v>
      </c>
      <c r="C1524" s="1">
        <v>43852</v>
      </c>
      <c r="D1524">
        <v>15.92</v>
      </c>
      <c r="E1524" s="1">
        <v>43795</v>
      </c>
      <c r="F1524">
        <v>60.39</v>
      </c>
      <c r="G1524" s="1">
        <v>43852</v>
      </c>
      <c r="H1524">
        <v>30.7</v>
      </c>
      <c r="I1524" s="1">
        <v>43852</v>
      </c>
      <c r="J1524">
        <v>11.16</v>
      </c>
      <c r="K1524" s="1">
        <v>43773</v>
      </c>
      <c r="L1524">
        <v>97.504999999999995</v>
      </c>
    </row>
    <row r="1525" spans="1:12" x14ac:dyDescent="0.25">
      <c r="A1525" s="1">
        <v>43853</v>
      </c>
      <c r="B1525">
        <v>12.98</v>
      </c>
      <c r="C1525" s="1">
        <v>43853</v>
      </c>
      <c r="D1525">
        <v>17.03</v>
      </c>
      <c r="E1525" s="1">
        <v>43796</v>
      </c>
      <c r="F1525">
        <v>57.62</v>
      </c>
      <c r="G1525" s="1">
        <v>43853</v>
      </c>
      <c r="H1525">
        <v>31.95</v>
      </c>
      <c r="I1525" s="1">
        <v>43853</v>
      </c>
      <c r="J1525">
        <v>11.61</v>
      </c>
      <c r="K1525" s="1">
        <v>43774</v>
      </c>
      <c r="L1525">
        <v>97.983000000000004</v>
      </c>
    </row>
    <row r="1526" spans="1:12" x14ac:dyDescent="0.25">
      <c r="A1526" s="1">
        <v>43854</v>
      </c>
      <c r="B1526">
        <v>14.56</v>
      </c>
      <c r="C1526" s="1">
        <v>43854</v>
      </c>
      <c r="D1526">
        <v>18.88</v>
      </c>
      <c r="E1526" s="1">
        <v>43798</v>
      </c>
      <c r="F1526">
        <v>56.57</v>
      </c>
      <c r="G1526" s="1">
        <v>43854</v>
      </c>
      <c r="H1526">
        <v>34.549999999999997</v>
      </c>
      <c r="I1526" s="1">
        <v>43854</v>
      </c>
      <c r="J1526">
        <v>12.48</v>
      </c>
      <c r="K1526" s="1">
        <v>43775</v>
      </c>
      <c r="L1526">
        <v>97.951999999999998</v>
      </c>
    </row>
    <row r="1527" spans="1:12" x14ac:dyDescent="0.25">
      <c r="A1527" s="1">
        <v>43857</v>
      </c>
      <c r="B1527">
        <v>18.23</v>
      </c>
      <c r="C1527" s="1">
        <v>43857</v>
      </c>
      <c r="D1527">
        <v>22.1</v>
      </c>
      <c r="E1527" s="1">
        <v>43801</v>
      </c>
      <c r="F1527">
        <v>59.42</v>
      </c>
      <c r="G1527" s="1">
        <v>43857</v>
      </c>
      <c r="H1527">
        <v>37.72</v>
      </c>
      <c r="I1527" s="1">
        <v>43857</v>
      </c>
      <c r="J1527">
        <v>12.9</v>
      </c>
      <c r="K1527" s="1">
        <v>43776</v>
      </c>
      <c r="L1527">
        <v>98.143000000000001</v>
      </c>
    </row>
    <row r="1528" spans="1:12" x14ac:dyDescent="0.25">
      <c r="A1528" s="1">
        <v>43858</v>
      </c>
      <c r="B1528">
        <v>16.28</v>
      </c>
      <c r="C1528" s="1">
        <v>43858</v>
      </c>
      <c r="D1528">
        <v>20.48</v>
      </c>
      <c r="E1528" s="1">
        <v>43802</v>
      </c>
      <c r="F1528">
        <v>64.62</v>
      </c>
      <c r="G1528" s="1">
        <v>43858</v>
      </c>
      <c r="H1528">
        <v>36.42</v>
      </c>
      <c r="I1528" s="1">
        <v>43858</v>
      </c>
      <c r="J1528">
        <v>11.89</v>
      </c>
      <c r="K1528" s="1">
        <v>43777</v>
      </c>
      <c r="L1528">
        <v>98.352999999999994</v>
      </c>
    </row>
    <row r="1529" spans="1:12" x14ac:dyDescent="0.25">
      <c r="A1529" s="1">
        <v>43859</v>
      </c>
      <c r="B1529">
        <v>16.39</v>
      </c>
      <c r="C1529" s="1">
        <v>43859</v>
      </c>
      <c r="D1529">
        <v>19.260000000000002</v>
      </c>
      <c r="E1529" s="1">
        <v>43803</v>
      </c>
      <c r="F1529">
        <v>63.01</v>
      </c>
      <c r="G1529" s="1">
        <v>43859</v>
      </c>
      <c r="H1529">
        <v>35.729999999999997</v>
      </c>
      <c r="I1529" s="1">
        <v>43859</v>
      </c>
      <c r="J1529">
        <v>12.09</v>
      </c>
      <c r="K1529" s="1">
        <v>43780</v>
      </c>
      <c r="L1529">
        <v>98.2</v>
      </c>
    </row>
    <row r="1530" spans="1:12" x14ac:dyDescent="0.25">
      <c r="A1530" s="1">
        <v>43860</v>
      </c>
      <c r="B1530">
        <v>15.49</v>
      </c>
      <c r="C1530" s="1">
        <v>43860</v>
      </c>
      <c r="D1530">
        <v>20.54</v>
      </c>
      <c r="E1530" s="1">
        <v>43804</v>
      </c>
      <c r="F1530">
        <v>63.73</v>
      </c>
      <c r="G1530" s="1">
        <v>43860</v>
      </c>
      <c r="H1530">
        <v>37.49</v>
      </c>
      <c r="I1530" s="1">
        <v>43860</v>
      </c>
      <c r="J1530">
        <v>12.23</v>
      </c>
      <c r="K1530" s="1">
        <v>43781</v>
      </c>
      <c r="L1530">
        <v>98.308999999999997</v>
      </c>
    </row>
    <row r="1531" spans="1:12" x14ac:dyDescent="0.25">
      <c r="A1531" s="1">
        <v>43861</v>
      </c>
      <c r="B1531">
        <v>18.84</v>
      </c>
      <c r="C1531" s="1">
        <v>43861</v>
      </c>
      <c r="D1531">
        <v>22.99</v>
      </c>
      <c r="E1531" s="1">
        <v>43805</v>
      </c>
      <c r="F1531">
        <v>64.069999999999993</v>
      </c>
      <c r="G1531" s="1">
        <v>43861</v>
      </c>
      <c r="H1531">
        <v>40.35</v>
      </c>
      <c r="I1531" s="1">
        <v>43861</v>
      </c>
      <c r="J1531">
        <v>13.5</v>
      </c>
      <c r="K1531" s="1">
        <v>43782</v>
      </c>
      <c r="L1531">
        <v>98.373000000000005</v>
      </c>
    </row>
    <row r="1532" spans="1:12" x14ac:dyDescent="0.25">
      <c r="A1532" s="1">
        <v>43864</v>
      </c>
      <c r="B1532">
        <v>17.97</v>
      </c>
      <c r="C1532" s="1">
        <v>43864</v>
      </c>
      <c r="D1532">
        <v>21.43</v>
      </c>
      <c r="E1532" s="1">
        <v>43808</v>
      </c>
      <c r="F1532">
        <v>67.290000000000006</v>
      </c>
      <c r="G1532" s="1">
        <v>43864</v>
      </c>
      <c r="H1532">
        <v>41.81</v>
      </c>
      <c r="I1532" s="1">
        <v>43864</v>
      </c>
      <c r="J1532">
        <v>12.48</v>
      </c>
      <c r="K1532" s="1">
        <v>43783</v>
      </c>
      <c r="L1532">
        <v>98.162999999999997</v>
      </c>
    </row>
    <row r="1533" spans="1:12" x14ac:dyDescent="0.25">
      <c r="A1533" s="1">
        <v>43865</v>
      </c>
      <c r="B1533">
        <v>16.05</v>
      </c>
      <c r="C1533" s="1">
        <v>43865</v>
      </c>
      <c r="D1533">
        <v>19.809999999999999</v>
      </c>
      <c r="E1533" s="1">
        <v>43809</v>
      </c>
      <c r="F1533">
        <v>67.09</v>
      </c>
      <c r="G1533" s="1">
        <v>43865</v>
      </c>
      <c r="H1533">
        <v>39.44</v>
      </c>
      <c r="I1533" s="1">
        <v>43865</v>
      </c>
      <c r="J1533">
        <v>12.01</v>
      </c>
      <c r="K1533" s="1">
        <v>43784</v>
      </c>
      <c r="L1533">
        <v>97.998999999999995</v>
      </c>
    </row>
    <row r="1534" spans="1:12" x14ac:dyDescent="0.25">
      <c r="A1534" s="1">
        <v>43866</v>
      </c>
      <c r="B1534">
        <v>15.15</v>
      </c>
      <c r="C1534" s="1">
        <v>43866</v>
      </c>
      <c r="D1534">
        <v>19.12</v>
      </c>
      <c r="E1534" s="1">
        <v>43810</v>
      </c>
      <c r="F1534">
        <v>61.3</v>
      </c>
      <c r="G1534" s="1">
        <v>43866</v>
      </c>
      <c r="H1534">
        <v>37.880000000000003</v>
      </c>
      <c r="I1534" s="1">
        <v>43866</v>
      </c>
      <c r="J1534">
        <v>11.32</v>
      </c>
      <c r="K1534" s="1">
        <v>43787</v>
      </c>
      <c r="L1534">
        <v>97.793999999999997</v>
      </c>
    </row>
    <row r="1535" spans="1:12" x14ac:dyDescent="0.25">
      <c r="A1535" s="1">
        <v>43867</v>
      </c>
      <c r="B1535">
        <v>14.96</v>
      </c>
      <c r="C1535" s="1">
        <v>43867</v>
      </c>
      <c r="D1535">
        <v>19.09</v>
      </c>
      <c r="E1535" s="1">
        <v>43811</v>
      </c>
      <c r="F1535">
        <v>61.63</v>
      </c>
      <c r="G1535" s="1">
        <v>43867</v>
      </c>
      <c r="H1535">
        <v>36.44</v>
      </c>
      <c r="I1535" s="1">
        <v>43867</v>
      </c>
      <c r="J1535">
        <v>11.45</v>
      </c>
      <c r="K1535" s="1">
        <v>43788</v>
      </c>
      <c r="L1535">
        <v>97.855999999999995</v>
      </c>
    </row>
    <row r="1536" spans="1:12" x14ac:dyDescent="0.25">
      <c r="A1536" s="1">
        <v>43868</v>
      </c>
      <c r="B1536">
        <v>15.47</v>
      </c>
      <c r="C1536" s="1">
        <v>43868</v>
      </c>
      <c r="D1536">
        <v>19.53</v>
      </c>
      <c r="E1536" s="1">
        <v>43812</v>
      </c>
      <c r="F1536">
        <v>56.44</v>
      </c>
      <c r="G1536" s="1">
        <v>43868</v>
      </c>
      <c r="H1536">
        <v>37.51</v>
      </c>
      <c r="I1536" s="1">
        <v>43868</v>
      </c>
      <c r="J1536">
        <v>11.3</v>
      </c>
      <c r="K1536" s="1">
        <v>43789</v>
      </c>
      <c r="L1536">
        <v>97.933999999999997</v>
      </c>
    </row>
    <row r="1537" spans="1:12" x14ac:dyDescent="0.25">
      <c r="A1537" s="1">
        <v>43871</v>
      </c>
      <c r="B1537">
        <v>15.04</v>
      </c>
      <c r="C1537" s="1">
        <v>43871</v>
      </c>
      <c r="D1537">
        <v>18.57</v>
      </c>
      <c r="E1537" s="1">
        <v>43815</v>
      </c>
      <c r="F1537">
        <v>56.13</v>
      </c>
      <c r="G1537" s="1">
        <v>43871</v>
      </c>
      <c r="H1537">
        <v>39.01</v>
      </c>
      <c r="I1537" s="1">
        <v>43871</v>
      </c>
      <c r="J1537">
        <v>11.91</v>
      </c>
      <c r="K1537" s="1">
        <v>43790</v>
      </c>
      <c r="L1537">
        <v>97.992999999999995</v>
      </c>
    </row>
    <row r="1538" spans="1:12" x14ac:dyDescent="0.25">
      <c r="A1538" s="1">
        <v>43872</v>
      </c>
      <c r="B1538">
        <v>15.18</v>
      </c>
      <c r="C1538" s="1">
        <v>43872</v>
      </c>
      <c r="D1538">
        <v>17.940000000000001</v>
      </c>
      <c r="E1538" s="1">
        <v>43816</v>
      </c>
      <c r="F1538">
        <v>55.38</v>
      </c>
      <c r="G1538" s="1">
        <v>43872</v>
      </c>
      <c r="H1538">
        <v>37.520000000000003</v>
      </c>
      <c r="I1538" s="1">
        <v>43872</v>
      </c>
      <c r="J1538">
        <v>11.48</v>
      </c>
      <c r="K1538" s="1">
        <v>43791</v>
      </c>
      <c r="L1538">
        <v>98.27</v>
      </c>
    </row>
    <row r="1539" spans="1:12" x14ac:dyDescent="0.25">
      <c r="A1539" s="1">
        <v>43873</v>
      </c>
      <c r="B1539">
        <v>13.74</v>
      </c>
      <c r="C1539" s="1">
        <v>43873</v>
      </c>
      <c r="D1539">
        <v>17.03</v>
      </c>
      <c r="E1539" s="1">
        <v>43817</v>
      </c>
      <c r="F1539">
        <v>53.41</v>
      </c>
      <c r="G1539" s="1">
        <v>43873</v>
      </c>
      <c r="H1539">
        <v>35.58</v>
      </c>
      <c r="I1539" s="1">
        <v>43873</v>
      </c>
      <c r="J1539">
        <v>11.07</v>
      </c>
      <c r="K1539" s="1">
        <v>43794</v>
      </c>
      <c r="L1539">
        <v>98.322999999999993</v>
      </c>
    </row>
    <row r="1540" spans="1:12" x14ac:dyDescent="0.25">
      <c r="A1540" s="1">
        <v>43874</v>
      </c>
      <c r="B1540">
        <v>14.15</v>
      </c>
      <c r="C1540" s="1">
        <v>43874</v>
      </c>
      <c r="D1540">
        <v>18.079999999999998</v>
      </c>
      <c r="E1540" s="1">
        <v>43818</v>
      </c>
      <c r="F1540">
        <v>53.7</v>
      </c>
      <c r="G1540" s="1">
        <v>43874</v>
      </c>
      <c r="H1540">
        <v>35.840000000000003</v>
      </c>
      <c r="I1540" s="1">
        <v>43874</v>
      </c>
      <c r="J1540">
        <v>11.59</v>
      </c>
      <c r="K1540" s="1">
        <v>43795</v>
      </c>
      <c r="L1540">
        <v>98.251999999999995</v>
      </c>
    </row>
    <row r="1541" spans="1:12" x14ac:dyDescent="0.25">
      <c r="A1541" s="1">
        <v>43875</v>
      </c>
      <c r="B1541">
        <v>13.68</v>
      </c>
      <c r="C1541" s="1">
        <v>43875</v>
      </c>
      <c r="D1541">
        <v>17.27</v>
      </c>
      <c r="E1541" s="1">
        <v>43819</v>
      </c>
      <c r="F1541">
        <v>54.19</v>
      </c>
      <c r="G1541" s="1">
        <v>43875</v>
      </c>
      <c r="H1541">
        <v>35.93</v>
      </c>
      <c r="I1541" s="1">
        <v>43875</v>
      </c>
      <c r="J1541">
        <v>11.62</v>
      </c>
      <c r="K1541" s="1">
        <v>43796</v>
      </c>
      <c r="L1541">
        <v>98.37</v>
      </c>
    </row>
    <row r="1542" spans="1:12" x14ac:dyDescent="0.25">
      <c r="A1542" s="1">
        <v>43879</v>
      </c>
      <c r="B1542">
        <v>14.83</v>
      </c>
      <c r="C1542" s="1">
        <v>43879</v>
      </c>
      <c r="D1542">
        <v>17.78</v>
      </c>
      <c r="E1542" s="1">
        <v>43822</v>
      </c>
      <c r="F1542">
        <v>55.31</v>
      </c>
      <c r="G1542" s="1">
        <v>43879</v>
      </c>
      <c r="H1542">
        <v>33.47</v>
      </c>
      <c r="I1542" s="1">
        <v>43879</v>
      </c>
      <c r="J1542">
        <v>13.02</v>
      </c>
      <c r="K1542" s="1">
        <v>43797</v>
      </c>
      <c r="L1542">
        <v>98.37</v>
      </c>
    </row>
    <row r="1543" spans="1:12" x14ac:dyDescent="0.25">
      <c r="A1543" s="1">
        <v>43880</v>
      </c>
      <c r="B1543">
        <v>14.38</v>
      </c>
      <c r="C1543" s="1">
        <v>43880</v>
      </c>
      <c r="D1543">
        <v>17.43</v>
      </c>
      <c r="E1543" s="1">
        <v>43823</v>
      </c>
      <c r="F1543">
        <v>58.32</v>
      </c>
      <c r="G1543" s="1">
        <v>43880</v>
      </c>
      <c r="H1543">
        <v>32.270000000000003</v>
      </c>
      <c r="I1543" s="1">
        <v>43880</v>
      </c>
      <c r="J1543">
        <v>13.34</v>
      </c>
      <c r="K1543" s="1">
        <v>43798</v>
      </c>
      <c r="L1543">
        <v>98.272999999999996</v>
      </c>
    </row>
    <row r="1544" spans="1:12" x14ac:dyDescent="0.25">
      <c r="A1544" s="1">
        <v>43881</v>
      </c>
      <c r="B1544">
        <v>15.56</v>
      </c>
      <c r="C1544" s="1">
        <v>43881</v>
      </c>
      <c r="D1544">
        <v>18.48</v>
      </c>
      <c r="E1544" s="1">
        <v>43825</v>
      </c>
      <c r="F1544">
        <v>56.42</v>
      </c>
      <c r="G1544" s="1">
        <v>43881</v>
      </c>
      <c r="H1544">
        <v>33.159999999999997</v>
      </c>
      <c r="I1544" s="1">
        <v>43881</v>
      </c>
      <c r="J1544">
        <v>13.35</v>
      </c>
      <c r="K1544" s="1">
        <v>43801</v>
      </c>
      <c r="L1544">
        <v>97.855999999999995</v>
      </c>
    </row>
    <row r="1545" spans="1:12" x14ac:dyDescent="0.25">
      <c r="A1545" s="1">
        <v>43882</v>
      </c>
      <c r="B1545">
        <v>17.079999999999998</v>
      </c>
      <c r="C1545" s="1">
        <v>43882</v>
      </c>
      <c r="D1545">
        <v>19.559999999999999</v>
      </c>
      <c r="E1545" s="1">
        <v>43826</v>
      </c>
      <c r="F1545">
        <v>55.3</v>
      </c>
      <c r="G1545" s="1">
        <v>43882</v>
      </c>
      <c r="H1545">
        <v>35.869999999999997</v>
      </c>
      <c r="I1545" s="1">
        <v>43882</v>
      </c>
      <c r="J1545">
        <v>15.79</v>
      </c>
      <c r="K1545" s="1">
        <v>43802</v>
      </c>
      <c r="L1545">
        <v>97.736999999999995</v>
      </c>
    </row>
    <row r="1546" spans="1:12" x14ac:dyDescent="0.25">
      <c r="A1546" s="1">
        <v>43885</v>
      </c>
      <c r="B1546">
        <v>25.03</v>
      </c>
      <c r="C1546" s="1">
        <v>43885</v>
      </c>
      <c r="D1546">
        <v>24.9</v>
      </c>
      <c r="E1546" s="1">
        <v>43829</v>
      </c>
      <c r="F1546">
        <v>59.63</v>
      </c>
      <c r="G1546" s="1">
        <v>43885</v>
      </c>
      <c r="H1546">
        <v>39.53</v>
      </c>
      <c r="I1546" s="1">
        <v>43885</v>
      </c>
      <c r="J1546">
        <v>17.579999999999998</v>
      </c>
      <c r="K1546" s="1">
        <v>43803</v>
      </c>
      <c r="L1546">
        <v>97.647999999999996</v>
      </c>
    </row>
    <row r="1547" spans="1:12" x14ac:dyDescent="0.25">
      <c r="A1547" s="1">
        <v>43886</v>
      </c>
      <c r="B1547">
        <v>27.85</v>
      </c>
      <c r="C1547" s="1">
        <v>43886</v>
      </c>
      <c r="D1547">
        <v>26.6</v>
      </c>
      <c r="E1547" s="1">
        <v>43830</v>
      </c>
      <c r="F1547">
        <v>58.28</v>
      </c>
      <c r="G1547" s="1">
        <v>43886</v>
      </c>
      <c r="H1547">
        <v>42.5</v>
      </c>
      <c r="I1547" s="1">
        <v>43886</v>
      </c>
      <c r="J1547">
        <v>18.13</v>
      </c>
      <c r="K1547" s="1">
        <v>43804</v>
      </c>
      <c r="L1547">
        <v>97.41</v>
      </c>
    </row>
    <row r="1548" spans="1:12" x14ac:dyDescent="0.25">
      <c r="A1548" s="1">
        <v>43887</v>
      </c>
      <c r="B1548">
        <v>27.56</v>
      </c>
      <c r="C1548" s="1">
        <v>43887</v>
      </c>
      <c r="D1548">
        <v>26.76</v>
      </c>
      <c r="E1548" s="1">
        <v>43832</v>
      </c>
      <c r="F1548">
        <v>57.2</v>
      </c>
      <c r="G1548" s="1">
        <v>43887</v>
      </c>
      <c r="H1548">
        <v>43.4</v>
      </c>
      <c r="I1548" s="1">
        <v>43887</v>
      </c>
      <c r="J1548">
        <v>16.48</v>
      </c>
      <c r="K1548" s="1">
        <v>43805</v>
      </c>
      <c r="L1548">
        <v>97.7</v>
      </c>
    </row>
    <row r="1549" spans="1:12" x14ac:dyDescent="0.25">
      <c r="A1549" s="1">
        <v>43888</v>
      </c>
      <c r="B1549">
        <v>39.159999999999997</v>
      </c>
      <c r="C1549" s="1">
        <v>43888</v>
      </c>
      <c r="D1549">
        <v>33.32</v>
      </c>
      <c r="E1549" s="1">
        <v>43833</v>
      </c>
      <c r="F1549">
        <v>60.12</v>
      </c>
      <c r="G1549" s="1">
        <v>43888</v>
      </c>
      <c r="H1549">
        <v>49.42</v>
      </c>
      <c r="I1549" s="1">
        <v>43888</v>
      </c>
      <c r="J1549">
        <v>18.05</v>
      </c>
      <c r="K1549" s="1">
        <v>43808</v>
      </c>
      <c r="L1549">
        <v>97.644000000000005</v>
      </c>
    </row>
    <row r="1550" spans="1:12" x14ac:dyDescent="0.25">
      <c r="A1550" s="1">
        <v>43889</v>
      </c>
      <c r="B1550">
        <v>40.11</v>
      </c>
      <c r="C1550" s="1">
        <v>43889</v>
      </c>
      <c r="D1550">
        <v>43.16</v>
      </c>
      <c r="E1550" s="1">
        <v>43836</v>
      </c>
      <c r="F1550">
        <v>62.79</v>
      </c>
      <c r="G1550" s="1">
        <v>43889</v>
      </c>
      <c r="H1550">
        <v>51.25</v>
      </c>
      <c r="I1550" s="1">
        <v>43889</v>
      </c>
      <c r="J1550">
        <v>21.27</v>
      </c>
      <c r="K1550" s="1">
        <v>43809</v>
      </c>
      <c r="L1550">
        <v>97.412999999999997</v>
      </c>
    </row>
    <row r="1551" spans="1:12" x14ac:dyDescent="0.25">
      <c r="A1551" s="1">
        <v>43892</v>
      </c>
      <c r="B1551">
        <v>33.42</v>
      </c>
      <c r="C1551" s="1">
        <v>43892</v>
      </c>
      <c r="D1551">
        <v>31.18</v>
      </c>
      <c r="E1551" s="1">
        <v>43837</v>
      </c>
      <c r="F1551">
        <v>62.63</v>
      </c>
      <c r="G1551" s="1">
        <v>43892</v>
      </c>
      <c r="H1551">
        <v>48.33</v>
      </c>
      <c r="I1551" s="1">
        <v>43892</v>
      </c>
      <c r="J1551">
        <v>18.98</v>
      </c>
      <c r="K1551" s="1">
        <v>43810</v>
      </c>
      <c r="L1551">
        <v>97.078000000000003</v>
      </c>
    </row>
    <row r="1552" spans="1:12" x14ac:dyDescent="0.25">
      <c r="A1552" s="1">
        <v>43893</v>
      </c>
      <c r="B1552">
        <v>36.82</v>
      </c>
      <c r="C1552" s="1">
        <v>43893</v>
      </c>
      <c r="D1552">
        <v>32.880000000000003</v>
      </c>
      <c r="E1552" s="1">
        <v>43838</v>
      </c>
      <c r="F1552">
        <v>60.49</v>
      </c>
      <c r="G1552" s="1">
        <v>43893</v>
      </c>
      <c r="H1552">
        <v>50.8</v>
      </c>
      <c r="I1552" s="1">
        <v>43893</v>
      </c>
      <c r="J1552">
        <v>22.01</v>
      </c>
      <c r="K1552" s="1">
        <v>43811</v>
      </c>
      <c r="L1552">
        <v>97.397000000000006</v>
      </c>
    </row>
    <row r="1553" spans="1:12" x14ac:dyDescent="0.25">
      <c r="A1553" s="1">
        <v>43894</v>
      </c>
      <c r="B1553">
        <v>31.99</v>
      </c>
      <c r="C1553" s="1">
        <v>43894</v>
      </c>
      <c r="D1553">
        <v>26.49</v>
      </c>
      <c r="E1553" s="1">
        <v>43839</v>
      </c>
      <c r="F1553">
        <v>57.66</v>
      </c>
      <c r="G1553" s="1">
        <v>43894</v>
      </c>
      <c r="H1553">
        <v>50.59</v>
      </c>
      <c r="I1553" s="1">
        <v>43894</v>
      </c>
      <c r="J1553">
        <v>18.55</v>
      </c>
      <c r="K1553" s="1">
        <v>43812</v>
      </c>
      <c r="L1553">
        <v>97.171999999999997</v>
      </c>
    </row>
    <row r="1554" spans="1:12" x14ac:dyDescent="0.25">
      <c r="A1554" s="1">
        <v>43895</v>
      </c>
      <c r="B1554">
        <v>39.619999999999997</v>
      </c>
      <c r="C1554" s="1">
        <v>43895</v>
      </c>
      <c r="D1554">
        <v>30.21</v>
      </c>
      <c r="E1554" s="1">
        <v>43840</v>
      </c>
      <c r="F1554">
        <v>53.32</v>
      </c>
      <c r="G1554" s="1">
        <v>43895</v>
      </c>
      <c r="H1554">
        <v>52.58</v>
      </c>
      <c r="I1554" s="1">
        <v>43895</v>
      </c>
      <c r="J1554">
        <v>22.43</v>
      </c>
      <c r="K1554" s="1">
        <v>43815</v>
      </c>
      <c r="L1554">
        <v>97.019000000000005</v>
      </c>
    </row>
    <row r="1555" spans="1:12" x14ac:dyDescent="0.25">
      <c r="A1555" s="1">
        <v>43896</v>
      </c>
      <c r="B1555">
        <v>41.94</v>
      </c>
      <c r="C1555" s="1">
        <v>43896</v>
      </c>
      <c r="D1555">
        <v>34.549999999999997</v>
      </c>
      <c r="E1555" s="1">
        <v>43843</v>
      </c>
      <c r="F1555">
        <v>53.27</v>
      </c>
      <c r="G1555" s="1">
        <v>43896</v>
      </c>
      <c r="H1555">
        <v>65.02</v>
      </c>
      <c r="I1555" s="1">
        <v>43896</v>
      </c>
      <c r="J1555">
        <v>25.12</v>
      </c>
      <c r="K1555" s="1">
        <v>43816</v>
      </c>
      <c r="L1555">
        <v>97.221999999999994</v>
      </c>
    </row>
    <row r="1556" spans="1:12" x14ac:dyDescent="0.25">
      <c r="A1556" s="1">
        <v>43899</v>
      </c>
      <c r="B1556">
        <v>54.46</v>
      </c>
      <c r="C1556" s="1">
        <v>43899</v>
      </c>
      <c r="D1556">
        <v>48.34</v>
      </c>
      <c r="E1556" s="1">
        <v>43844</v>
      </c>
      <c r="F1556">
        <v>52.35</v>
      </c>
      <c r="G1556" s="1">
        <v>43899</v>
      </c>
      <c r="H1556">
        <v>115.92</v>
      </c>
      <c r="I1556" s="1">
        <v>43899</v>
      </c>
      <c r="J1556">
        <v>31.29</v>
      </c>
      <c r="K1556" s="1">
        <v>43817</v>
      </c>
      <c r="L1556">
        <v>97.4</v>
      </c>
    </row>
    <row r="1557" spans="1:12" x14ac:dyDescent="0.25">
      <c r="A1557" s="1">
        <v>43900</v>
      </c>
      <c r="B1557">
        <v>47.3</v>
      </c>
      <c r="C1557" s="1">
        <v>43900</v>
      </c>
      <c r="D1557">
        <v>40.08</v>
      </c>
      <c r="E1557" s="1">
        <v>43845</v>
      </c>
      <c r="F1557">
        <v>50.54</v>
      </c>
      <c r="G1557" s="1">
        <v>43900</v>
      </c>
      <c r="H1557">
        <v>92.93</v>
      </c>
      <c r="I1557" s="1">
        <v>43900</v>
      </c>
      <c r="J1557">
        <v>23.99</v>
      </c>
      <c r="K1557" s="1">
        <v>43818</v>
      </c>
      <c r="L1557">
        <v>97.379000000000005</v>
      </c>
    </row>
    <row r="1558" spans="1:12" x14ac:dyDescent="0.25">
      <c r="A1558" s="1">
        <v>43901</v>
      </c>
      <c r="B1558">
        <v>53.9</v>
      </c>
      <c r="C1558" s="1">
        <v>43901</v>
      </c>
      <c r="D1558">
        <v>48.03</v>
      </c>
      <c r="E1558" s="1">
        <v>43846</v>
      </c>
      <c r="F1558">
        <v>50.37</v>
      </c>
      <c r="G1558" s="1">
        <v>43901</v>
      </c>
      <c r="H1558">
        <v>105.25</v>
      </c>
      <c r="I1558" s="1">
        <v>43901</v>
      </c>
      <c r="J1558">
        <v>26.74</v>
      </c>
      <c r="K1558" s="1">
        <v>43819</v>
      </c>
      <c r="L1558">
        <v>97.69</v>
      </c>
    </row>
    <row r="1559" spans="1:12" x14ac:dyDescent="0.25">
      <c r="A1559" s="1">
        <v>43902</v>
      </c>
      <c r="B1559">
        <v>75.47</v>
      </c>
      <c r="C1559" s="1">
        <v>43902</v>
      </c>
      <c r="D1559">
        <v>65.430000000000007</v>
      </c>
      <c r="E1559" s="1">
        <v>43847</v>
      </c>
      <c r="F1559">
        <v>49.67</v>
      </c>
      <c r="G1559" s="1">
        <v>43902</v>
      </c>
      <c r="H1559">
        <v>123.45</v>
      </c>
      <c r="I1559" s="1">
        <v>43902</v>
      </c>
      <c r="J1559">
        <v>30.18</v>
      </c>
      <c r="K1559" s="1">
        <v>43822</v>
      </c>
      <c r="L1559">
        <v>97.658000000000001</v>
      </c>
    </row>
    <row r="1560" spans="1:12" x14ac:dyDescent="0.25">
      <c r="A1560" s="1">
        <v>43903</v>
      </c>
      <c r="B1560">
        <v>57.83</v>
      </c>
      <c r="C1560" s="1">
        <v>43903</v>
      </c>
      <c r="D1560">
        <v>66.819999999999993</v>
      </c>
      <c r="E1560" s="1">
        <v>43851</v>
      </c>
      <c r="F1560">
        <v>53.42</v>
      </c>
      <c r="G1560" s="1">
        <v>43903</v>
      </c>
      <c r="H1560">
        <v>118.48</v>
      </c>
      <c r="I1560" s="1">
        <v>43903</v>
      </c>
      <c r="J1560">
        <v>37.43</v>
      </c>
      <c r="K1560" s="1">
        <v>43823</v>
      </c>
      <c r="L1560">
        <v>97.653999999999996</v>
      </c>
    </row>
    <row r="1561" spans="1:12" x14ac:dyDescent="0.25">
      <c r="A1561" s="1">
        <v>43906</v>
      </c>
      <c r="B1561">
        <v>82.69</v>
      </c>
      <c r="C1561" s="1">
        <v>43906</v>
      </c>
      <c r="D1561">
        <v>92.46</v>
      </c>
      <c r="E1561" s="1">
        <v>43852</v>
      </c>
      <c r="F1561">
        <v>51.31</v>
      </c>
      <c r="G1561" s="1">
        <v>43906</v>
      </c>
      <c r="H1561">
        <v>128.5</v>
      </c>
      <c r="I1561" s="1">
        <v>43906</v>
      </c>
      <c r="J1561">
        <v>41.43</v>
      </c>
      <c r="K1561" s="1">
        <v>43824</v>
      </c>
      <c r="L1561">
        <v>97.632000000000005</v>
      </c>
    </row>
    <row r="1562" spans="1:12" x14ac:dyDescent="0.25">
      <c r="A1562" s="1">
        <v>43907</v>
      </c>
      <c r="B1562">
        <v>75.91</v>
      </c>
      <c r="C1562" s="1">
        <v>43907</v>
      </c>
      <c r="D1562">
        <v>77.83</v>
      </c>
      <c r="E1562" s="1">
        <v>43853</v>
      </c>
      <c r="F1562">
        <v>55.34</v>
      </c>
      <c r="G1562" s="1">
        <v>43907</v>
      </c>
      <c r="H1562">
        <v>133.32</v>
      </c>
      <c r="I1562" s="1">
        <v>43907</v>
      </c>
      <c r="J1562">
        <v>45.27</v>
      </c>
      <c r="K1562" s="1">
        <v>43825</v>
      </c>
      <c r="L1562">
        <v>97.534000000000006</v>
      </c>
    </row>
    <row r="1563" spans="1:12" x14ac:dyDescent="0.25">
      <c r="A1563" s="1">
        <v>43908</v>
      </c>
      <c r="B1563">
        <v>76.45</v>
      </c>
      <c r="C1563" s="1">
        <v>43908</v>
      </c>
      <c r="D1563">
        <v>89.28</v>
      </c>
      <c r="E1563" s="1">
        <v>43854</v>
      </c>
      <c r="F1563">
        <v>59.94</v>
      </c>
      <c r="G1563" s="1">
        <v>43908</v>
      </c>
      <c r="H1563">
        <v>166.79</v>
      </c>
      <c r="I1563" s="1">
        <v>43908</v>
      </c>
      <c r="J1563">
        <v>48.98</v>
      </c>
      <c r="K1563" s="1">
        <v>43826</v>
      </c>
      <c r="L1563">
        <v>96.918999999999997</v>
      </c>
    </row>
    <row r="1564" spans="1:12" x14ac:dyDescent="0.25">
      <c r="A1564" s="1">
        <v>43909</v>
      </c>
      <c r="B1564">
        <v>72</v>
      </c>
      <c r="C1564" s="1">
        <v>43909</v>
      </c>
      <c r="D1564">
        <v>80.67</v>
      </c>
      <c r="E1564" s="1">
        <v>43857</v>
      </c>
      <c r="F1564">
        <v>66.73</v>
      </c>
      <c r="G1564" s="1">
        <v>43909</v>
      </c>
      <c r="H1564">
        <v>164.06</v>
      </c>
      <c r="I1564" s="1">
        <v>43909</v>
      </c>
      <c r="J1564">
        <v>39.479999999999997</v>
      </c>
      <c r="K1564" s="1">
        <v>43829</v>
      </c>
      <c r="L1564">
        <v>96.74</v>
      </c>
    </row>
    <row r="1565" spans="1:12" x14ac:dyDescent="0.25">
      <c r="A1565" s="1">
        <v>43910</v>
      </c>
      <c r="B1565">
        <v>66.040000000000006</v>
      </c>
      <c r="C1565" s="1">
        <v>43910</v>
      </c>
      <c r="D1565">
        <v>71.97</v>
      </c>
      <c r="E1565" s="1">
        <v>43858</v>
      </c>
      <c r="F1565">
        <v>65.599999999999994</v>
      </c>
      <c r="G1565" s="1">
        <v>43910</v>
      </c>
      <c r="H1565">
        <v>190.08</v>
      </c>
      <c r="I1565" s="1">
        <v>43910</v>
      </c>
      <c r="J1565">
        <v>36.81</v>
      </c>
      <c r="K1565" s="1">
        <v>43830</v>
      </c>
      <c r="L1565">
        <v>96.388999999999996</v>
      </c>
    </row>
    <row r="1566" spans="1:12" x14ac:dyDescent="0.25">
      <c r="A1566" s="1">
        <v>43913</v>
      </c>
      <c r="B1566">
        <v>61.59</v>
      </c>
      <c r="C1566" s="1">
        <v>43913</v>
      </c>
      <c r="D1566">
        <v>66.39</v>
      </c>
      <c r="E1566" s="1">
        <v>43859</v>
      </c>
      <c r="F1566">
        <v>66.17</v>
      </c>
      <c r="G1566" s="1">
        <v>43913</v>
      </c>
      <c r="H1566">
        <v>185.68</v>
      </c>
      <c r="I1566" s="1">
        <v>43913</v>
      </c>
      <c r="J1566">
        <v>41.16</v>
      </c>
      <c r="K1566" s="1">
        <v>43831</v>
      </c>
      <c r="L1566">
        <v>96.444999999999993</v>
      </c>
    </row>
    <row r="1567" spans="1:12" x14ac:dyDescent="0.25">
      <c r="A1567" s="1">
        <v>43914</v>
      </c>
      <c r="B1567">
        <v>61.67</v>
      </c>
      <c r="C1567" s="1">
        <v>43914</v>
      </c>
      <c r="D1567">
        <v>58.35</v>
      </c>
      <c r="E1567" s="1">
        <v>43860</v>
      </c>
      <c r="F1567">
        <v>71.069999999999993</v>
      </c>
      <c r="G1567" s="1">
        <v>43914</v>
      </c>
      <c r="H1567">
        <v>170.86</v>
      </c>
      <c r="I1567" s="1">
        <v>43914</v>
      </c>
      <c r="J1567">
        <v>40.409999999999997</v>
      </c>
      <c r="K1567" s="1">
        <v>43832</v>
      </c>
      <c r="L1567">
        <v>96.846000000000004</v>
      </c>
    </row>
    <row r="1568" spans="1:12" x14ac:dyDescent="0.25">
      <c r="A1568" s="1">
        <v>43915</v>
      </c>
      <c r="B1568">
        <v>63.95</v>
      </c>
      <c r="C1568" s="1">
        <v>43915</v>
      </c>
      <c r="D1568">
        <v>58.87</v>
      </c>
      <c r="E1568" s="1">
        <v>43861</v>
      </c>
      <c r="F1568">
        <v>72.98</v>
      </c>
      <c r="G1568" s="1">
        <v>43915</v>
      </c>
      <c r="H1568">
        <v>144.03</v>
      </c>
      <c r="I1568" s="1">
        <v>43915</v>
      </c>
      <c r="J1568">
        <v>40.56</v>
      </c>
      <c r="K1568" s="1">
        <v>43833</v>
      </c>
      <c r="L1568">
        <v>96.837999999999994</v>
      </c>
    </row>
    <row r="1569" spans="1:12" x14ac:dyDescent="0.25">
      <c r="A1569" s="1">
        <v>43916</v>
      </c>
      <c r="B1569">
        <v>61</v>
      </c>
      <c r="C1569" s="1">
        <v>43916</v>
      </c>
      <c r="D1569">
        <v>52.57</v>
      </c>
      <c r="E1569" s="1">
        <v>43864</v>
      </c>
      <c r="F1569">
        <v>72.81</v>
      </c>
      <c r="G1569" s="1">
        <v>43916</v>
      </c>
      <c r="H1569">
        <v>150.06</v>
      </c>
      <c r="I1569" s="1">
        <v>43916</v>
      </c>
      <c r="J1569">
        <v>37.479999999999997</v>
      </c>
      <c r="K1569" s="1">
        <v>43836</v>
      </c>
      <c r="L1569">
        <v>96.671000000000006</v>
      </c>
    </row>
    <row r="1570" spans="1:12" x14ac:dyDescent="0.25">
      <c r="A1570" s="1">
        <v>43917</v>
      </c>
      <c r="B1570">
        <v>65.540000000000006</v>
      </c>
      <c r="C1570" s="1">
        <v>43917</v>
      </c>
      <c r="D1570">
        <v>61.56</v>
      </c>
      <c r="E1570" s="1">
        <v>43865</v>
      </c>
      <c r="F1570">
        <v>68.17</v>
      </c>
      <c r="G1570" s="1">
        <v>43917</v>
      </c>
      <c r="H1570">
        <v>175.88</v>
      </c>
      <c r="I1570" s="1">
        <v>43917</v>
      </c>
      <c r="J1570">
        <v>34.89</v>
      </c>
      <c r="K1570" s="1">
        <v>43837</v>
      </c>
      <c r="L1570">
        <v>97.004999999999995</v>
      </c>
    </row>
    <row r="1571" spans="1:12" x14ac:dyDescent="0.25">
      <c r="A1571" s="1">
        <v>43920</v>
      </c>
      <c r="B1571">
        <v>57.08</v>
      </c>
      <c r="C1571" s="1">
        <v>43920</v>
      </c>
      <c r="D1571">
        <v>54.21</v>
      </c>
      <c r="E1571" s="1">
        <v>43866</v>
      </c>
      <c r="F1571">
        <v>64.069999999999993</v>
      </c>
      <c r="G1571" s="1">
        <v>43920</v>
      </c>
      <c r="H1571">
        <v>174.22</v>
      </c>
      <c r="I1571" s="1">
        <v>43920</v>
      </c>
      <c r="J1571">
        <v>30.42</v>
      </c>
      <c r="K1571" s="1">
        <v>43838</v>
      </c>
      <c r="L1571">
        <v>97.299000000000007</v>
      </c>
    </row>
    <row r="1572" spans="1:12" x14ac:dyDescent="0.25">
      <c r="A1572" s="1">
        <v>43921</v>
      </c>
      <c r="B1572">
        <v>53.54</v>
      </c>
      <c r="C1572" s="1">
        <v>43921</v>
      </c>
      <c r="D1572">
        <v>51.75</v>
      </c>
      <c r="E1572" s="1">
        <v>43867</v>
      </c>
      <c r="F1572">
        <v>61.24</v>
      </c>
      <c r="G1572" s="1">
        <v>43921</v>
      </c>
      <c r="H1572">
        <v>170.55</v>
      </c>
      <c r="I1572" s="1">
        <v>43921</v>
      </c>
      <c r="J1572">
        <v>29.19</v>
      </c>
      <c r="K1572" s="1">
        <v>43839</v>
      </c>
      <c r="L1572">
        <v>97.45</v>
      </c>
    </row>
    <row r="1573" spans="1:12" x14ac:dyDescent="0.25">
      <c r="A1573" s="1">
        <v>43922</v>
      </c>
      <c r="B1573">
        <v>57.06</v>
      </c>
      <c r="C1573" s="1">
        <v>43922</v>
      </c>
      <c r="D1573">
        <v>57.25</v>
      </c>
      <c r="E1573" s="1">
        <v>43868</v>
      </c>
      <c r="F1573">
        <v>65.59</v>
      </c>
      <c r="G1573" s="1">
        <v>43922</v>
      </c>
      <c r="H1573">
        <v>158.97999999999999</v>
      </c>
      <c r="I1573" s="1">
        <v>43922</v>
      </c>
      <c r="J1573">
        <v>30.26</v>
      </c>
      <c r="K1573" s="1">
        <v>43840</v>
      </c>
      <c r="L1573">
        <v>97.355999999999995</v>
      </c>
    </row>
    <row r="1574" spans="1:12" x14ac:dyDescent="0.25">
      <c r="A1574" s="1">
        <v>43923</v>
      </c>
      <c r="B1574">
        <v>50.91</v>
      </c>
      <c r="C1574" s="1">
        <v>43923</v>
      </c>
      <c r="D1574">
        <v>52.21</v>
      </c>
      <c r="E1574" s="1">
        <v>43871</v>
      </c>
      <c r="F1574">
        <v>68.13</v>
      </c>
      <c r="G1574" s="1">
        <v>43923</v>
      </c>
      <c r="H1574">
        <v>162.65</v>
      </c>
      <c r="I1574" s="1">
        <v>43923</v>
      </c>
      <c r="J1574">
        <v>31.91</v>
      </c>
      <c r="K1574" s="1">
        <v>43843</v>
      </c>
      <c r="L1574">
        <v>97.344999999999999</v>
      </c>
    </row>
    <row r="1575" spans="1:12" x14ac:dyDescent="0.25">
      <c r="A1575" s="1">
        <v>43924</v>
      </c>
      <c r="B1575">
        <v>46.8</v>
      </c>
      <c r="C1575" s="1">
        <v>43924</v>
      </c>
      <c r="D1575">
        <v>48.18</v>
      </c>
      <c r="E1575" s="1">
        <v>43872</v>
      </c>
      <c r="F1575">
        <v>64.89</v>
      </c>
      <c r="G1575" s="1">
        <v>43924</v>
      </c>
      <c r="H1575">
        <v>141.68</v>
      </c>
      <c r="I1575" s="1">
        <v>43924</v>
      </c>
      <c r="J1575">
        <v>31.85</v>
      </c>
      <c r="K1575" s="1">
        <v>43844</v>
      </c>
      <c r="L1575">
        <v>97.372</v>
      </c>
    </row>
    <row r="1576" spans="1:12" x14ac:dyDescent="0.25">
      <c r="A1576" s="1">
        <v>43927</v>
      </c>
      <c r="B1576">
        <v>45.24</v>
      </c>
      <c r="C1576" s="1">
        <v>43927</v>
      </c>
      <c r="D1576">
        <v>53.81</v>
      </c>
      <c r="E1576" s="1">
        <v>43873</v>
      </c>
      <c r="F1576">
        <v>63.52</v>
      </c>
      <c r="G1576" s="1">
        <v>43927</v>
      </c>
      <c r="H1576">
        <v>144.19</v>
      </c>
      <c r="I1576" s="1">
        <v>43927</v>
      </c>
      <c r="J1576">
        <v>35.76</v>
      </c>
      <c r="K1576" s="1">
        <v>43845</v>
      </c>
      <c r="L1576">
        <v>97.228999999999999</v>
      </c>
    </row>
    <row r="1577" spans="1:12" x14ac:dyDescent="0.25">
      <c r="A1577" s="1">
        <v>43928</v>
      </c>
      <c r="B1577">
        <v>46.7</v>
      </c>
      <c r="C1577" s="1">
        <v>43928</v>
      </c>
      <c r="D1577">
        <v>44.52</v>
      </c>
      <c r="E1577" s="1">
        <v>43874</v>
      </c>
      <c r="F1577">
        <v>63.51</v>
      </c>
      <c r="G1577" s="1">
        <v>43928</v>
      </c>
      <c r="H1577">
        <v>139.13</v>
      </c>
      <c r="I1577" s="1">
        <v>43928</v>
      </c>
      <c r="J1577">
        <v>34.270000000000003</v>
      </c>
      <c r="K1577" s="1">
        <v>43846</v>
      </c>
      <c r="L1577">
        <v>97.32</v>
      </c>
    </row>
    <row r="1578" spans="1:12" x14ac:dyDescent="0.25">
      <c r="A1578" s="1">
        <v>43929</v>
      </c>
      <c r="B1578">
        <v>43.35</v>
      </c>
      <c r="C1578" s="1">
        <v>43929</v>
      </c>
      <c r="D1578">
        <v>40.31</v>
      </c>
      <c r="E1578" s="1">
        <v>43875</v>
      </c>
      <c r="F1578">
        <v>62.38</v>
      </c>
      <c r="G1578" s="1">
        <v>43929</v>
      </c>
      <c r="H1578">
        <v>141.46</v>
      </c>
      <c r="I1578" s="1">
        <v>43929</v>
      </c>
      <c r="J1578">
        <v>29.98</v>
      </c>
      <c r="K1578" s="1">
        <v>43847</v>
      </c>
      <c r="L1578">
        <v>97.605999999999995</v>
      </c>
    </row>
    <row r="1579" spans="1:12" x14ac:dyDescent="0.25">
      <c r="A1579" s="1">
        <v>43930</v>
      </c>
      <c r="B1579">
        <v>41.67</v>
      </c>
      <c r="C1579" s="1">
        <v>43930</v>
      </c>
      <c r="D1579">
        <v>40.630000000000003</v>
      </c>
      <c r="E1579" s="1">
        <v>43879</v>
      </c>
      <c r="F1579">
        <v>67.66</v>
      </c>
      <c r="G1579" s="1">
        <v>43930</v>
      </c>
      <c r="H1579">
        <v>129.88</v>
      </c>
      <c r="I1579" s="1">
        <v>43930</v>
      </c>
      <c r="J1579">
        <v>27.59</v>
      </c>
      <c r="K1579" s="1">
        <v>43850</v>
      </c>
      <c r="L1579">
        <v>97.605999999999995</v>
      </c>
    </row>
    <row r="1580" spans="1:12" x14ac:dyDescent="0.25">
      <c r="A1580" s="1">
        <v>43934</v>
      </c>
      <c r="B1580">
        <v>41.17</v>
      </c>
      <c r="C1580" s="1">
        <v>43934</v>
      </c>
      <c r="D1580">
        <v>40.49</v>
      </c>
      <c r="E1580" s="1">
        <v>43880</v>
      </c>
      <c r="F1580">
        <v>68.040000000000006</v>
      </c>
      <c r="G1580" s="1">
        <v>43931</v>
      </c>
      <c r="H1580">
        <v>129.88</v>
      </c>
      <c r="I1580" s="1">
        <v>43931</v>
      </c>
      <c r="J1580">
        <v>27.59</v>
      </c>
      <c r="K1580" s="1">
        <v>43851</v>
      </c>
      <c r="L1580">
        <v>97.531000000000006</v>
      </c>
    </row>
    <row r="1581" spans="1:12" x14ac:dyDescent="0.25">
      <c r="A1581" s="1">
        <v>43935</v>
      </c>
      <c r="B1581">
        <v>37.76</v>
      </c>
      <c r="C1581" s="1">
        <v>43935</v>
      </c>
      <c r="D1581">
        <v>37.369999999999997</v>
      </c>
      <c r="E1581" s="1">
        <v>43881</v>
      </c>
      <c r="F1581">
        <v>69.599999999999994</v>
      </c>
      <c r="G1581" s="1">
        <v>43934</v>
      </c>
      <c r="H1581">
        <v>114.44</v>
      </c>
      <c r="I1581" s="1">
        <v>43934</v>
      </c>
      <c r="J1581">
        <v>28.41</v>
      </c>
      <c r="K1581" s="1">
        <v>43852</v>
      </c>
      <c r="L1581">
        <v>97.527000000000001</v>
      </c>
    </row>
    <row r="1582" spans="1:12" x14ac:dyDescent="0.25">
      <c r="A1582" s="1">
        <v>43936</v>
      </c>
      <c r="B1582">
        <v>40.840000000000003</v>
      </c>
      <c r="C1582" s="1">
        <v>43936</v>
      </c>
      <c r="D1582">
        <v>40.31</v>
      </c>
      <c r="E1582" s="1">
        <v>43882</v>
      </c>
      <c r="F1582">
        <v>74.540000000000006</v>
      </c>
      <c r="G1582" s="1">
        <v>43935</v>
      </c>
      <c r="H1582">
        <v>115.48</v>
      </c>
      <c r="I1582" s="1">
        <v>43935</v>
      </c>
      <c r="J1582">
        <v>28.87</v>
      </c>
      <c r="K1582" s="1">
        <v>43853</v>
      </c>
      <c r="L1582">
        <v>97.692999999999998</v>
      </c>
    </row>
    <row r="1583" spans="1:12" x14ac:dyDescent="0.25">
      <c r="A1583" s="1">
        <v>43937</v>
      </c>
      <c r="B1583">
        <v>40.11</v>
      </c>
      <c r="C1583" s="1">
        <v>43937</v>
      </c>
      <c r="D1583">
        <v>40.42</v>
      </c>
      <c r="E1583" s="1">
        <v>43885</v>
      </c>
      <c r="F1583">
        <v>86.92</v>
      </c>
      <c r="G1583" s="1">
        <v>43936</v>
      </c>
      <c r="H1583">
        <v>120.38</v>
      </c>
      <c r="I1583" s="1">
        <v>43936</v>
      </c>
      <c r="J1583">
        <v>27.39</v>
      </c>
      <c r="K1583" s="1">
        <v>43854</v>
      </c>
      <c r="L1583">
        <v>97.852999999999994</v>
      </c>
    </row>
    <row r="1584" spans="1:12" x14ac:dyDescent="0.25">
      <c r="A1584" s="1">
        <v>43938</v>
      </c>
      <c r="B1584">
        <v>38.15</v>
      </c>
      <c r="C1584" s="1">
        <v>43938</v>
      </c>
      <c r="D1584">
        <v>35.99</v>
      </c>
      <c r="E1584" s="1">
        <v>43886</v>
      </c>
      <c r="F1584">
        <v>87.38</v>
      </c>
      <c r="G1584" s="1">
        <v>43937</v>
      </c>
      <c r="H1584">
        <v>115.1</v>
      </c>
      <c r="I1584" s="1">
        <v>43937</v>
      </c>
      <c r="J1584">
        <v>27.74</v>
      </c>
      <c r="K1584" s="1">
        <v>43857</v>
      </c>
      <c r="L1584">
        <v>97.956000000000003</v>
      </c>
    </row>
    <row r="1585" spans="1:12" x14ac:dyDescent="0.25">
      <c r="A1585" s="1">
        <v>43941</v>
      </c>
      <c r="B1585">
        <v>43.83</v>
      </c>
      <c r="C1585" s="1">
        <v>43941</v>
      </c>
      <c r="D1585">
        <v>38.92</v>
      </c>
      <c r="E1585" s="1">
        <v>43887</v>
      </c>
      <c r="F1585">
        <v>87</v>
      </c>
      <c r="G1585" s="1">
        <v>43938</v>
      </c>
      <c r="H1585">
        <v>95.91</v>
      </c>
      <c r="I1585" s="1">
        <v>43938</v>
      </c>
      <c r="J1585">
        <v>26.96</v>
      </c>
      <c r="K1585" s="1">
        <v>43858</v>
      </c>
      <c r="L1585">
        <v>98.018000000000001</v>
      </c>
    </row>
    <row r="1586" spans="1:12" x14ac:dyDescent="0.25">
      <c r="A1586" s="1">
        <v>43942</v>
      </c>
      <c r="B1586">
        <v>45.41</v>
      </c>
      <c r="C1586" s="1">
        <v>43942</v>
      </c>
      <c r="D1586">
        <v>44.32</v>
      </c>
      <c r="E1586" s="1">
        <v>43888</v>
      </c>
      <c r="F1586">
        <v>92.59</v>
      </c>
      <c r="G1586" s="1">
        <v>43941</v>
      </c>
      <c r="H1586">
        <v>226.13</v>
      </c>
      <c r="I1586" s="1">
        <v>43941</v>
      </c>
      <c r="J1586">
        <v>28.01</v>
      </c>
      <c r="K1586" s="1">
        <v>43859</v>
      </c>
      <c r="L1586">
        <v>97.991</v>
      </c>
    </row>
    <row r="1587" spans="1:12" x14ac:dyDescent="0.25">
      <c r="A1587" s="1">
        <v>43943</v>
      </c>
      <c r="B1587">
        <v>41.98</v>
      </c>
      <c r="C1587" s="1">
        <v>43943</v>
      </c>
      <c r="D1587">
        <v>41.48</v>
      </c>
      <c r="E1587" s="1">
        <v>43889</v>
      </c>
      <c r="F1587">
        <v>109.67</v>
      </c>
      <c r="G1587" s="1">
        <v>43942</v>
      </c>
      <c r="H1587">
        <v>325.14999999999998</v>
      </c>
      <c r="I1587" s="1">
        <v>43942</v>
      </c>
      <c r="J1587">
        <v>30.62</v>
      </c>
      <c r="K1587" s="1">
        <v>43860</v>
      </c>
      <c r="L1587">
        <v>97.867000000000004</v>
      </c>
    </row>
    <row r="1588" spans="1:12" x14ac:dyDescent="0.25">
      <c r="A1588" s="1">
        <v>43944</v>
      </c>
      <c r="B1588">
        <v>41.38</v>
      </c>
      <c r="C1588" s="1">
        <v>43944</v>
      </c>
      <c r="D1588">
        <v>40.119999999999997</v>
      </c>
      <c r="E1588" s="1">
        <v>43892</v>
      </c>
      <c r="F1588">
        <v>104.89</v>
      </c>
      <c r="G1588" s="1">
        <v>43943</v>
      </c>
      <c r="H1588">
        <v>236.8</v>
      </c>
      <c r="I1588" s="1">
        <v>43943</v>
      </c>
      <c r="J1588">
        <v>30.44</v>
      </c>
      <c r="K1588" s="1">
        <v>43861</v>
      </c>
      <c r="L1588">
        <v>97.39</v>
      </c>
    </row>
    <row r="1589" spans="1:12" x14ac:dyDescent="0.25">
      <c r="A1589" s="1">
        <v>43945</v>
      </c>
      <c r="B1589">
        <v>35.93</v>
      </c>
      <c r="C1589" s="1">
        <v>43945</v>
      </c>
      <c r="D1589">
        <v>49.15</v>
      </c>
      <c r="E1589" s="1">
        <v>43893</v>
      </c>
      <c r="F1589">
        <v>102.97</v>
      </c>
      <c r="G1589" s="1">
        <v>43944</v>
      </c>
      <c r="H1589">
        <v>211</v>
      </c>
      <c r="I1589" s="1">
        <v>43944</v>
      </c>
      <c r="J1589">
        <v>30.25</v>
      </c>
      <c r="K1589" s="1">
        <v>43864</v>
      </c>
      <c r="L1589">
        <v>97.8</v>
      </c>
    </row>
    <row r="1590" spans="1:12" x14ac:dyDescent="0.25">
      <c r="A1590" s="1">
        <v>43948</v>
      </c>
      <c r="B1590">
        <v>33.29</v>
      </c>
      <c r="C1590" s="1">
        <v>43948</v>
      </c>
      <c r="D1590">
        <v>35.090000000000003</v>
      </c>
      <c r="E1590" s="1">
        <v>43894</v>
      </c>
      <c r="F1590">
        <v>89.59</v>
      </c>
      <c r="G1590" s="1">
        <v>43945</v>
      </c>
      <c r="H1590">
        <v>173.53</v>
      </c>
      <c r="I1590" s="1">
        <v>43945</v>
      </c>
      <c r="J1590">
        <v>29.22</v>
      </c>
      <c r="K1590" s="1">
        <v>43865</v>
      </c>
      <c r="L1590">
        <v>97.960999999999999</v>
      </c>
    </row>
    <row r="1591" spans="1:12" x14ac:dyDescent="0.25">
      <c r="A1591" s="1">
        <v>43949</v>
      </c>
      <c r="B1591">
        <v>33.57</v>
      </c>
      <c r="C1591" s="1">
        <v>43949</v>
      </c>
      <c r="D1591">
        <v>35.32</v>
      </c>
      <c r="E1591" s="1">
        <v>43895</v>
      </c>
      <c r="F1591">
        <v>96.96</v>
      </c>
      <c r="G1591" s="1">
        <v>43948</v>
      </c>
      <c r="H1591">
        <v>185.47</v>
      </c>
      <c r="I1591" s="1">
        <v>43948</v>
      </c>
      <c r="J1591">
        <v>26.75</v>
      </c>
      <c r="K1591" s="1">
        <v>43866</v>
      </c>
      <c r="L1591">
        <v>98.301000000000002</v>
      </c>
    </row>
    <row r="1592" spans="1:12" x14ac:dyDescent="0.25">
      <c r="A1592" s="1">
        <v>43950</v>
      </c>
      <c r="B1592">
        <v>31.23</v>
      </c>
      <c r="C1592" s="1">
        <v>43950</v>
      </c>
      <c r="D1592">
        <v>32.020000000000003</v>
      </c>
      <c r="E1592" s="1">
        <v>43896</v>
      </c>
      <c r="F1592">
        <v>125.21</v>
      </c>
      <c r="G1592" s="1">
        <v>43949</v>
      </c>
      <c r="H1592">
        <v>198.77</v>
      </c>
      <c r="I1592" s="1">
        <v>43949</v>
      </c>
      <c r="J1592">
        <v>24.43</v>
      </c>
      <c r="K1592" s="1">
        <v>43867</v>
      </c>
      <c r="L1592">
        <v>98.495999999999995</v>
      </c>
    </row>
    <row r="1593" spans="1:12" x14ac:dyDescent="0.25">
      <c r="A1593" s="1">
        <v>43951</v>
      </c>
      <c r="B1593">
        <v>34.15</v>
      </c>
      <c r="C1593" s="1">
        <v>43951</v>
      </c>
      <c r="D1593">
        <v>35.99</v>
      </c>
      <c r="E1593" s="1">
        <v>43899</v>
      </c>
      <c r="F1593">
        <v>163.69999999999999</v>
      </c>
      <c r="G1593" s="1">
        <v>43950</v>
      </c>
      <c r="H1593">
        <v>195.59</v>
      </c>
      <c r="I1593" s="1">
        <v>43950</v>
      </c>
      <c r="J1593">
        <v>24.16</v>
      </c>
      <c r="K1593" s="1">
        <v>43868</v>
      </c>
      <c r="L1593">
        <v>98.683999999999997</v>
      </c>
    </row>
    <row r="1594" spans="1:12" x14ac:dyDescent="0.25">
      <c r="A1594" s="1">
        <v>43952</v>
      </c>
      <c r="B1594">
        <v>37.19</v>
      </c>
      <c r="C1594" s="1">
        <v>43952</v>
      </c>
      <c r="D1594">
        <v>40.06</v>
      </c>
      <c r="E1594" s="1">
        <v>43900</v>
      </c>
      <c r="F1594">
        <v>123.72</v>
      </c>
      <c r="G1594" s="1">
        <v>43951</v>
      </c>
      <c r="H1594">
        <v>104.98</v>
      </c>
      <c r="I1594" s="1">
        <v>43951</v>
      </c>
      <c r="J1594">
        <v>24.24</v>
      </c>
      <c r="K1594" s="1">
        <v>43871</v>
      </c>
      <c r="L1594">
        <v>98.831999999999994</v>
      </c>
    </row>
    <row r="1595" spans="1:12" x14ac:dyDescent="0.25">
      <c r="A1595" s="1">
        <v>43955</v>
      </c>
      <c r="B1595">
        <v>35.97</v>
      </c>
      <c r="C1595" s="1">
        <v>43955</v>
      </c>
      <c r="D1595">
        <v>39.770000000000003</v>
      </c>
      <c r="E1595" s="1">
        <v>43901</v>
      </c>
      <c r="F1595">
        <v>127.84</v>
      </c>
      <c r="G1595" s="1">
        <v>43952</v>
      </c>
      <c r="H1595">
        <v>110.18</v>
      </c>
      <c r="I1595" s="1">
        <v>43952</v>
      </c>
      <c r="J1595">
        <v>24.25</v>
      </c>
      <c r="K1595" s="1">
        <v>43872</v>
      </c>
      <c r="L1595">
        <v>98.721000000000004</v>
      </c>
    </row>
    <row r="1596" spans="1:12" x14ac:dyDescent="0.25">
      <c r="A1596" s="1">
        <v>43956</v>
      </c>
      <c r="B1596">
        <v>33.61</v>
      </c>
      <c r="C1596" s="1">
        <v>43956</v>
      </c>
      <c r="D1596">
        <v>37</v>
      </c>
      <c r="E1596" s="1">
        <v>43902</v>
      </c>
      <c r="F1596">
        <v>152.62</v>
      </c>
      <c r="G1596" s="1">
        <v>43955</v>
      </c>
      <c r="H1596">
        <v>97.42</v>
      </c>
      <c r="I1596" s="1">
        <v>43955</v>
      </c>
      <c r="J1596">
        <v>23.68</v>
      </c>
      <c r="K1596" s="1">
        <v>43873</v>
      </c>
      <c r="L1596">
        <v>99.049000000000007</v>
      </c>
    </row>
    <row r="1597" spans="1:12" x14ac:dyDescent="0.25">
      <c r="A1597" s="1">
        <v>43957</v>
      </c>
      <c r="B1597">
        <v>34.119999999999997</v>
      </c>
      <c r="C1597" s="1">
        <v>43957</v>
      </c>
      <c r="D1597">
        <v>36.869999999999997</v>
      </c>
      <c r="E1597" s="1">
        <v>43903</v>
      </c>
      <c r="F1597">
        <v>138.4</v>
      </c>
      <c r="G1597" s="1">
        <v>43956</v>
      </c>
      <c r="H1597">
        <v>97.27</v>
      </c>
      <c r="I1597" s="1">
        <v>43956</v>
      </c>
      <c r="J1597">
        <v>24.97</v>
      </c>
      <c r="K1597" s="1">
        <v>43874</v>
      </c>
      <c r="L1597">
        <v>99.066999999999993</v>
      </c>
    </row>
    <row r="1598" spans="1:12" x14ac:dyDescent="0.25">
      <c r="A1598" s="1">
        <v>43958</v>
      </c>
      <c r="B1598">
        <v>31.44</v>
      </c>
      <c r="C1598" s="1">
        <v>43958</v>
      </c>
      <c r="D1598">
        <v>35.26</v>
      </c>
      <c r="E1598" s="1">
        <v>43906</v>
      </c>
      <c r="F1598">
        <v>124.53</v>
      </c>
      <c r="G1598" s="1">
        <v>43957</v>
      </c>
      <c r="H1598">
        <v>115.39</v>
      </c>
      <c r="I1598" s="1">
        <v>43957</v>
      </c>
      <c r="J1598">
        <v>24.47</v>
      </c>
      <c r="K1598" s="1">
        <v>43875</v>
      </c>
      <c r="L1598">
        <v>99.123999999999995</v>
      </c>
    </row>
    <row r="1599" spans="1:12" x14ac:dyDescent="0.25">
      <c r="A1599" s="1">
        <v>43959</v>
      </c>
      <c r="B1599">
        <v>27.98</v>
      </c>
      <c r="C1599" s="1">
        <v>43959</v>
      </c>
      <c r="D1599">
        <v>33.07</v>
      </c>
      <c r="E1599" s="1">
        <v>43907</v>
      </c>
      <c r="F1599">
        <v>109.85</v>
      </c>
      <c r="G1599" s="1">
        <v>43958</v>
      </c>
      <c r="H1599">
        <v>110.62</v>
      </c>
      <c r="I1599" s="1">
        <v>43958</v>
      </c>
      <c r="J1599">
        <v>26.15</v>
      </c>
      <c r="K1599" s="1">
        <v>43878</v>
      </c>
      <c r="L1599">
        <v>99.003</v>
      </c>
    </row>
    <row r="1600" spans="1:12" x14ac:dyDescent="0.25">
      <c r="A1600" s="1">
        <v>43962</v>
      </c>
      <c r="B1600">
        <v>27.57</v>
      </c>
      <c r="C1600" s="1">
        <v>43962</v>
      </c>
      <c r="D1600">
        <v>32.049999999999997</v>
      </c>
      <c r="E1600" s="1">
        <v>43908</v>
      </c>
      <c r="F1600">
        <v>124.14</v>
      </c>
      <c r="G1600" s="1">
        <v>43959</v>
      </c>
      <c r="H1600">
        <v>98.7</v>
      </c>
      <c r="I1600" s="1">
        <v>43959</v>
      </c>
      <c r="J1600">
        <v>24.89</v>
      </c>
      <c r="K1600" s="1">
        <v>43879</v>
      </c>
      <c r="L1600">
        <v>99.44</v>
      </c>
    </row>
    <row r="1601" spans="1:12" x14ac:dyDescent="0.25">
      <c r="A1601" s="1">
        <v>43963</v>
      </c>
      <c r="B1601">
        <v>33.04</v>
      </c>
      <c r="C1601" s="1">
        <v>43963</v>
      </c>
      <c r="D1601">
        <v>33.4</v>
      </c>
      <c r="E1601" s="1">
        <v>43909</v>
      </c>
      <c r="F1601">
        <v>141.13</v>
      </c>
      <c r="G1601" s="1">
        <v>43962</v>
      </c>
      <c r="H1601">
        <v>109.72</v>
      </c>
      <c r="I1601" s="1">
        <v>43962</v>
      </c>
      <c r="J1601">
        <v>23.55</v>
      </c>
      <c r="K1601" s="1">
        <v>43880</v>
      </c>
      <c r="L1601">
        <v>99.704999999999998</v>
      </c>
    </row>
    <row r="1602" spans="1:12" x14ac:dyDescent="0.25">
      <c r="A1602" s="1">
        <v>43964</v>
      </c>
      <c r="B1602">
        <v>35.28</v>
      </c>
      <c r="C1602" s="1">
        <v>43964</v>
      </c>
      <c r="D1602">
        <v>35.92</v>
      </c>
      <c r="E1602" s="1">
        <v>43910</v>
      </c>
      <c r="F1602">
        <v>133.37</v>
      </c>
      <c r="G1602" s="1">
        <v>43963</v>
      </c>
      <c r="H1602">
        <v>86.86</v>
      </c>
      <c r="I1602" s="1">
        <v>43963</v>
      </c>
      <c r="J1602">
        <v>22.45</v>
      </c>
      <c r="K1602" s="1">
        <v>43881</v>
      </c>
      <c r="L1602">
        <v>99.864999999999995</v>
      </c>
    </row>
    <row r="1603" spans="1:12" x14ac:dyDescent="0.25">
      <c r="A1603" s="1">
        <v>43965</v>
      </c>
      <c r="B1603">
        <v>32.61</v>
      </c>
      <c r="C1603" s="1">
        <v>43965</v>
      </c>
      <c r="D1603">
        <v>35.200000000000003</v>
      </c>
      <c r="E1603" s="1">
        <v>43913</v>
      </c>
      <c r="F1603">
        <v>135.38</v>
      </c>
      <c r="G1603" s="1">
        <v>43964</v>
      </c>
      <c r="H1603">
        <v>82.83</v>
      </c>
      <c r="I1603" s="1">
        <v>43964</v>
      </c>
      <c r="J1603">
        <v>22.71</v>
      </c>
      <c r="K1603" s="1">
        <v>43882</v>
      </c>
      <c r="L1603">
        <v>99.262</v>
      </c>
    </row>
    <row r="1604" spans="1:12" x14ac:dyDescent="0.25">
      <c r="A1604" s="1">
        <v>43966</v>
      </c>
      <c r="B1604">
        <v>31.89</v>
      </c>
      <c r="C1604" s="1">
        <v>43966</v>
      </c>
      <c r="D1604">
        <v>34.89</v>
      </c>
      <c r="E1604" s="1">
        <v>43914</v>
      </c>
      <c r="F1604">
        <v>111.09</v>
      </c>
      <c r="G1604" s="1">
        <v>43965</v>
      </c>
      <c r="H1604">
        <v>80.05</v>
      </c>
      <c r="I1604" s="1">
        <v>43965</v>
      </c>
      <c r="J1604">
        <v>24.15</v>
      </c>
      <c r="K1604" s="1">
        <v>43885</v>
      </c>
      <c r="L1604">
        <v>99.358999999999995</v>
      </c>
    </row>
    <row r="1605" spans="1:12" x14ac:dyDescent="0.25">
      <c r="A1605" s="1">
        <v>43969</v>
      </c>
      <c r="B1605">
        <v>29.3</v>
      </c>
      <c r="C1605" s="1">
        <v>43969</v>
      </c>
      <c r="D1605">
        <v>29.83</v>
      </c>
      <c r="E1605" s="1">
        <v>43915</v>
      </c>
      <c r="F1605">
        <v>87.14</v>
      </c>
      <c r="G1605" s="1">
        <v>43966</v>
      </c>
      <c r="H1605">
        <v>76.39</v>
      </c>
      <c r="I1605" s="1">
        <v>43966</v>
      </c>
      <c r="J1605">
        <v>23.63</v>
      </c>
      <c r="K1605" s="1">
        <v>43886</v>
      </c>
      <c r="L1605">
        <v>98.968000000000004</v>
      </c>
    </row>
    <row r="1606" spans="1:12" x14ac:dyDescent="0.25">
      <c r="A1606" s="1">
        <v>43970</v>
      </c>
      <c r="B1606">
        <v>30.53</v>
      </c>
      <c r="C1606" s="1">
        <v>43970</v>
      </c>
      <c r="D1606">
        <v>30.58</v>
      </c>
      <c r="E1606" s="1">
        <v>43916</v>
      </c>
      <c r="F1606">
        <v>88.48</v>
      </c>
      <c r="G1606" s="1">
        <v>43969</v>
      </c>
      <c r="H1606">
        <v>76.14</v>
      </c>
      <c r="I1606" s="1">
        <v>43969</v>
      </c>
      <c r="J1606">
        <v>22.81</v>
      </c>
      <c r="K1606" s="1">
        <v>43887</v>
      </c>
      <c r="L1606">
        <v>98.995999999999995</v>
      </c>
    </row>
    <row r="1607" spans="1:12" x14ac:dyDescent="0.25">
      <c r="A1607" s="1">
        <v>43971</v>
      </c>
      <c r="B1607">
        <v>27.99</v>
      </c>
      <c r="C1607" s="1">
        <v>43971</v>
      </c>
      <c r="D1607">
        <v>29.15</v>
      </c>
      <c r="E1607" s="1">
        <v>43917</v>
      </c>
      <c r="F1607">
        <v>88.33</v>
      </c>
      <c r="G1607" s="1">
        <v>43970</v>
      </c>
      <c r="H1607">
        <v>73.22</v>
      </c>
      <c r="I1607" s="1">
        <v>43970</v>
      </c>
      <c r="J1607">
        <v>21.33</v>
      </c>
      <c r="K1607" s="1">
        <v>43888</v>
      </c>
      <c r="L1607">
        <v>98.507999999999996</v>
      </c>
    </row>
    <row r="1608" spans="1:12" x14ac:dyDescent="0.25">
      <c r="A1608" s="1">
        <v>43972</v>
      </c>
      <c r="B1608">
        <v>29.53</v>
      </c>
      <c r="C1608" s="1">
        <v>43972</v>
      </c>
      <c r="D1608">
        <v>31.07</v>
      </c>
      <c r="E1608" s="1">
        <v>43920</v>
      </c>
      <c r="F1608">
        <v>90.7</v>
      </c>
      <c r="G1608" s="1">
        <v>43971</v>
      </c>
      <c r="H1608">
        <v>73.62</v>
      </c>
      <c r="I1608" s="1">
        <v>43971</v>
      </c>
      <c r="J1608">
        <v>20.12</v>
      </c>
      <c r="K1608" s="1">
        <v>43889</v>
      </c>
      <c r="L1608">
        <v>98.132000000000005</v>
      </c>
    </row>
    <row r="1609" spans="1:12" x14ac:dyDescent="0.25">
      <c r="A1609" s="1">
        <v>43973</v>
      </c>
      <c r="B1609">
        <v>28.16</v>
      </c>
      <c r="C1609" s="1">
        <v>43973</v>
      </c>
      <c r="D1609">
        <v>31.58</v>
      </c>
      <c r="E1609" s="1">
        <v>43921</v>
      </c>
      <c r="F1609">
        <v>83.87</v>
      </c>
      <c r="G1609" s="1">
        <v>43972</v>
      </c>
      <c r="H1609">
        <v>89.06</v>
      </c>
      <c r="I1609" s="1">
        <v>43972</v>
      </c>
      <c r="J1609">
        <v>19.739999999999998</v>
      </c>
      <c r="K1609" s="1">
        <v>43892</v>
      </c>
      <c r="L1609">
        <v>97.36</v>
      </c>
    </row>
    <row r="1610" spans="1:12" x14ac:dyDescent="0.25">
      <c r="A1610" s="1">
        <v>43977</v>
      </c>
      <c r="B1610">
        <v>28.01</v>
      </c>
      <c r="C1610" s="1">
        <v>43977</v>
      </c>
      <c r="D1610">
        <v>30.34</v>
      </c>
      <c r="E1610" s="1">
        <v>43922</v>
      </c>
      <c r="F1610">
        <v>83.13</v>
      </c>
      <c r="G1610" s="1">
        <v>43973</v>
      </c>
      <c r="H1610">
        <v>84.98</v>
      </c>
      <c r="I1610" s="1">
        <v>43973</v>
      </c>
      <c r="J1610">
        <v>18.95</v>
      </c>
      <c r="K1610" s="1">
        <v>43893</v>
      </c>
      <c r="L1610">
        <v>97.153000000000006</v>
      </c>
    </row>
    <row r="1611" spans="1:12" x14ac:dyDescent="0.25">
      <c r="A1611" s="1">
        <v>43978</v>
      </c>
      <c r="B1611">
        <v>27.62</v>
      </c>
      <c r="C1611" s="1">
        <v>43978</v>
      </c>
      <c r="D1611">
        <v>30.6</v>
      </c>
      <c r="E1611" s="1">
        <v>43923</v>
      </c>
      <c r="F1611">
        <v>71.989999999999995</v>
      </c>
      <c r="G1611" s="1">
        <v>43977</v>
      </c>
      <c r="H1611">
        <v>75.47</v>
      </c>
      <c r="I1611" s="1">
        <v>43977</v>
      </c>
      <c r="J1611">
        <v>18.57</v>
      </c>
      <c r="K1611" s="1">
        <v>43894</v>
      </c>
      <c r="L1611">
        <v>97.335999999999999</v>
      </c>
    </row>
    <row r="1612" spans="1:12" x14ac:dyDescent="0.25">
      <c r="A1612" s="1">
        <v>43979</v>
      </c>
      <c r="B1612">
        <v>28.59</v>
      </c>
      <c r="C1612" s="1">
        <v>43979</v>
      </c>
      <c r="D1612">
        <v>32.39</v>
      </c>
      <c r="E1612" s="1">
        <v>43924</v>
      </c>
      <c r="F1612">
        <v>65.010000000000005</v>
      </c>
      <c r="G1612" s="1">
        <v>43978</v>
      </c>
      <c r="H1612">
        <v>73.89</v>
      </c>
      <c r="I1612" s="1">
        <v>43978</v>
      </c>
      <c r="J1612">
        <v>18.510000000000002</v>
      </c>
      <c r="K1612" s="1">
        <v>43895</v>
      </c>
      <c r="L1612">
        <v>96.82</v>
      </c>
    </row>
    <row r="1613" spans="1:12" x14ac:dyDescent="0.25">
      <c r="A1613" s="1">
        <v>43980</v>
      </c>
      <c r="B1613">
        <v>27.51</v>
      </c>
      <c r="C1613" s="1">
        <v>43980</v>
      </c>
      <c r="D1613">
        <v>29.79</v>
      </c>
      <c r="E1613" s="1">
        <v>43927</v>
      </c>
      <c r="F1613">
        <v>66.28</v>
      </c>
      <c r="G1613" s="1">
        <v>43979</v>
      </c>
      <c r="H1613">
        <v>72.98</v>
      </c>
      <c r="I1613" s="1">
        <v>43979</v>
      </c>
      <c r="J1613">
        <v>18.100000000000001</v>
      </c>
      <c r="K1613" s="1">
        <v>43896</v>
      </c>
      <c r="L1613">
        <v>95.950999999999993</v>
      </c>
    </row>
    <row r="1614" spans="1:12" x14ac:dyDescent="0.25">
      <c r="A1614" s="1">
        <v>43983</v>
      </c>
      <c r="B1614">
        <v>28.23</v>
      </c>
      <c r="C1614" s="1">
        <v>43983</v>
      </c>
      <c r="D1614">
        <v>29.49</v>
      </c>
      <c r="E1614" s="1">
        <v>43928</v>
      </c>
      <c r="F1614">
        <v>72.209999999999994</v>
      </c>
      <c r="G1614" s="1">
        <v>43980</v>
      </c>
      <c r="H1614">
        <v>69.23</v>
      </c>
      <c r="I1614" s="1">
        <v>43980</v>
      </c>
      <c r="J1614">
        <v>18.149999999999999</v>
      </c>
      <c r="K1614" s="1">
        <v>43899</v>
      </c>
      <c r="L1614">
        <v>94.894999999999996</v>
      </c>
    </row>
    <row r="1615" spans="1:12" x14ac:dyDescent="0.25">
      <c r="A1615" s="1">
        <v>43984</v>
      </c>
      <c r="B1615">
        <v>26.84</v>
      </c>
      <c r="C1615" s="1">
        <v>43984</v>
      </c>
      <c r="D1615">
        <v>28.6</v>
      </c>
      <c r="E1615" s="1">
        <v>43929</v>
      </c>
      <c r="F1615">
        <v>75.709999999999994</v>
      </c>
      <c r="G1615" s="1">
        <v>43983</v>
      </c>
      <c r="H1615">
        <v>64.38</v>
      </c>
      <c r="I1615" s="1">
        <v>43983</v>
      </c>
      <c r="J1615">
        <v>18.059999999999999</v>
      </c>
      <c r="K1615" s="1">
        <v>43900</v>
      </c>
      <c r="L1615">
        <v>96.414000000000001</v>
      </c>
    </row>
    <row r="1616" spans="1:12" x14ac:dyDescent="0.25">
      <c r="A1616" s="1">
        <v>43985</v>
      </c>
      <c r="B1616">
        <v>25.66</v>
      </c>
      <c r="C1616" s="1">
        <v>43985</v>
      </c>
      <c r="D1616">
        <v>27.59</v>
      </c>
      <c r="E1616" s="1">
        <v>43930</v>
      </c>
      <c r="F1616">
        <v>74.39</v>
      </c>
      <c r="G1616" s="1">
        <v>43984</v>
      </c>
      <c r="H1616">
        <v>64.709999999999994</v>
      </c>
      <c r="I1616" s="1">
        <v>43984</v>
      </c>
      <c r="J1616">
        <v>18.100000000000001</v>
      </c>
      <c r="K1616" s="1">
        <v>43901</v>
      </c>
      <c r="L1616">
        <v>96.507000000000005</v>
      </c>
    </row>
    <row r="1617" spans="1:12" x14ac:dyDescent="0.25">
      <c r="A1617" s="1">
        <v>43986</v>
      </c>
      <c r="B1617">
        <v>25.81</v>
      </c>
      <c r="C1617" s="1">
        <v>43986</v>
      </c>
      <c r="D1617">
        <v>27.59</v>
      </c>
      <c r="E1617" s="1">
        <v>43934</v>
      </c>
      <c r="F1617">
        <v>75.849999999999994</v>
      </c>
      <c r="G1617" s="1">
        <v>43985</v>
      </c>
      <c r="H1617">
        <v>65.73</v>
      </c>
      <c r="I1617" s="1">
        <v>43985</v>
      </c>
      <c r="J1617">
        <v>18.47</v>
      </c>
      <c r="K1617" s="1">
        <v>43902</v>
      </c>
      <c r="L1617">
        <v>97.468000000000004</v>
      </c>
    </row>
    <row r="1618" spans="1:12" x14ac:dyDescent="0.25">
      <c r="A1618" s="1">
        <v>43987</v>
      </c>
      <c r="B1618">
        <v>24.52</v>
      </c>
      <c r="C1618" s="1">
        <v>43987</v>
      </c>
      <c r="D1618">
        <v>26.35</v>
      </c>
      <c r="E1618" s="1">
        <v>43935</v>
      </c>
      <c r="F1618">
        <v>69.52</v>
      </c>
      <c r="G1618" s="1">
        <v>43986</v>
      </c>
      <c r="H1618">
        <v>65.13</v>
      </c>
      <c r="I1618" s="1">
        <v>43986</v>
      </c>
      <c r="J1618">
        <v>18.05</v>
      </c>
      <c r="K1618" s="1">
        <v>43903</v>
      </c>
      <c r="L1618">
        <v>98.748999999999995</v>
      </c>
    </row>
    <row r="1619" spans="1:12" x14ac:dyDescent="0.25">
      <c r="A1619" s="1">
        <v>43990</v>
      </c>
      <c r="B1619">
        <v>25.81</v>
      </c>
      <c r="C1619" s="1">
        <v>43990</v>
      </c>
      <c r="D1619">
        <v>27.23</v>
      </c>
      <c r="E1619" s="1">
        <v>43936</v>
      </c>
      <c r="F1619">
        <v>70.5</v>
      </c>
      <c r="G1619" s="1">
        <v>43987</v>
      </c>
      <c r="H1619">
        <v>64.2</v>
      </c>
      <c r="I1619" s="1">
        <v>43987</v>
      </c>
      <c r="J1619">
        <v>18.170000000000002</v>
      </c>
      <c r="K1619" s="1">
        <v>43906</v>
      </c>
      <c r="L1619">
        <v>98.069000000000003</v>
      </c>
    </row>
    <row r="1620" spans="1:12" x14ac:dyDescent="0.25">
      <c r="A1620" s="1">
        <v>43991</v>
      </c>
      <c r="B1620">
        <v>27.57</v>
      </c>
      <c r="C1620" s="1">
        <v>43991</v>
      </c>
      <c r="D1620">
        <v>28.23</v>
      </c>
      <c r="E1620" s="1">
        <v>43937</v>
      </c>
      <c r="F1620">
        <v>69.930000000000007</v>
      </c>
      <c r="G1620" s="1">
        <v>43990</v>
      </c>
      <c r="H1620">
        <v>67.239999999999995</v>
      </c>
      <c r="I1620" s="1">
        <v>43990</v>
      </c>
      <c r="J1620">
        <v>17.940000000000001</v>
      </c>
      <c r="K1620" s="1">
        <v>43907</v>
      </c>
      <c r="L1620">
        <v>99.575000000000003</v>
      </c>
    </row>
    <row r="1621" spans="1:12" x14ac:dyDescent="0.25">
      <c r="A1621" s="1">
        <v>43992</v>
      </c>
      <c r="B1621">
        <v>27.57</v>
      </c>
      <c r="C1621" s="1">
        <v>43992</v>
      </c>
      <c r="D1621">
        <v>27.42</v>
      </c>
      <c r="E1621" s="1">
        <v>43938</v>
      </c>
      <c r="F1621">
        <v>69.84</v>
      </c>
      <c r="G1621" s="1">
        <v>43991</v>
      </c>
      <c r="H1621">
        <v>67.760000000000005</v>
      </c>
      <c r="I1621" s="1">
        <v>43991</v>
      </c>
      <c r="J1621">
        <v>19</v>
      </c>
      <c r="K1621" s="1">
        <v>43908</v>
      </c>
      <c r="L1621">
        <v>101.16</v>
      </c>
    </row>
    <row r="1622" spans="1:12" x14ac:dyDescent="0.25">
      <c r="A1622" s="1">
        <v>43993</v>
      </c>
      <c r="B1622">
        <v>40.79</v>
      </c>
      <c r="C1622" s="1">
        <v>43993</v>
      </c>
      <c r="D1622">
        <v>37.9</v>
      </c>
      <c r="E1622" s="1">
        <v>43941</v>
      </c>
      <c r="F1622">
        <v>70.599999999999994</v>
      </c>
      <c r="G1622" s="1">
        <v>43992</v>
      </c>
      <c r="H1622">
        <v>63.06</v>
      </c>
      <c r="I1622" s="1">
        <v>43992</v>
      </c>
      <c r="J1622">
        <v>20.75</v>
      </c>
      <c r="K1622" s="1">
        <v>43909</v>
      </c>
      <c r="L1622">
        <v>102.755</v>
      </c>
    </row>
    <row r="1623" spans="1:12" x14ac:dyDescent="0.25">
      <c r="A1623" s="1">
        <v>43994</v>
      </c>
      <c r="B1623">
        <v>36.090000000000003</v>
      </c>
      <c r="C1623" s="1">
        <v>43994</v>
      </c>
      <c r="D1623">
        <v>37.81</v>
      </c>
      <c r="E1623" s="1">
        <v>43942</v>
      </c>
      <c r="F1623">
        <v>73.83</v>
      </c>
      <c r="G1623" s="1">
        <v>43993</v>
      </c>
      <c r="H1623">
        <v>69.959999999999994</v>
      </c>
      <c r="I1623" s="1">
        <v>43993</v>
      </c>
      <c r="J1623">
        <v>23.04</v>
      </c>
      <c r="K1623" s="1">
        <v>43910</v>
      </c>
      <c r="L1623">
        <v>102.81699999999999</v>
      </c>
    </row>
    <row r="1624" spans="1:12" x14ac:dyDescent="0.25">
      <c r="A1624" s="1">
        <v>43997</v>
      </c>
      <c r="B1624">
        <v>34.4</v>
      </c>
      <c r="C1624" s="1">
        <v>43997</v>
      </c>
      <c r="D1624">
        <v>37.08</v>
      </c>
      <c r="E1624" s="1">
        <v>43943</v>
      </c>
      <c r="F1624">
        <v>72.290000000000006</v>
      </c>
      <c r="G1624" s="1">
        <v>43994</v>
      </c>
      <c r="H1624">
        <v>70.22</v>
      </c>
      <c r="I1624" s="1">
        <v>43994</v>
      </c>
      <c r="J1624">
        <v>20.39</v>
      </c>
      <c r="K1624" s="1">
        <v>43913</v>
      </c>
      <c r="L1624">
        <v>102.48699999999999</v>
      </c>
    </row>
    <row r="1625" spans="1:12" x14ac:dyDescent="0.25">
      <c r="A1625" s="1">
        <v>43998</v>
      </c>
      <c r="B1625">
        <v>33.67</v>
      </c>
      <c r="C1625" s="1">
        <v>43998</v>
      </c>
      <c r="D1625">
        <v>36.6</v>
      </c>
      <c r="E1625" s="1">
        <v>43944</v>
      </c>
      <c r="F1625">
        <v>67.25</v>
      </c>
      <c r="G1625" s="1">
        <v>43997</v>
      </c>
      <c r="H1625">
        <v>68.11</v>
      </c>
      <c r="I1625" s="1">
        <v>43997</v>
      </c>
      <c r="J1625">
        <v>20.11</v>
      </c>
      <c r="K1625" s="1">
        <v>43914</v>
      </c>
      <c r="L1625">
        <v>102.039</v>
      </c>
    </row>
    <row r="1626" spans="1:12" x14ac:dyDescent="0.25">
      <c r="A1626" s="1">
        <v>43999</v>
      </c>
      <c r="B1626">
        <v>33.47</v>
      </c>
      <c r="C1626" s="1">
        <v>43999</v>
      </c>
      <c r="D1626">
        <v>35.19</v>
      </c>
      <c r="E1626" s="1">
        <v>43945</v>
      </c>
      <c r="F1626">
        <v>66.09</v>
      </c>
      <c r="G1626" s="1">
        <v>43998</v>
      </c>
      <c r="H1626">
        <v>66.63</v>
      </c>
      <c r="I1626" s="1">
        <v>43998</v>
      </c>
      <c r="J1626">
        <v>19.29</v>
      </c>
      <c r="K1626" s="1">
        <v>43915</v>
      </c>
      <c r="L1626">
        <v>101.05</v>
      </c>
    </row>
    <row r="1627" spans="1:12" x14ac:dyDescent="0.25">
      <c r="A1627" s="1">
        <v>44000</v>
      </c>
      <c r="B1627">
        <v>32.94</v>
      </c>
      <c r="C1627" s="1">
        <v>44000</v>
      </c>
      <c r="D1627">
        <v>33.65</v>
      </c>
      <c r="E1627" s="1">
        <v>43948</v>
      </c>
      <c r="F1627">
        <v>62.7</v>
      </c>
      <c r="G1627" s="1">
        <v>43999</v>
      </c>
      <c r="H1627">
        <v>61.45</v>
      </c>
      <c r="I1627" s="1">
        <v>43999</v>
      </c>
      <c r="J1627">
        <v>18.88</v>
      </c>
      <c r="K1627" s="1">
        <v>43916</v>
      </c>
      <c r="L1627">
        <v>99.352000000000004</v>
      </c>
    </row>
    <row r="1628" spans="1:12" x14ac:dyDescent="0.25">
      <c r="A1628" s="1">
        <v>44001</v>
      </c>
      <c r="B1628">
        <v>35.119999999999997</v>
      </c>
      <c r="C1628" s="1">
        <v>44001</v>
      </c>
      <c r="D1628">
        <v>31.61</v>
      </c>
      <c r="E1628" s="1">
        <v>43949</v>
      </c>
      <c r="F1628">
        <v>58.89</v>
      </c>
      <c r="G1628" s="1">
        <v>44000</v>
      </c>
      <c r="H1628">
        <v>61.35</v>
      </c>
      <c r="I1628" s="1">
        <v>44000</v>
      </c>
      <c r="J1628">
        <v>18.309999999999999</v>
      </c>
      <c r="K1628" s="1">
        <v>43917</v>
      </c>
      <c r="L1628">
        <v>98.364999999999995</v>
      </c>
    </row>
    <row r="1629" spans="1:12" x14ac:dyDescent="0.25">
      <c r="A1629" s="1">
        <v>44004</v>
      </c>
      <c r="B1629">
        <v>31.77</v>
      </c>
      <c r="C1629" s="1">
        <v>44004</v>
      </c>
      <c r="D1629">
        <v>30.3</v>
      </c>
      <c r="E1629" s="1">
        <v>43950</v>
      </c>
      <c r="F1629">
        <v>57.15</v>
      </c>
      <c r="G1629" s="1">
        <v>44001</v>
      </c>
      <c r="H1629">
        <v>58.73</v>
      </c>
      <c r="I1629" s="1">
        <v>44001</v>
      </c>
      <c r="J1629">
        <v>18.27</v>
      </c>
      <c r="K1629" s="1">
        <v>43920</v>
      </c>
      <c r="L1629">
        <v>99.180999999999997</v>
      </c>
    </row>
    <row r="1630" spans="1:12" x14ac:dyDescent="0.25">
      <c r="A1630" s="1">
        <v>44005</v>
      </c>
      <c r="B1630">
        <v>31.37</v>
      </c>
      <c r="C1630" s="1">
        <v>44005</v>
      </c>
      <c r="D1630">
        <v>29.48</v>
      </c>
      <c r="E1630" s="1">
        <v>43951</v>
      </c>
      <c r="F1630">
        <v>53.59</v>
      </c>
      <c r="G1630" s="1">
        <v>44004</v>
      </c>
      <c r="H1630">
        <v>56.76</v>
      </c>
      <c r="I1630" s="1">
        <v>44004</v>
      </c>
      <c r="J1630">
        <v>19.55</v>
      </c>
      <c r="K1630" s="1">
        <v>43921</v>
      </c>
      <c r="L1630">
        <v>99.048000000000002</v>
      </c>
    </row>
    <row r="1631" spans="1:12" x14ac:dyDescent="0.25">
      <c r="A1631" s="1">
        <v>44006</v>
      </c>
      <c r="B1631">
        <v>33.840000000000003</v>
      </c>
      <c r="C1631" s="1">
        <v>44006</v>
      </c>
      <c r="D1631">
        <v>32.72</v>
      </c>
      <c r="E1631" s="1">
        <v>43952</v>
      </c>
      <c r="F1631">
        <v>48.11</v>
      </c>
      <c r="G1631" s="1">
        <v>44005</v>
      </c>
      <c r="H1631">
        <v>58.83</v>
      </c>
      <c r="I1631" s="1">
        <v>44005</v>
      </c>
      <c r="J1631">
        <v>20.51</v>
      </c>
      <c r="K1631" s="1">
        <v>43922</v>
      </c>
      <c r="L1631">
        <v>99.673000000000002</v>
      </c>
    </row>
    <row r="1632" spans="1:12" x14ac:dyDescent="0.25">
      <c r="A1632" s="1">
        <v>44007</v>
      </c>
      <c r="B1632">
        <v>32.22</v>
      </c>
      <c r="C1632" s="1">
        <v>44007</v>
      </c>
      <c r="D1632">
        <v>30.79</v>
      </c>
      <c r="E1632" s="1">
        <v>43955</v>
      </c>
      <c r="F1632">
        <v>49.25</v>
      </c>
      <c r="G1632" s="1">
        <v>44006</v>
      </c>
      <c r="H1632">
        <v>64.959999999999994</v>
      </c>
      <c r="I1632" s="1">
        <v>44006</v>
      </c>
      <c r="J1632">
        <v>20.010000000000002</v>
      </c>
      <c r="K1632" s="1">
        <v>43923</v>
      </c>
      <c r="L1632">
        <v>100.18</v>
      </c>
    </row>
    <row r="1633" spans="1:12" x14ac:dyDescent="0.25">
      <c r="A1633" s="1">
        <v>44008</v>
      </c>
      <c r="B1633">
        <v>34.729999999999997</v>
      </c>
      <c r="C1633" s="1">
        <v>44008</v>
      </c>
      <c r="D1633">
        <v>32.36</v>
      </c>
      <c r="E1633" s="1">
        <v>43956</v>
      </c>
      <c r="F1633">
        <v>49.65</v>
      </c>
      <c r="G1633" s="1">
        <v>44007</v>
      </c>
      <c r="H1633">
        <v>62.69</v>
      </c>
      <c r="I1633" s="1">
        <v>44007</v>
      </c>
      <c r="J1633">
        <v>19.73</v>
      </c>
      <c r="K1633" s="1">
        <v>43924</v>
      </c>
      <c r="L1633">
        <v>100.57599999999999</v>
      </c>
    </row>
    <row r="1634" spans="1:12" x14ac:dyDescent="0.25">
      <c r="A1634" s="1">
        <v>44011</v>
      </c>
      <c r="B1634">
        <v>31.78</v>
      </c>
      <c r="C1634" s="1">
        <v>44011</v>
      </c>
      <c r="D1634">
        <v>30.34</v>
      </c>
      <c r="E1634" s="1">
        <v>43957</v>
      </c>
      <c r="F1634">
        <v>51.31</v>
      </c>
      <c r="G1634" s="1">
        <v>44008</v>
      </c>
      <c r="H1634">
        <v>63.69</v>
      </c>
      <c r="I1634" s="1">
        <v>44008</v>
      </c>
      <c r="J1634">
        <v>20.52</v>
      </c>
      <c r="K1634" s="1">
        <v>43927</v>
      </c>
      <c r="L1634">
        <v>100.685</v>
      </c>
    </row>
    <row r="1635" spans="1:12" x14ac:dyDescent="0.25">
      <c r="A1635" s="1">
        <v>44012</v>
      </c>
      <c r="B1635">
        <v>30.43</v>
      </c>
      <c r="C1635" s="1">
        <v>44012</v>
      </c>
      <c r="D1635">
        <v>27.99</v>
      </c>
      <c r="E1635" s="1">
        <v>43958</v>
      </c>
      <c r="F1635">
        <v>54.93</v>
      </c>
      <c r="G1635" s="1">
        <v>44011</v>
      </c>
      <c r="H1635">
        <v>60.04</v>
      </c>
      <c r="I1635" s="1">
        <v>44011</v>
      </c>
      <c r="J1635">
        <v>19.260000000000002</v>
      </c>
      <c r="K1635" s="1">
        <v>43928</v>
      </c>
      <c r="L1635">
        <v>99.9</v>
      </c>
    </row>
    <row r="1636" spans="1:12" x14ac:dyDescent="0.25">
      <c r="A1636" s="1">
        <v>44013</v>
      </c>
      <c r="B1636">
        <v>28.62</v>
      </c>
      <c r="C1636" s="1">
        <v>44013</v>
      </c>
      <c r="D1636">
        <v>26.9</v>
      </c>
      <c r="E1636" s="1">
        <v>43959</v>
      </c>
      <c r="F1636">
        <v>57.4</v>
      </c>
      <c r="G1636" s="1">
        <v>44012</v>
      </c>
      <c r="H1636">
        <v>57.66</v>
      </c>
      <c r="I1636" s="1">
        <v>44012</v>
      </c>
      <c r="J1636">
        <v>19.649999999999999</v>
      </c>
      <c r="K1636" s="1">
        <v>43929</v>
      </c>
      <c r="L1636">
        <v>100.119</v>
      </c>
    </row>
    <row r="1637" spans="1:12" x14ac:dyDescent="0.25">
      <c r="A1637" s="1">
        <v>44014</v>
      </c>
      <c r="B1637">
        <v>27.68</v>
      </c>
      <c r="C1637" s="1">
        <v>44014</v>
      </c>
      <c r="D1637">
        <v>25.29</v>
      </c>
      <c r="E1637" s="1">
        <v>43962</v>
      </c>
      <c r="F1637">
        <v>61.6</v>
      </c>
      <c r="G1637" s="1">
        <v>44013</v>
      </c>
      <c r="H1637">
        <v>53.43</v>
      </c>
      <c r="I1637" s="1">
        <v>44013</v>
      </c>
      <c r="J1637">
        <v>18.850000000000001</v>
      </c>
      <c r="K1637" s="1">
        <v>43930</v>
      </c>
      <c r="L1637">
        <v>99.516999999999996</v>
      </c>
    </row>
    <row r="1638" spans="1:12" x14ac:dyDescent="0.25">
      <c r="A1638" s="1">
        <v>44018</v>
      </c>
      <c r="B1638">
        <v>27.94</v>
      </c>
      <c r="C1638" s="1">
        <v>44018</v>
      </c>
      <c r="D1638">
        <v>27.96</v>
      </c>
      <c r="E1638" s="1">
        <v>43963</v>
      </c>
      <c r="F1638">
        <v>61.26</v>
      </c>
      <c r="G1638" s="1">
        <v>44014</v>
      </c>
      <c r="H1638">
        <v>51.29</v>
      </c>
      <c r="I1638" s="1">
        <v>44014</v>
      </c>
      <c r="J1638">
        <v>17.7</v>
      </c>
      <c r="K1638" s="1">
        <v>43931</v>
      </c>
      <c r="L1638">
        <v>99.481999999999999</v>
      </c>
    </row>
    <row r="1639" spans="1:12" x14ac:dyDescent="0.25">
      <c r="A1639" s="1">
        <v>44019</v>
      </c>
      <c r="B1639">
        <v>29.43</v>
      </c>
      <c r="C1639" s="1">
        <v>44019</v>
      </c>
      <c r="D1639">
        <v>28.47</v>
      </c>
      <c r="E1639" s="1">
        <v>43964</v>
      </c>
      <c r="F1639">
        <v>57.56</v>
      </c>
      <c r="G1639" s="1">
        <v>44015</v>
      </c>
      <c r="H1639">
        <v>51.29</v>
      </c>
      <c r="I1639" s="1">
        <v>44015</v>
      </c>
      <c r="J1639">
        <v>17.7</v>
      </c>
      <c r="K1639" s="1">
        <v>43934</v>
      </c>
      <c r="L1639">
        <v>99.347999999999999</v>
      </c>
    </row>
    <row r="1640" spans="1:12" x14ac:dyDescent="0.25">
      <c r="A1640" s="1">
        <v>44020</v>
      </c>
      <c r="B1640">
        <v>28.08</v>
      </c>
      <c r="C1640" s="1">
        <v>44020</v>
      </c>
      <c r="D1640">
        <v>27.28</v>
      </c>
      <c r="E1640" s="1">
        <v>43965</v>
      </c>
      <c r="F1640">
        <v>59.05</v>
      </c>
      <c r="G1640" s="1">
        <v>44018</v>
      </c>
      <c r="H1640">
        <v>50.73</v>
      </c>
      <c r="I1640" s="1">
        <v>44018</v>
      </c>
      <c r="J1640">
        <v>17.420000000000002</v>
      </c>
      <c r="K1640" s="1">
        <v>43935</v>
      </c>
      <c r="L1640">
        <v>98.887</v>
      </c>
    </row>
    <row r="1641" spans="1:12" x14ac:dyDescent="0.25">
      <c r="A1641" s="1">
        <v>44021</v>
      </c>
      <c r="B1641">
        <v>29.26</v>
      </c>
      <c r="C1641" s="1">
        <v>44021</v>
      </c>
      <c r="D1641">
        <v>28.91</v>
      </c>
      <c r="E1641" s="1">
        <v>43966</v>
      </c>
      <c r="F1641">
        <v>56.53</v>
      </c>
      <c r="G1641" s="1">
        <v>44019</v>
      </c>
      <c r="H1641">
        <v>51.39</v>
      </c>
      <c r="I1641" s="1">
        <v>44019</v>
      </c>
      <c r="J1641">
        <v>17.37</v>
      </c>
      <c r="K1641" s="1">
        <v>43936</v>
      </c>
      <c r="L1641">
        <v>99.460999999999999</v>
      </c>
    </row>
    <row r="1642" spans="1:12" x14ac:dyDescent="0.25">
      <c r="A1642" s="1">
        <v>44022</v>
      </c>
      <c r="B1642">
        <v>27.29</v>
      </c>
      <c r="C1642" s="1">
        <v>44022</v>
      </c>
      <c r="D1642">
        <v>28.51</v>
      </c>
      <c r="E1642" s="1">
        <v>43969</v>
      </c>
      <c r="F1642">
        <v>58.7</v>
      </c>
      <c r="G1642" s="1">
        <v>44020</v>
      </c>
      <c r="H1642">
        <v>48.85</v>
      </c>
      <c r="I1642" s="1">
        <v>44020</v>
      </c>
      <c r="J1642">
        <v>17.739999999999998</v>
      </c>
      <c r="K1642" s="1">
        <v>43937</v>
      </c>
      <c r="L1642">
        <v>100.02500000000001</v>
      </c>
    </row>
    <row r="1643" spans="1:12" x14ac:dyDescent="0.25">
      <c r="A1643" s="1">
        <v>44025</v>
      </c>
      <c r="B1643">
        <v>32.19</v>
      </c>
      <c r="C1643" s="1">
        <v>44025</v>
      </c>
      <c r="D1643">
        <v>29.59</v>
      </c>
      <c r="E1643" s="1">
        <v>43970</v>
      </c>
      <c r="F1643">
        <v>60.09</v>
      </c>
      <c r="G1643" s="1">
        <v>44021</v>
      </c>
      <c r="H1643">
        <v>53.77</v>
      </c>
      <c r="I1643" s="1">
        <v>44021</v>
      </c>
      <c r="J1643">
        <v>17.39</v>
      </c>
      <c r="K1643" s="1">
        <v>43938</v>
      </c>
      <c r="L1643">
        <v>99.781999999999996</v>
      </c>
    </row>
    <row r="1644" spans="1:12" x14ac:dyDescent="0.25">
      <c r="A1644" s="1">
        <v>44026</v>
      </c>
      <c r="B1644">
        <v>29.52</v>
      </c>
      <c r="C1644" s="1">
        <v>44026</v>
      </c>
      <c r="D1644">
        <v>29.8</v>
      </c>
      <c r="E1644" s="1">
        <v>43971</v>
      </c>
      <c r="F1644">
        <v>58.85</v>
      </c>
      <c r="G1644" s="1">
        <v>44022</v>
      </c>
      <c r="H1644">
        <v>49.71</v>
      </c>
      <c r="I1644" s="1">
        <v>44022</v>
      </c>
      <c r="J1644">
        <v>16.64</v>
      </c>
      <c r="K1644" s="1">
        <v>43941</v>
      </c>
      <c r="L1644">
        <v>99.954999999999998</v>
      </c>
    </row>
    <row r="1645" spans="1:12" x14ac:dyDescent="0.25">
      <c r="A1645" s="1">
        <v>44027</v>
      </c>
      <c r="B1645">
        <v>27.76</v>
      </c>
      <c r="C1645" s="1">
        <v>44027</v>
      </c>
      <c r="D1645">
        <v>27.75</v>
      </c>
      <c r="E1645" s="1">
        <v>43972</v>
      </c>
      <c r="F1645">
        <v>55.62</v>
      </c>
      <c r="G1645" s="1">
        <v>44025</v>
      </c>
      <c r="H1645">
        <v>53.41</v>
      </c>
      <c r="I1645" s="1">
        <v>44025</v>
      </c>
      <c r="J1645">
        <v>16.53</v>
      </c>
      <c r="K1645" s="1">
        <v>43942</v>
      </c>
      <c r="L1645">
        <v>100.258</v>
      </c>
    </row>
    <row r="1646" spans="1:12" x14ac:dyDescent="0.25">
      <c r="A1646" s="1">
        <v>44028</v>
      </c>
      <c r="B1646">
        <v>28</v>
      </c>
      <c r="C1646" s="1">
        <v>44028</v>
      </c>
      <c r="D1646">
        <v>26.88</v>
      </c>
      <c r="E1646" s="1">
        <v>43973</v>
      </c>
      <c r="F1646">
        <v>51.67</v>
      </c>
      <c r="G1646" s="1">
        <v>44026</v>
      </c>
      <c r="H1646">
        <v>53.04</v>
      </c>
      <c r="I1646" s="1">
        <v>44026</v>
      </c>
      <c r="J1646">
        <v>16</v>
      </c>
      <c r="K1646" s="1">
        <v>43943</v>
      </c>
      <c r="L1646">
        <v>100.38800000000001</v>
      </c>
    </row>
    <row r="1647" spans="1:12" x14ac:dyDescent="0.25">
      <c r="A1647" s="1">
        <v>44029</v>
      </c>
      <c r="B1647">
        <v>25.68</v>
      </c>
      <c r="C1647" s="1">
        <v>44029</v>
      </c>
      <c r="D1647">
        <v>23.38</v>
      </c>
      <c r="E1647" s="1">
        <v>43977</v>
      </c>
      <c r="F1647">
        <v>52.22</v>
      </c>
      <c r="G1647" s="1">
        <v>44027</v>
      </c>
      <c r="H1647">
        <v>47.05</v>
      </c>
      <c r="I1647" s="1">
        <v>44027</v>
      </c>
      <c r="J1647">
        <v>15.36</v>
      </c>
      <c r="K1647" s="1">
        <v>43944</v>
      </c>
      <c r="L1647">
        <v>100.43300000000001</v>
      </c>
    </row>
    <row r="1648" spans="1:12" x14ac:dyDescent="0.25">
      <c r="A1648" s="1">
        <v>44032</v>
      </c>
      <c r="B1648">
        <v>24.46</v>
      </c>
      <c r="C1648" s="1">
        <v>44032</v>
      </c>
      <c r="D1648">
        <v>22.54</v>
      </c>
      <c r="E1648" s="1">
        <v>43978</v>
      </c>
      <c r="F1648">
        <v>52.98</v>
      </c>
      <c r="G1648" s="1">
        <v>44028</v>
      </c>
      <c r="H1648">
        <v>46.12</v>
      </c>
      <c r="I1648" s="1">
        <v>44028</v>
      </c>
      <c r="J1648">
        <v>15.37</v>
      </c>
      <c r="K1648" s="1">
        <v>43945</v>
      </c>
      <c r="L1648">
        <v>100.38</v>
      </c>
    </row>
    <row r="1649" spans="1:12" x14ac:dyDescent="0.25">
      <c r="A1649" s="1">
        <v>44033</v>
      </c>
      <c r="B1649">
        <v>24.84</v>
      </c>
      <c r="C1649" s="1">
        <v>44033</v>
      </c>
      <c r="D1649">
        <v>23.11</v>
      </c>
      <c r="E1649" s="1">
        <v>43979</v>
      </c>
      <c r="F1649">
        <v>50.57</v>
      </c>
      <c r="G1649" s="1">
        <v>44029</v>
      </c>
      <c r="H1649">
        <v>40.22</v>
      </c>
      <c r="I1649" s="1">
        <v>44029</v>
      </c>
      <c r="J1649">
        <v>15.09</v>
      </c>
      <c r="K1649" s="1">
        <v>43948</v>
      </c>
      <c r="L1649">
        <v>100.041</v>
      </c>
    </row>
    <row r="1650" spans="1:12" x14ac:dyDescent="0.25">
      <c r="A1650" s="1">
        <v>44034</v>
      </c>
      <c r="B1650">
        <v>24.32</v>
      </c>
      <c r="C1650" s="1">
        <v>44034</v>
      </c>
      <c r="D1650">
        <v>23.33</v>
      </c>
      <c r="E1650" s="1">
        <v>43980</v>
      </c>
      <c r="F1650">
        <v>51.55</v>
      </c>
      <c r="G1650" s="1">
        <v>44032</v>
      </c>
      <c r="H1650">
        <v>42.59</v>
      </c>
      <c r="I1650" s="1">
        <v>44032</v>
      </c>
      <c r="J1650">
        <v>15.3</v>
      </c>
      <c r="K1650" s="1">
        <v>43949</v>
      </c>
      <c r="L1650">
        <v>99.864999999999995</v>
      </c>
    </row>
    <row r="1651" spans="1:12" x14ac:dyDescent="0.25">
      <c r="A1651" s="1">
        <v>44035</v>
      </c>
      <c r="B1651">
        <v>26.08</v>
      </c>
      <c r="C1651" s="1">
        <v>44035</v>
      </c>
      <c r="D1651">
        <v>23.65</v>
      </c>
      <c r="E1651" s="1">
        <v>43983</v>
      </c>
      <c r="F1651">
        <v>55.07</v>
      </c>
      <c r="G1651" s="1">
        <v>44033</v>
      </c>
      <c r="H1651">
        <v>41.1</v>
      </c>
      <c r="I1651" s="1">
        <v>44033</v>
      </c>
      <c r="J1651">
        <v>16.670000000000002</v>
      </c>
      <c r="K1651" s="1">
        <v>43950</v>
      </c>
      <c r="L1651">
        <v>99.564999999999998</v>
      </c>
    </row>
    <row r="1652" spans="1:12" x14ac:dyDescent="0.25">
      <c r="A1652" s="1">
        <v>44036</v>
      </c>
      <c r="B1652">
        <v>25.84</v>
      </c>
      <c r="C1652" s="1">
        <v>44036</v>
      </c>
      <c r="D1652">
        <v>24.03</v>
      </c>
      <c r="E1652" s="1">
        <v>43984</v>
      </c>
      <c r="F1652">
        <v>55.35</v>
      </c>
      <c r="G1652" s="1">
        <v>44034</v>
      </c>
      <c r="H1652">
        <v>41.3</v>
      </c>
      <c r="I1652" s="1">
        <v>44034</v>
      </c>
      <c r="J1652">
        <v>22.45</v>
      </c>
      <c r="K1652" s="1">
        <v>43951</v>
      </c>
      <c r="L1652">
        <v>99.016000000000005</v>
      </c>
    </row>
    <row r="1653" spans="1:12" x14ac:dyDescent="0.25">
      <c r="A1653" s="1">
        <v>44039</v>
      </c>
      <c r="B1653">
        <v>24.74</v>
      </c>
      <c r="C1653" s="1">
        <v>44039</v>
      </c>
      <c r="D1653">
        <v>24.69</v>
      </c>
      <c r="E1653" s="1">
        <v>43985</v>
      </c>
      <c r="F1653">
        <v>61.24</v>
      </c>
      <c r="G1653" s="1">
        <v>44035</v>
      </c>
      <c r="H1653">
        <v>43.83</v>
      </c>
      <c r="I1653" s="1">
        <v>44035</v>
      </c>
      <c r="J1653">
        <v>21.99</v>
      </c>
      <c r="K1653" s="1">
        <v>43952</v>
      </c>
      <c r="L1653">
        <v>99.078999999999994</v>
      </c>
    </row>
    <row r="1654" spans="1:12" x14ac:dyDescent="0.25">
      <c r="A1654" s="1">
        <v>44040</v>
      </c>
      <c r="B1654">
        <v>25.44</v>
      </c>
      <c r="C1654" s="1">
        <v>44040</v>
      </c>
      <c r="D1654">
        <v>24.11</v>
      </c>
      <c r="E1654" s="1">
        <v>43986</v>
      </c>
      <c r="F1654">
        <v>61.18</v>
      </c>
      <c r="G1654" s="1">
        <v>44036</v>
      </c>
      <c r="H1654">
        <v>42.35</v>
      </c>
      <c r="I1654" s="1">
        <v>44036</v>
      </c>
      <c r="J1654">
        <v>21.61</v>
      </c>
      <c r="K1654" s="1">
        <v>43955</v>
      </c>
      <c r="L1654">
        <v>99.483999999999995</v>
      </c>
    </row>
    <row r="1655" spans="1:12" x14ac:dyDescent="0.25">
      <c r="A1655" s="1">
        <v>44041</v>
      </c>
      <c r="B1655">
        <v>24.1</v>
      </c>
      <c r="C1655" s="1">
        <v>44041</v>
      </c>
      <c r="D1655">
        <v>23.42</v>
      </c>
      <c r="E1655" s="1">
        <v>43987</v>
      </c>
      <c r="F1655">
        <v>61.97</v>
      </c>
      <c r="G1655" s="1">
        <v>44039</v>
      </c>
      <c r="H1655">
        <v>41.37</v>
      </c>
      <c r="I1655" s="1">
        <v>44039</v>
      </c>
      <c r="J1655">
        <v>25.52</v>
      </c>
      <c r="K1655" s="1">
        <v>43956</v>
      </c>
      <c r="L1655">
        <v>99.709000000000003</v>
      </c>
    </row>
    <row r="1656" spans="1:12" x14ac:dyDescent="0.25">
      <c r="A1656" s="1">
        <v>44042</v>
      </c>
      <c r="B1656">
        <v>24.76</v>
      </c>
      <c r="C1656" s="1">
        <v>44042</v>
      </c>
      <c r="D1656">
        <v>24.28</v>
      </c>
      <c r="E1656" s="1">
        <v>43990</v>
      </c>
      <c r="F1656">
        <v>62.77</v>
      </c>
      <c r="G1656" s="1">
        <v>44040</v>
      </c>
      <c r="H1656">
        <v>41.09</v>
      </c>
      <c r="I1656" s="1">
        <v>44040</v>
      </c>
      <c r="J1656">
        <v>28.96</v>
      </c>
      <c r="K1656" s="1">
        <v>43957</v>
      </c>
      <c r="L1656">
        <v>100.09099999999999</v>
      </c>
    </row>
    <row r="1657" spans="1:12" x14ac:dyDescent="0.25">
      <c r="A1657" s="1">
        <v>44043</v>
      </c>
      <c r="B1657">
        <v>24.46</v>
      </c>
      <c r="C1657" s="1">
        <v>44043</v>
      </c>
      <c r="D1657">
        <v>23.14</v>
      </c>
      <c r="E1657" s="1">
        <v>43991</v>
      </c>
      <c r="F1657">
        <v>62.94</v>
      </c>
      <c r="G1657" s="1">
        <v>44041</v>
      </c>
      <c r="H1657">
        <v>39.58</v>
      </c>
      <c r="I1657" s="1">
        <v>44041</v>
      </c>
      <c r="J1657">
        <v>26.79</v>
      </c>
      <c r="K1657" s="1">
        <v>43958</v>
      </c>
      <c r="L1657">
        <v>99.888999999999996</v>
      </c>
    </row>
    <row r="1658" spans="1:12" x14ac:dyDescent="0.25">
      <c r="A1658" s="1">
        <v>44046</v>
      </c>
      <c r="B1658">
        <v>24.28</v>
      </c>
      <c r="C1658" s="1">
        <v>44046</v>
      </c>
      <c r="D1658">
        <v>23.2</v>
      </c>
      <c r="E1658" s="1">
        <v>43992</v>
      </c>
      <c r="F1658">
        <v>60.02</v>
      </c>
      <c r="G1658" s="1">
        <v>44042</v>
      </c>
      <c r="H1658">
        <v>42.06</v>
      </c>
      <c r="I1658" s="1">
        <v>44042</v>
      </c>
      <c r="J1658">
        <v>24.13</v>
      </c>
      <c r="K1658" s="1">
        <v>43959</v>
      </c>
      <c r="L1658">
        <v>99.733999999999995</v>
      </c>
    </row>
    <row r="1659" spans="1:12" x14ac:dyDescent="0.25">
      <c r="A1659" s="1">
        <v>44047</v>
      </c>
      <c r="B1659">
        <v>23.76</v>
      </c>
      <c r="C1659" s="1">
        <v>44047</v>
      </c>
      <c r="D1659">
        <v>22.67</v>
      </c>
      <c r="E1659" s="1">
        <v>43993</v>
      </c>
      <c r="F1659">
        <v>56.47</v>
      </c>
      <c r="G1659" s="1">
        <v>44043</v>
      </c>
      <c r="H1659">
        <v>44.43</v>
      </c>
      <c r="I1659" s="1">
        <v>44043</v>
      </c>
      <c r="J1659">
        <v>24.46</v>
      </c>
      <c r="K1659" s="1">
        <v>43962</v>
      </c>
      <c r="L1659">
        <v>100.236</v>
      </c>
    </row>
    <row r="1660" spans="1:12" x14ac:dyDescent="0.25">
      <c r="A1660" s="1">
        <v>44048</v>
      </c>
      <c r="B1660">
        <v>22.99</v>
      </c>
      <c r="C1660" s="1">
        <v>44048</v>
      </c>
      <c r="D1660">
        <v>22</v>
      </c>
      <c r="E1660" s="1">
        <v>43994</v>
      </c>
      <c r="F1660">
        <v>55.81</v>
      </c>
      <c r="G1660" s="1">
        <v>44046</v>
      </c>
      <c r="H1660">
        <v>41.56</v>
      </c>
      <c r="I1660" s="1">
        <v>44046</v>
      </c>
      <c r="J1660">
        <v>23.56</v>
      </c>
      <c r="K1660" s="1">
        <v>43963</v>
      </c>
      <c r="L1660">
        <v>99.933000000000007</v>
      </c>
    </row>
    <row r="1661" spans="1:12" x14ac:dyDescent="0.25">
      <c r="A1661" s="1">
        <v>44049</v>
      </c>
      <c r="B1661">
        <v>22.65</v>
      </c>
      <c r="C1661" s="1">
        <v>44049</v>
      </c>
      <c r="D1661">
        <v>22.46</v>
      </c>
      <c r="E1661" s="1">
        <v>43997</v>
      </c>
      <c r="F1661">
        <v>58.09</v>
      </c>
      <c r="G1661" s="1">
        <v>44047</v>
      </c>
      <c r="H1661">
        <v>40.28</v>
      </c>
      <c r="I1661" s="1">
        <v>44047</v>
      </c>
      <c r="J1661">
        <v>26.3</v>
      </c>
      <c r="K1661" s="1">
        <v>43964</v>
      </c>
      <c r="L1661">
        <v>100.242</v>
      </c>
    </row>
    <row r="1662" spans="1:12" x14ac:dyDescent="0.25">
      <c r="A1662" s="1">
        <v>44050</v>
      </c>
      <c r="B1662">
        <v>22.21</v>
      </c>
      <c r="C1662" s="1">
        <v>44050</v>
      </c>
      <c r="D1662">
        <v>23.99</v>
      </c>
      <c r="E1662" s="1">
        <v>43998</v>
      </c>
      <c r="F1662">
        <v>60.49</v>
      </c>
      <c r="G1662" s="1">
        <v>44048</v>
      </c>
      <c r="H1662">
        <v>37.119999999999997</v>
      </c>
      <c r="I1662" s="1">
        <v>44048</v>
      </c>
      <c r="J1662">
        <v>25.69</v>
      </c>
      <c r="K1662" s="1">
        <v>43965</v>
      </c>
      <c r="L1662">
        <v>100.46599999999999</v>
      </c>
    </row>
    <row r="1663" spans="1:12" x14ac:dyDescent="0.25">
      <c r="A1663" s="1">
        <v>44053</v>
      </c>
      <c r="B1663">
        <v>22.13</v>
      </c>
      <c r="C1663" s="1">
        <v>44053</v>
      </c>
      <c r="D1663">
        <v>24.14</v>
      </c>
      <c r="E1663" s="1">
        <v>43999</v>
      </c>
      <c r="F1663">
        <v>58.16</v>
      </c>
      <c r="G1663" s="1">
        <v>44049</v>
      </c>
      <c r="H1663">
        <v>37.590000000000003</v>
      </c>
      <c r="I1663" s="1">
        <v>44049</v>
      </c>
      <c r="J1663">
        <v>27.36</v>
      </c>
      <c r="K1663" s="1">
        <v>43966</v>
      </c>
      <c r="L1663">
        <v>100.402</v>
      </c>
    </row>
    <row r="1664" spans="1:12" x14ac:dyDescent="0.25">
      <c r="A1664" s="1">
        <v>44054</v>
      </c>
      <c r="B1664">
        <v>24.03</v>
      </c>
      <c r="C1664" s="1">
        <v>44054</v>
      </c>
      <c r="D1664">
        <v>24.78</v>
      </c>
      <c r="E1664" s="1">
        <v>44000</v>
      </c>
      <c r="F1664">
        <v>55.15</v>
      </c>
      <c r="G1664" s="1">
        <v>44050</v>
      </c>
      <c r="H1664">
        <v>37.43</v>
      </c>
      <c r="I1664" s="1">
        <v>44050</v>
      </c>
      <c r="J1664">
        <v>26.22</v>
      </c>
      <c r="K1664" s="1">
        <v>43969</v>
      </c>
      <c r="L1664">
        <v>99.665000000000006</v>
      </c>
    </row>
    <row r="1665" spans="1:12" x14ac:dyDescent="0.25">
      <c r="A1665" s="1">
        <v>44055</v>
      </c>
      <c r="B1665">
        <v>22.28</v>
      </c>
      <c r="C1665" s="1">
        <v>44055</v>
      </c>
      <c r="D1665">
        <v>22.82</v>
      </c>
      <c r="E1665" s="1">
        <v>44001</v>
      </c>
      <c r="F1665">
        <v>53.452300000000001</v>
      </c>
      <c r="G1665" s="1">
        <v>44053</v>
      </c>
      <c r="H1665">
        <v>35.74</v>
      </c>
      <c r="I1665" s="1">
        <v>44053</v>
      </c>
      <c r="J1665">
        <v>23.89</v>
      </c>
      <c r="K1665" s="1">
        <v>43970</v>
      </c>
      <c r="L1665">
        <v>99.370999999999995</v>
      </c>
    </row>
    <row r="1666" spans="1:12" x14ac:dyDescent="0.25">
      <c r="A1666" s="1">
        <v>44056</v>
      </c>
      <c r="B1666">
        <v>22.13</v>
      </c>
      <c r="C1666" s="1">
        <v>44056</v>
      </c>
      <c r="D1666">
        <v>22.24</v>
      </c>
      <c r="E1666" s="1">
        <v>44004</v>
      </c>
      <c r="F1666">
        <v>53.931800000000003</v>
      </c>
      <c r="G1666" s="1">
        <v>44054</v>
      </c>
      <c r="H1666">
        <v>37.5</v>
      </c>
      <c r="I1666" s="1">
        <v>44054</v>
      </c>
      <c r="J1666">
        <v>27.48</v>
      </c>
      <c r="K1666" s="1">
        <v>43971</v>
      </c>
      <c r="L1666">
        <v>99.123999999999995</v>
      </c>
    </row>
    <row r="1667" spans="1:12" x14ac:dyDescent="0.25">
      <c r="A1667" s="1">
        <v>44057</v>
      </c>
      <c r="B1667">
        <v>22.05</v>
      </c>
      <c r="C1667" s="1">
        <v>44057</v>
      </c>
      <c r="D1667">
        <v>22.49</v>
      </c>
      <c r="E1667" s="1">
        <v>44005</v>
      </c>
      <c r="F1667">
        <v>54.04</v>
      </c>
      <c r="G1667" s="1">
        <v>44055</v>
      </c>
      <c r="H1667">
        <v>34.74</v>
      </c>
      <c r="I1667" s="1">
        <v>44055</v>
      </c>
      <c r="J1667">
        <v>25.85</v>
      </c>
      <c r="K1667" s="1">
        <v>43972</v>
      </c>
      <c r="L1667">
        <v>99.37</v>
      </c>
    </row>
    <row r="1668" spans="1:12" x14ac:dyDescent="0.25">
      <c r="A1668" s="1">
        <v>44060</v>
      </c>
      <c r="B1668">
        <v>21.35</v>
      </c>
      <c r="C1668" s="1">
        <v>44060</v>
      </c>
      <c r="D1668">
        <v>21.16</v>
      </c>
      <c r="E1668" s="1">
        <v>44006</v>
      </c>
      <c r="F1668">
        <v>54.89</v>
      </c>
      <c r="G1668" s="1">
        <v>44056</v>
      </c>
      <c r="H1668">
        <v>34.869999999999997</v>
      </c>
      <c r="I1668" s="1">
        <v>44056</v>
      </c>
      <c r="J1668">
        <v>25.82</v>
      </c>
      <c r="K1668" s="1">
        <v>43973</v>
      </c>
      <c r="L1668">
        <v>99.863</v>
      </c>
    </row>
    <row r="1669" spans="1:12" x14ac:dyDescent="0.25">
      <c r="A1669" s="1">
        <v>44061</v>
      </c>
      <c r="B1669">
        <v>21.51</v>
      </c>
      <c r="C1669" s="1">
        <v>44061</v>
      </c>
      <c r="D1669">
        <v>20.85</v>
      </c>
      <c r="E1669" s="1">
        <v>44007</v>
      </c>
      <c r="F1669">
        <v>51.57</v>
      </c>
      <c r="G1669" s="1">
        <v>44057</v>
      </c>
      <c r="H1669">
        <v>35.1</v>
      </c>
      <c r="I1669" s="1">
        <v>44057</v>
      </c>
      <c r="J1669">
        <v>23.53</v>
      </c>
      <c r="K1669" s="1">
        <v>43976</v>
      </c>
      <c r="L1669">
        <v>99.863</v>
      </c>
    </row>
    <row r="1670" spans="1:12" x14ac:dyDescent="0.25">
      <c r="A1670" s="1">
        <v>44062</v>
      </c>
      <c r="B1670">
        <v>22.54</v>
      </c>
      <c r="C1670" s="1">
        <v>44062</v>
      </c>
      <c r="D1670">
        <v>22.56</v>
      </c>
      <c r="E1670" s="1">
        <v>44008</v>
      </c>
      <c r="F1670">
        <v>51.21</v>
      </c>
      <c r="G1670" s="1">
        <v>44060</v>
      </c>
      <c r="H1670">
        <v>32.43</v>
      </c>
      <c r="I1670" s="1">
        <v>44060</v>
      </c>
      <c r="J1670">
        <v>26.35</v>
      </c>
      <c r="K1670" s="1">
        <v>43977</v>
      </c>
      <c r="L1670">
        <v>98.908000000000001</v>
      </c>
    </row>
    <row r="1671" spans="1:12" x14ac:dyDescent="0.25">
      <c r="A1671" s="1">
        <v>44063</v>
      </c>
      <c r="B1671">
        <v>22.72</v>
      </c>
      <c r="C1671" s="1">
        <v>44063</v>
      </c>
      <c r="D1671">
        <v>22.53</v>
      </c>
      <c r="E1671" s="1">
        <v>44011</v>
      </c>
      <c r="F1671">
        <v>52.96</v>
      </c>
      <c r="G1671" s="1">
        <v>44061</v>
      </c>
      <c r="H1671">
        <v>31.7</v>
      </c>
      <c r="I1671" s="1">
        <v>44061</v>
      </c>
      <c r="J1671">
        <v>26.46</v>
      </c>
      <c r="K1671" s="1">
        <v>43978</v>
      </c>
      <c r="L1671">
        <v>99.061999999999998</v>
      </c>
    </row>
    <row r="1672" spans="1:12" x14ac:dyDescent="0.25">
      <c r="A1672" s="1">
        <v>44064</v>
      </c>
      <c r="B1672">
        <v>22.54</v>
      </c>
      <c r="C1672" s="1">
        <v>44064</v>
      </c>
      <c r="D1672">
        <v>21.5</v>
      </c>
      <c r="E1672" s="1">
        <v>44012</v>
      </c>
      <c r="F1672">
        <v>54.13</v>
      </c>
      <c r="G1672" s="1">
        <v>44062</v>
      </c>
      <c r="H1672">
        <v>32.85</v>
      </c>
      <c r="I1672" s="1">
        <v>44062</v>
      </c>
      <c r="J1672">
        <v>28.15</v>
      </c>
      <c r="K1672" s="1">
        <v>43979</v>
      </c>
      <c r="L1672">
        <v>98.382999999999996</v>
      </c>
    </row>
    <row r="1673" spans="1:12" x14ac:dyDescent="0.25">
      <c r="A1673" s="1">
        <v>44067</v>
      </c>
      <c r="B1673">
        <v>22.37</v>
      </c>
      <c r="C1673" s="1">
        <v>44067</v>
      </c>
      <c r="D1673">
        <v>22.32</v>
      </c>
      <c r="E1673" s="1">
        <v>44013</v>
      </c>
      <c r="F1673">
        <v>53.28</v>
      </c>
      <c r="G1673" s="1">
        <v>44063</v>
      </c>
      <c r="H1673">
        <v>32.83</v>
      </c>
      <c r="I1673" s="1">
        <v>44063</v>
      </c>
      <c r="J1673">
        <v>25.91</v>
      </c>
      <c r="K1673" s="1">
        <v>43980</v>
      </c>
      <c r="L1673">
        <v>98.343999999999994</v>
      </c>
    </row>
    <row r="1674" spans="1:12" x14ac:dyDescent="0.25">
      <c r="A1674" s="1">
        <v>44068</v>
      </c>
      <c r="B1674">
        <v>22.03</v>
      </c>
      <c r="C1674" s="1">
        <v>44068</v>
      </c>
      <c r="D1674">
        <v>21.88</v>
      </c>
      <c r="E1674" s="1">
        <v>44014</v>
      </c>
      <c r="F1674">
        <v>50.96</v>
      </c>
      <c r="G1674" s="1">
        <v>44064</v>
      </c>
      <c r="H1674">
        <v>33.68</v>
      </c>
      <c r="I1674" s="1">
        <v>44064</v>
      </c>
      <c r="J1674">
        <v>25.96</v>
      </c>
      <c r="K1674" s="1">
        <v>43983</v>
      </c>
      <c r="L1674">
        <v>97.83</v>
      </c>
    </row>
    <row r="1675" spans="1:12" x14ac:dyDescent="0.25">
      <c r="A1675" s="1">
        <v>44069</v>
      </c>
      <c r="B1675">
        <v>23.27</v>
      </c>
      <c r="C1675" s="1">
        <v>44069</v>
      </c>
      <c r="D1675">
        <v>22.76</v>
      </c>
      <c r="E1675" s="1">
        <v>44018</v>
      </c>
      <c r="F1675">
        <v>52.03</v>
      </c>
      <c r="G1675" s="1">
        <v>44067</v>
      </c>
      <c r="H1675">
        <v>32.25</v>
      </c>
      <c r="I1675" s="1">
        <v>44067</v>
      </c>
      <c r="J1675">
        <v>23.86</v>
      </c>
      <c r="K1675" s="1">
        <v>43984</v>
      </c>
      <c r="L1675">
        <v>97.673000000000002</v>
      </c>
    </row>
    <row r="1676" spans="1:12" x14ac:dyDescent="0.25">
      <c r="A1676" s="1">
        <v>44070</v>
      </c>
      <c r="B1676">
        <v>24.47</v>
      </c>
      <c r="C1676" s="1">
        <v>44070</v>
      </c>
      <c r="D1676">
        <v>24.33</v>
      </c>
      <c r="E1676" s="1">
        <v>44019</v>
      </c>
      <c r="F1676">
        <v>50.98</v>
      </c>
      <c r="G1676" s="1">
        <v>44068</v>
      </c>
      <c r="H1676">
        <v>33.03</v>
      </c>
      <c r="I1676" s="1">
        <v>44068</v>
      </c>
      <c r="J1676">
        <v>22.76</v>
      </c>
      <c r="K1676" s="1">
        <v>43985</v>
      </c>
      <c r="L1676">
        <v>97.275999999999996</v>
      </c>
    </row>
    <row r="1677" spans="1:12" x14ac:dyDescent="0.25">
      <c r="A1677" s="1">
        <v>44071</v>
      </c>
      <c r="B1677">
        <v>22.96</v>
      </c>
      <c r="C1677" s="1">
        <v>44071</v>
      </c>
      <c r="D1677">
        <v>22.9</v>
      </c>
      <c r="E1677" s="1">
        <v>44020</v>
      </c>
      <c r="F1677">
        <v>49.8</v>
      </c>
      <c r="G1677" s="1">
        <v>44069</v>
      </c>
      <c r="H1677">
        <v>33.79</v>
      </c>
      <c r="I1677" s="1">
        <v>44069</v>
      </c>
      <c r="J1677">
        <v>24.79</v>
      </c>
      <c r="K1677" s="1">
        <v>43986</v>
      </c>
      <c r="L1677">
        <v>96.677000000000007</v>
      </c>
    </row>
    <row r="1678" spans="1:12" x14ac:dyDescent="0.25">
      <c r="A1678" s="1">
        <v>44074</v>
      </c>
      <c r="B1678">
        <v>26.41</v>
      </c>
      <c r="C1678" s="1">
        <v>44074</v>
      </c>
      <c r="D1678">
        <v>26.49</v>
      </c>
      <c r="E1678" s="1">
        <v>44021</v>
      </c>
      <c r="F1678">
        <v>50.07</v>
      </c>
      <c r="G1678" s="1">
        <v>44070</v>
      </c>
      <c r="H1678">
        <v>33.74</v>
      </c>
      <c r="I1678" s="1">
        <v>44070</v>
      </c>
      <c r="J1678">
        <v>23.08</v>
      </c>
      <c r="K1678" s="1">
        <v>43987</v>
      </c>
      <c r="L1678">
        <v>96.936999999999998</v>
      </c>
    </row>
    <row r="1679" spans="1:12" x14ac:dyDescent="0.25">
      <c r="A1679" s="1">
        <v>44075</v>
      </c>
      <c r="B1679">
        <v>26.12</v>
      </c>
      <c r="C1679" s="1">
        <v>44075</v>
      </c>
      <c r="D1679">
        <v>25.68</v>
      </c>
      <c r="E1679" s="1">
        <v>44022</v>
      </c>
      <c r="F1679">
        <v>49.19</v>
      </c>
      <c r="G1679" s="1">
        <v>44071</v>
      </c>
      <c r="H1679">
        <v>32.06</v>
      </c>
      <c r="I1679" s="1">
        <v>44071</v>
      </c>
      <c r="J1679">
        <v>23.19</v>
      </c>
      <c r="K1679" s="1">
        <v>43990</v>
      </c>
      <c r="L1679">
        <v>96.617999999999995</v>
      </c>
    </row>
    <row r="1680" spans="1:12" x14ac:dyDescent="0.25">
      <c r="A1680" s="1">
        <v>44076</v>
      </c>
      <c r="B1680">
        <v>26.57</v>
      </c>
      <c r="C1680" s="1">
        <v>44076</v>
      </c>
      <c r="D1680">
        <v>27.52</v>
      </c>
      <c r="E1680" s="1">
        <v>44025</v>
      </c>
      <c r="F1680">
        <v>49.55</v>
      </c>
      <c r="G1680" s="1">
        <v>44074</v>
      </c>
      <c r="H1680">
        <v>32.590000000000003</v>
      </c>
      <c r="I1680" s="1">
        <v>44074</v>
      </c>
      <c r="J1680">
        <v>24.32</v>
      </c>
      <c r="K1680" s="1">
        <v>43991</v>
      </c>
      <c r="L1680">
        <v>96.323999999999998</v>
      </c>
    </row>
    <row r="1681" spans="1:12" x14ac:dyDescent="0.25">
      <c r="A1681" s="1">
        <v>44077</v>
      </c>
      <c r="B1681">
        <v>33.6</v>
      </c>
      <c r="C1681" s="1">
        <v>44077</v>
      </c>
      <c r="D1681">
        <v>32.36</v>
      </c>
      <c r="E1681" s="1">
        <v>44026</v>
      </c>
      <c r="F1681">
        <v>50.81</v>
      </c>
      <c r="G1681" s="1">
        <v>44075</v>
      </c>
      <c r="H1681">
        <v>31.74</v>
      </c>
      <c r="I1681" s="1">
        <v>44075</v>
      </c>
      <c r="J1681">
        <v>23</v>
      </c>
      <c r="K1681" s="1">
        <v>43992</v>
      </c>
      <c r="L1681">
        <v>95.959000000000003</v>
      </c>
    </row>
    <row r="1682" spans="1:12" x14ac:dyDescent="0.25">
      <c r="A1682" s="1">
        <v>44078</v>
      </c>
      <c r="B1682">
        <v>30.75</v>
      </c>
      <c r="C1682" s="1">
        <v>44078</v>
      </c>
      <c r="D1682">
        <v>29.41</v>
      </c>
      <c r="E1682" s="1">
        <v>44027</v>
      </c>
      <c r="F1682">
        <v>47.08</v>
      </c>
      <c r="G1682" s="1">
        <v>44076</v>
      </c>
      <c r="H1682">
        <v>35.49</v>
      </c>
      <c r="I1682" s="1">
        <v>44076</v>
      </c>
      <c r="J1682">
        <v>23.57</v>
      </c>
      <c r="K1682" s="1">
        <v>43993</v>
      </c>
      <c r="L1682">
        <v>96.733000000000004</v>
      </c>
    </row>
    <row r="1683" spans="1:12" x14ac:dyDescent="0.25">
      <c r="A1683" s="1">
        <v>44082</v>
      </c>
      <c r="B1683">
        <v>31.46</v>
      </c>
      <c r="C1683" s="1">
        <v>44082</v>
      </c>
      <c r="D1683">
        <v>30</v>
      </c>
      <c r="E1683" s="1">
        <v>44028</v>
      </c>
      <c r="F1683">
        <v>46.43</v>
      </c>
      <c r="G1683" s="1">
        <v>44077</v>
      </c>
      <c r="H1683">
        <v>41.28</v>
      </c>
      <c r="I1683" s="1">
        <v>44077</v>
      </c>
      <c r="J1683">
        <v>23.68</v>
      </c>
      <c r="K1683" s="1">
        <v>43994</v>
      </c>
      <c r="L1683">
        <v>97.319000000000003</v>
      </c>
    </row>
    <row r="1684" spans="1:12" x14ac:dyDescent="0.25">
      <c r="A1684" s="1">
        <v>44083</v>
      </c>
      <c r="B1684">
        <v>28.81</v>
      </c>
      <c r="C1684" s="1">
        <v>44083</v>
      </c>
      <c r="D1684">
        <v>25.46</v>
      </c>
      <c r="E1684" s="1">
        <v>44029</v>
      </c>
      <c r="F1684">
        <v>45.68</v>
      </c>
      <c r="G1684" s="1">
        <v>44078</v>
      </c>
      <c r="H1684">
        <v>44.02</v>
      </c>
      <c r="I1684" s="1">
        <v>44078</v>
      </c>
      <c r="J1684">
        <v>21.98</v>
      </c>
      <c r="K1684" s="1">
        <v>43997</v>
      </c>
      <c r="L1684">
        <v>96.706000000000003</v>
      </c>
    </row>
    <row r="1685" spans="1:12" x14ac:dyDescent="0.25">
      <c r="A1685" s="1">
        <v>44084</v>
      </c>
      <c r="B1685">
        <v>29.71</v>
      </c>
      <c r="C1685" s="1">
        <v>44084</v>
      </c>
      <c r="D1685">
        <v>25.24</v>
      </c>
      <c r="E1685" s="1">
        <v>44032</v>
      </c>
      <c r="F1685">
        <v>46.82</v>
      </c>
      <c r="G1685" s="1">
        <v>44082</v>
      </c>
      <c r="H1685">
        <v>55.9</v>
      </c>
      <c r="I1685" s="1">
        <v>44082</v>
      </c>
      <c r="J1685">
        <v>22.49</v>
      </c>
      <c r="K1685" s="1">
        <v>43998</v>
      </c>
      <c r="L1685">
        <v>96.957999999999998</v>
      </c>
    </row>
    <row r="1686" spans="1:12" x14ac:dyDescent="0.25">
      <c r="A1686" s="1">
        <v>44085</v>
      </c>
      <c r="B1686">
        <v>26.87</v>
      </c>
      <c r="C1686" s="1">
        <v>44085</v>
      </c>
      <c r="D1686">
        <v>23.71</v>
      </c>
      <c r="E1686" s="1">
        <v>44033</v>
      </c>
      <c r="F1686">
        <v>46.45</v>
      </c>
      <c r="G1686" s="1">
        <v>44083</v>
      </c>
      <c r="H1686">
        <v>49.42</v>
      </c>
      <c r="I1686" s="1">
        <v>44083</v>
      </c>
      <c r="J1686">
        <v>21.66</v>
      </c>
      <c r="K1686" s="1">
        <v>43999</v>
      </c>
      <c r="L1686">
        <v>97.158000000000001</v>
      </c>
    </row>
    <row r="1687" spans="1:12" x14ac:dyDescent="0.25">
      <c r="A1687" s="1">
        <v>44088</v>
      </c>
      <c r="B1687">
        <v>25.85</v>
      </c>
      <c r="C1687" s="1">
        <v>44088</v>
      </c>
      <c r="D1687">
        <v>22.69</v>
      </c>
      <c r="E1687" s="1">
        <v>44034</v>
      </c>
      <c r="F1687">
        <v>45.32</v>
      </c>
      <c r="G1687" s="1">
        <v>44084</v>
      </c>
      <c r="H1687">
        <v>52.16</v>
      </c>
      <c r="I1687" s="1">
        <v>44084</v>
      </c>
      <c r="J1687">
        <v>21.26</v>
      </c>
      <c r="K1687" s="1">
        <v>44000</v>
      </c>
      <c r="L1687">
        <v>97.421000000000006</v>
      </c>
    </row>
    <row r="1688" spans="1:12" x14ac:dyDescent="0.25">
      <c r="A1688" s="1">
        <v>44089</v>
      </c>
      <c r="B1688">
        <v>25.59</v>
      </c>
      <c r="C1688" s="1">
        <v>44089</v>
      </c>
      <c r="D1688">
        <v>22.07</v>
      </c>
      <c r="E1688" s="1">
        <v>44035</v>
      </c>
      <c r="F1688">
        <v>43.93</v>
      </c>
      <c r="G1688" s="1">
        <v>44085</v>
      </c>
      <c r="H1688">
        <v>50.13</v>
      </c>
      <c r="I1688" s="1">
        <v>44085</v>
      </c>
      <c r="J1688">
        <v>20.2</v>
      </c>
      <c r="K1688" s="1">
        <v>44001</v>
      </c>
      <c r="L1688">
        <v>97.623000000000005</v>
      </c>
    </row>
    <row r="1689" spans="1:12" x14ac:dyDescent="0.25">
      <c r="A1689" s="1">
        <v>44090</v>
      </c>
      <c r="B1689">
        <v>26.04</v>
      </c>
      <c r="C1689" s="1">
        <v>44090</v>
      </c>
      <c r="D1689">
        <v>23.52</v>
      </c>
      <c r="E1689" s="1">
        <v>44036</v>
      </c>
      <c r="F1689">
        <v>42.48</v>
      </c>
      <c r="G1689" s="1">
        <v>44088</v>
      </c>
      <c r="H1689">
        <v>49.41</v>
      </c>
      <c r="I1689" s="1">
        <v>44088</v>
      </c>
      <c r="J1689">
        <v>20.91</v>
      </c>
      <c r="K1689" s="1">
        <v>44004</v>
      </c>
      <c r="L1689">
        <v>97.039000000000001</v>
      </c>
    </row>
    <row r="1690" spans="1:12" x14ac:dyDescent="0.25">
      <c r="A1690" s="1">
        <v>44091</v>
      </c>
      <c r="B1690">
        <v>26.46</v>
      </c>
      <c r="C1690" s="1">
        <v>44091</v>
      </c>
      <c r="D1690">
        <v>22.87</v>
      </c>
      <c r="E1690" s="1">
        <v>44039</v>
      </c>
      <c r="F1690">
        <v>42.61</v>
      </c>
      <c r="G1690" s="1">
        <v>44089</v>
      </c>
      <c r="H1690">
        <v>45.19</v>
      </c>
      <c r="I1690" s="1">
        <v>44089</v>
      </c>
      <c r="J1690">
        <v>20.32</v>
      </c>
      <c r="K1690" s="1">
        <v>44005</v>
      </c>
      <c r="L1690">
        <v>96.646000000000001</v>
      </c>
    </row>
    <row r="1691" spans="1:12" x14ac:dyDescent="0.25">
      <c r="A1691" s="1">
        <v>44092</v>
      </c>
      <c r="B1691">
        <v>25.83</v>
      </c>
      <c r="C1691" s="1">
        <v>44092</v>
      </c>
      <c r="D1691">
        <v>22.26</v>
      </c>
      <c r="E1691" s="1">
        <v>44040</v>
      </c>
      <c r="F1691">
        <v>41.27</v>
      </c>
      <c r="G1691" s="1">
        <v>44090</v>
      </c>
      <c r="H1691">
        <v>41.13</v>
      </c>
      <c r="I1691" s="1">
        <v>44090</v>
      </c>
      <c r="J1691">
        <v>20.079999999999998</v>
      </c>
      <c r="K1691" s="1">
        <v>44006</v>
      </c>
      <c r="L1691">
        <v>97.147999999999996</v>
      </c>
    </row>
    <row r="1692" spans="1:12" x14ac:dyDescent="0.25">
      <c r="A1692" s="1">
        <v>44095</v>
      </c>
      <c r="B1692">
        <v>27.78</v>
      </c>
      <c r="C1692" s="1">
        <v>44095</v>
      </c>
      <c r="D1692">
        <v>24.67</v>
      </c>
      <c r="E1692" s="1">
        <v>44041</v>
      </c>
      <c r="F1692">
        <v>41.63</v>
      </c>
      <c r="G1692" s="1">
        <v>44091</v>
      </c>
      <c r="H1692">
        <v>38.729999999999997</v>
      </c>
      <c r="I1692" s="1">
        <v>44091</v>
      </c>
      <c r="J1692">
        <v>19.95</v>
      </c>
      <c r="K1692" s="1">
        <v>44007</v>
      </c>
      <c r="L1692">
        <v>97.429000000000002</v>
      </c>
    </row>
    <row r="1693" spans="1:12" x14ac:dyDescent="0.25">
      <c r="A1693" s="1">
        <v>44096</v>
      </c>
      <c r="B1693">
        <v>26.86</v>
      </c>
      <c r="C1693" s="1">
        <v>44096</v>
      </c>
      <c r="D1693">
        <v>25.37</v>
      </c>
      <c r="E1693" s="1">
        <v>44042</v>
      </c>
      <c r="F1693">
        <v>40.659999999999997</v>
      </c>
      <c r="G1693" s="1">
        <v>44092</v>
      </c>
      <c r="H1693">
        <v>39.07</v>
      </c>
      <c r="I1693" s="1">
        <v>44092</v>
      </c>
      <c r="J1693">
        <v>20.22</v>
      </c>
      <c r="K1693" s="1">
        <v>44008</v>
      </c>
      <c r="L1693">
        <v>97.433000000000007</v>
      </c>
    </row>
    <row r="1694" spans="1:12" x14ac:dyDescent="0.25">
      <c r="A1694" s="1">
        <v>44097</v>
      </c>
      <c r="B1694">
        <v>28.58</v>
      </c>
      <c r="C1694" s="1">
        <v>44097</v>
      </c>
      <c r="D1694">
        <v>27.15</v>
      </c>
      <c r="E1694" s="1">
        <v>44043</v>
      </c>
      <c r="F1694">
        <v>41.98</v>
      </c>
      <c r="G1694" s="1">
        <v>44095</v>
      </c>
      <c r="H1694">
        <v>42.89</v>
      </c>
      <c r="I1694" s="1">
        <v>44095</v>
      </c>
      <c r="J1694">
        <v>21.6</v>
      </c>
      <c r="K1694" s="1">
        <v>44011</v>
      </c>
      <c r="L1694">
        <v>97.536000000000001</v>
      </c>
    </row>
    <row r="1695" spans="1:12" x14ac:dyDescent="0.25">
      <c r="A1695" s="1">
        <v>44098</v>
      </c>
      <c r="B1695">
        <v>28.51</v>
      </c>
      <c r="C1695" s="1">
        <v>44098</v>
      </c>
      <c r="D1695">
        <v>27.15</v>
      </c>
      <c r="E1695" s="1">
        <v>44046</v>
      </c>
      <c r="F1695">
        <v>43.13</v>
      </c>
      <c r="G1695" s="1">
        <v>44096</v>
      </c>
      <c r="H1695">
        <v>41.28</v>
      </c>
      <c r="I1695" s="1">
        <v>44096</v>
      </c>
      <c r="J1695">
        <v>21.63</v>
      </c>
      <c r="K1695" s="1">
        <v>44012</v>
      </c>
      <c r="L1695">
        <v>97.391000000000005</v>
      </c>
    </row>
    <row r="1696" spans="1:12" x14ac:dyDescent="0.25">
      <c r="A1696" s="1">
        <v>44099</v>
      </c>
      <c r="B1696">
        <v>26.38</v>
      </c>
      <c r="C1696" s="1">
        <v>44099</v>
      </c>
      <c r="D1696">
        <v>26.63</v>
      </c>
      <c r="E1696" s="1">
        <v>44047</v>
      </c>
      <c r="F1696">
        <v>44.11</v>
      </c>
      <c r="G1696" s="1">
        <v>44097</v>
      </c>
      <c r="H1696">
        <v>44.64</v>
      </c>
      <c r="I1696" s="1">
        <v>44097</v>
      </c>
      <c r="J1696">
        <v>23.43</v>
      </c>
      <c r="K1696" s="1">
        <v>44013</v>
      </c>
      <c r="L1696">
        <v>97.195999999999998</v>
      </c>
    </row>
    <row r="1697" spans="1:12" x14ac:dyDescent="0.25">
      <c r="A1697" s="1">
        <v>44102</v>
      </c>
      <c r="B1697">
        <v>26.19</v>
      </c>
      <c r="C1697" s="1">
        <v>44102</v>
      </c>
      <c r="D1697">
        <v>26.36</v>
      </c>
      <c r="E1697" s="1">
        <v>44048</v>
      </c>
      <c r="F1697">
        <v>41.75</v>
      </c>
      <c r="G1697" s="1">
        <v>44098</v>
      </c>
      <c r="H1697">
        <v>42.88</v>
      </c>
      <c r="I1697" s="1">
        <v>44098</v>
      </c>
      <c r="J1697">
        <v>23.41</v>
      </c>
      <c r="K1697" s="1">
        <v>44014</v>
      </c>
      <c r="L1697">
        <v>97.316999999999993</v>
      </c>
    </row>
    <row r="1698" spans="1:12" x14ac:dyDescent="0.25">
      <c r="A1698" s="1">
        <v>44103</v>
      </c>
      <c r="B1698">
        <v>26.27</v>
      </c>
      <c r="C1698" s="1">
        <v>44103</v>
      </c>
      <c r="D1698">
        <v>27.57</v>
      </c>
      <c r="E1698" s="1">
        <v>44049</v>
      </c>
      <c r="F1698">
        <v>42.6</v>
      </c>
      <c r="G1698" s="1">
        <v>44099</v>
      </c>
      <c r="H1698">
        <v>41.41</v>
      </c>
      <c r="I1698" s="1">
        <v>44099</v>
      </c>
      <c r="J1698">
        <v>22.09</v>
      </c>
      <c r="K1698" s="1">
        <v>44015</v>
      </c>
      <c r="L1698">
        <v>97.171999999999997</v>
      </c>
    </row>
    <row r="1699" spans="1:12" x14ac:dyDescent="0.25">
      <c r="A1699" s="1">
        <v>44104</v>
      </c>
      <c r="B1699">
        <v>26.37</v>
      </c>
      <c r="C1699" s="1">
        <v>44104</v>
      </c>
      <c r="D1699">
        <v>27.05</v>
      </c>
      <c r="E1699" s="1">
        <v>44050</v>
      </c>
      <c r="F1699">
        <v>41.46</v>
      </c>
      <c r="G1699" s="1">
        <v>44102</v>
      </c>
      <c r="H1699">
        <v>40.64</v>
      </c>
      <c r="I1699" s="1">
        <v>44102</v>
      </c>
      <c r="J1699">
        <v>22.01</v>
      </c>
      <c r="K1699" s="1">
        <v>44018</v>
      </c>
      <c r="L1699">
        <v>96.724999999999994</v>
      </c>
    </row>
    <row r="1700" spans="1:12" x14ac:dyDescent="0.25">
      <c r="A1700" s="1">
        <v>44105</v>
      </c>
      <c r="B1700">
        <v>26.7</v>
      </c>
      <c r="C1700" s="1">
        <v>44105</v>
      </c>
      <c r="D1700">
        <v>26.2</v>
      </c>
      <c r="E1700" s="1">
        <v>44053</v>
      </c>
      <c r="F1700">
        <v>42.21</v>
      </c>
      <c r="G1700" s="1">
        <v>44103</v>
      </c>
      <c r="H1700">
        <v>46.13</v>
      </c>
      <c r="I1700" s="1">
        <v>44103</v>
      </c>
      <c r="J1700">
        <v>23.28</v>
      </c>
      <c r="K1700" s="1">
        <v>44019</v>
      </c>
      <c r="L1700">
        <v>96.881</v>
      </c>
    </row>
    <row r="1701" spans="1:12" x14ac:dyDescent="0.25">
      <c r="A1701" s="1">
        <v>44106</v>
      </c>
      <c r="B1701">
        <v>27.63</v>
      </c>
      <c r="C1701" s="1">
        <v>44106</v>
      </c>
      <c r="D1701">
        <v>27.51</v>
      </c>
      <c r="E1701" s="1">
        <v>44054</v>
      </c>
      <c r="F1701">
        <v>45.26</v>
      </c>
      <c r="G1701" s="1">
        <v>44104</v>
      </c>
      <c r="H1701">
        <v>44</v>
      </c>
      <c r="I1701" s="1">
        <v>44104</v>
      </c>
      <c r="J1701">
        <v>22.07</v>
      </c>
      <c r="K1701" s="1">
        <v>44020</v>
      </c>
      <c r="L1701">
        <v>96.427999999999997</v>
      </c>
    </row>
    <row r="1702" spans="1:12" x14ac:dyDescent="0.25">
      <c r="A1702" s="1">
        <v>44109</v>
      </c>
      <c r="B1702">
        <v>27.96</v>
      </c>
      <c r="C1702" s="1">
        <v>44109</v>
      </c>
      <c r="D1702">
        <v>27.66</v>
      </c>
      <c r="E1702" s="1">
        <v>44055</v>
      </c>
      <c r="F1702">
        <v>44.23</v>
      </c>
      <c r="G1702" s="1">
        <v>44105</v>
      </c>
      <c r="H1702">
        <v>49.35</v>
      </c>
      <c r="I1702" s="1">
        <v>44105</v>
      </c>
      <c r="J1702">
        <v>22.39</v>
      </c>
      <c r="K1702" s="1">
        <v>44021</v>
      </c>
      <c r="L1702">
        <v>96.7</v>
      </c>
    </row>
    <row r="1703" spans="1:12" x14ac:dyDescent="0.25">
      <c r="A1703" s="1">
        <v>44110</v>
      </c>
      <c r="B1703">
        <v>29.48</v>
      </c>
      <c r="C1703" s="1">
        <v>44110</v>
      </c>
      <c r="D1703">
        <v>28.1</v>
      </c>
      <c r="E1703" s="1">
        <v>44056</v>
      </c>
      <c r="F1703">
        <v>45.08</v>
      </c>
      <c r="G1703" s="1">
        <v>44106</v>
      </c>
      <c r="H1703">
        <v>55.51</v>
      </c>
      <c r="I1703" s="1">
        <v>44106</v>
      </c>
      <c r="J1703">
        <v>22.59</v>
      </c>
      <c r="K1703" s="1">
        <v>44022</v>
      </c>
      <c r="L1703">
        <v>96.652000000000001</v>
      </c>
    </row>
    <row r="1704" spans="1:12" x14ac:dyDescent="0.25">
      <c r="A1704" s="1">
        <v>44111</v>
      </c>
      <c r="B1704">
        <v>28.06</v>
      </c>
      <c r="C1704" s="1">
        <v>44111</v>
      </c>
      <c r="D1704">
        <v>27.37</v>
      </c>
      <c r="E1704" s="1">
        <v>44057</v>
      </c>
      <c r="F1704">
        <v>43.09</v>
      </c>
      <c r="G1704" s="1">
        <v>44109</v>
      </c>
      <c r="H1704">
        <v>49.44</v>
      </c>
      <c r="I1704" s="1">
        <v>44109</v>
      </c>
      <c r="J1704">
        <v>22.13</v>
      </c>
      <c r="K1704" s="1">
        <v>44025</v>
      </c>
      <c r="L1704">
        <v>96.463999999999999</v>
      </c>
    </row>
    <row r="1705" spans="1:12" x14ac:dyDescent="0.25">
      <c r="A1705" s="1">
        <v>44112</v>
      </c>
      <c r="B1705">
        <v>26.36</v>
      </c>
      <c r="C1705" s="1">
        <v>44112</v>
      </c>
      <c r="D1705">
        <v>25.6</v>
      </c>
      <c r="E1705" s="1">
        <v>44060</v>
      </c>
      <c r="F1705">
        <v>45.81</v>
      </c>
      <c r="G1705" s="1">
        <v>44110</v>
      </c>
      <c r="H1705">
        <v>46.6</v>
      </c>
      <c r="I1705" s="1">
        <v>44110</v>
      </c>
      <c r="J1705">
        <v>22.79</v>
      </c>
      <c r="K1705" s="1">
        <v>44026</v>
      </c>
      <c r="L1705">
        <v>96.259</v>
      </c>
    </row>
    <row r="1706" spans="1:12" x14ac:dyDescent="0.25">
      <c r="A1706" s="1">
        <v>44113</v>
      </c>
      <c r="B1706">
        <v>25</v>
      </c>
      <c r="C1706" s="1">
        <v>44113</v>
      </c>
      <c r="D1706">
        <v>22.78</v>
      </c>
      <c r="E1706" s="1">
        <v>44061</v>
      </c>
      <c r="F1706">
        <v>46.06</v>
      </c>
      <c r="G1706" s="1">
        <v>44111</v>
      </c>
      <c r="H1706">
        <v>45.5</v>
      </c>
      <c r="I1706" s="1">
        <v>44111</v>
      </c>
      <c r="J1706">
        <v>23.28</v>
      </c>
      <c r="K1706" s="1">
        <v>44027</v>
      </c>
      <c r="L1706">
        <v>96.081000000000003</v>
      </c>
    </row>
    <row r="1707" spans="1:12" x14ac:dyDescent="0.25">
      <c r="A1707" s="1">
        <v>44116</v>
      </c>
      <c r="B1707">
        <v>25.07</v>
      </c>
      <c r="C1707" s="1">
        <v>44116</v>
      </c>
      <c r="D1707">
        <v>21.69</v>
      </c>
      <c r="E1707" s="1">
        <v>44062</v>
      </c>
      <c r="F1707">
        <v>44.6</v>
      </c>
      <c r="G1707" s="1">
        <v>44112</v>
      </c>
      <c r="H1707">
        <v>41.15</v>
      </c>
      <c r="I1707" s="1">
        <v>44112</v>
      </c>
      <c r="J1707">
        <v>21.96</v>
      </c>
      <c r="K1707" s="1">
        <v>44028</v>
      </c>
      <c r="L1707">
        <v>96.346000000000004</v>
      </c>
    </row>
    <row r="1708" spans="1:12" x14ac:dyDescent="0.25">
      <c r="A1708" s="1">
        <v>44117</v>
      </c>
      <c r="B1708">
        <v>26.07</v>
      </c>
      <c r="C1708" s="1">
        <v>44117</v>
      </c>
      <c r="D1708">
        <v>22.48</v>
      </c>
      <c r="E1708" s="1">
        <v>44063</v>
      </c>
      <c r="F1708">
        <v>44.58</v>
      </c>
      <c r="G1708" s="1">
        <v>44113</v>
      </c>
      <c r="H1708">
        <v>42.38</v>
      </c>
      <c r="I1708" s="1">
        <v>44113</v>
      </c>
      <c r="J1708">
        <v>22.44</v>
      </c>
      <c r="K1708" s="1">
        <v>44029</v>
      </c>
      <c r="L1708">
        <v>95.941999999999993</v>
      </c>
    </row>
    <row r="1709" spans="1:12" x14ac:dyDescent="0.25">
      <c r="A1709" s="1">
        <v>44118</v>
      </c>
      <c r="B1709">
        <v>26.4</v>
      </c>
      <c r="C1709" s="1">
        <v>44118</v>
      </c>
      <c r="D1709">
        <v>23.42</v>
      </c>
      <c r="E1709" s="1">
        <v>44064</v>
      </c>
      <c r="F1709">
        <v>45.14</v>
      </c>
      <c r="G1709" s="1">
        <v>44116</v>
      </c>
      <c r="H1709">
        <v>44.04</v>
      </c>
      <c r="I1709" s="1">
        <v>44116</v>
      </c>
      <c r="J1709">
        <v>22.66</v>
      </c>
      <c r="K1709" s="1">
        <v>44032</v>
      </c>
      <c r="L1709">
        <v>95.831999999999994</v>
      </c>
    </row>
    <row r="1710" spans="1:12" x14ac:dyDescent="0.25">
      <c r="A1710" s="1">
        <v>44119</v>
      </c>
      <c r="B1710">
        <v>26.97</v>
      </c>
      <c r="C1710" s="1">
        <v>44119</v>
      </c>
      <c r="D1710">
        <v>24.21</v>
      </c>
      <c r="E1710" s="1">
        <v>44067</v>
      </c>
      <c r="F1710">
        <v>46.33</v>
      </c>
      <c r="G1710" s="1">
        <v>44117</v>
      </c>
      <c r="H1710">
        <v>46.07</v>
      </c>
      <c r="I1710" s="1">
        <v>44117</v>
      </c>
      <c r="J1710">
        <v>23.17</v>
      </c>
      <c r="K1710" s="1">
        <v>44033</v>
      </c>
      <c r="L1710">
        <v>95.117000000000004</v>
      </c>
    </row>
    <row r="1711" spans="1:12" x14ac:dyDescent="0.25">
      <c r="A1711" s="1">
        <v>44120</v>
      </c>
      <c r="B1711">
        <v>27.41</v>
      </c>
      <c r="C1711" s="1">
        <v>44120</v>
      </c>
      <c r="D1711">
        <v>24.81</v>
      </c>
      <c r="E1711" s="1">
        <v>44068</v>
      </c>
      <c r="F1711">
        <v>47.89</v>
      </c>
      <c r="G1711" s="1">
        <v>44118</v>
      </c>
      <c r="H1711">
        <v>43.53</v>
      </c>
      <c r="I1711" s="1">
        <v>44118</v>
      </c>
      <c r="J1711">
        <v>21.88</v>
      </c>
      <c r="K1711" s="1">
        <v>44034</v>
      </c>
      <c r="L1711">
        <v>94.988</v>
      </c>
    </row>
    <row r="1712" spans="1:12" x14ac:dyDescent="0.25">
      <c r="A1712" s="1">
        <v>44123</v>
      </c>
      <c r="B1712">
        <v>29.18</v>
      </c>
      <c r="C1712" s="1">
        <v>44123</v>
      </c>
      <c r="D1712">
        <v>25.7</v>
      </c>
      <c r="E1712" s="1">
        <v>44069</v>
      </c>
      <c r="F1712">
        <v>47.99</v>
      </c>
      <c r="G1712" s="1">
        <v>44119</v>
      </c>
      <c r="H1712">
        <v>43.83</v>
      </c>
      <c r="I1712" s="1">
        <v>44119</v>
      </c>
      <c r="J1712">
        <v>21.73</v>
      </c>
      <c r="K1712" s="1">
        <v>44035</v>
      </c>
      <c r="L1712">
        <v>94.691999999999993</v>
      </c>
    </row>
    <row r="1713" spans="1:12" x14ac:dyDescent="0.25">
      <c r="A1713" s="1">
        <v>44124</v>
      </c>
      <c r="B1713">
        <v>29.35</v>
      </c>
      <c r="C1713" s="1">
        <v>44124</v>
      </c>
      <c r="D1713">
        <v>25.87</v>
      </c>
      <c r="E1713" s="1">
        <v>44070</v>
      </c>
      <c r="F1713">
        <v>49.29</v>
      </c>
      <c r="G1713" s="1">
        <v>44120</v>
      </c>
      <c r="H1713">
        <v>44.06</v>
      </c>
      <c r="I1713" s="1">
        <v>44120</v>
      </c>
      <c r="J1713">
        <v>20.29</v>
      </c>
      <c r="K1713" s="1">
        <v>44036</v>
      </c>
      <c r="L1713">
        <v>94.435000000000002</v>
      </c>
    </row>
    <row r="1714" spans="1:12" x14ac:dyDescent="0.25">
      <c r="A1714" s="1">
        <v>44125</v>
      </c>
      <c r="B1714">
        <v>28.65</v>
      </c>
      <c r="C1714" s="1">
        <v>44125</v>
      </c>
      <c r="D1714">
        <v>26.9</v>
      </c>
      <c r="E1714" s="1">
        <v>44071</v>
      </c>
      <c r="F1714">
        <v>48.19</v>
      </c>
      <c r="G1714" s="1">
        <v>44123</v>
      </c>
      <c r="H1714">
        <v>43.35</v>
      </c>
      <c r="I1714" s="1">
        <v>44123</v>
      </c>
      <c r="J1714">
        <v>21.33</v>
      </c>
      <c r="K1714" s="1">
        <v>44039</v>
      </c>
      <c r="L1714">
        <v>93.668000000000006</v>
      </c>
    </row>
    <row r="1715" spans="1:12" x14ac:dyDescent="0.25">
      <c r="A1715" s="1">
        <v>44126</v>
      </c>
      <c r="B1715">
        <v>28.11</v>
      </c>
      <c r="C1715" s="1">
        <v>44126</v>
      </c>
      <c r="D1715">
        <v>26.23</v>
      </c>
      <c r="E1715" s="1">
        <v>44074</v>
      </c>
      <c r="F1715">
        <v>47.02</v>
      </c>
      <c r="G1715" s="1">
        <v>44124</v>
      </c>
      <c r="H1715">
        <v>43.85</v>
      </c>
      <c r="I1715" s="1">
        <v>44124</v>
      </c>
      <c r="J1715">
        <v>21.54</v>
      </c>
      <c r="K1715" s="1">
        <v>44040</v>
      </c>
      <c r="L1715">
        <v>93.695999999999998</v>
      </c>
    </row>
    <row r="1716" spans="1:12" x14ac:dyDescent="0.25">
      <c r="A1716" s="1">
        <v>44127</v>
      </c>
      <c r="B1716">
        <v>27.55</v>
      </c>
      <c r="C1716" s="1">
        <v>44127</v>
      </c>
      <c r="D1716">
        <v>25.11</v>
      </c>
      <c r="E1716" s="1">
        <v>44075</v>
      </c>
      <c r="F1716">
        <v>44.3</v>
      </c>
      <c r="G1716" s="1">
        <v>44125</v>
      </c>
      <c r="H1716">
        <v>47.58</v>
      </c>
      <c r="I1716" s="1">
        <v>44125</v>
      </c>
      <c r="J1716">
        <v>22.66</v>
      </c>
      <c r="K1716" s="1">
        <v>44041</v>
      </c>
      <c r="L1716">
        <v>93.453000000000003</v>
      </c>
    </row>
    <row r="1717" spans="1:12" x14ac:dyDescent="0.25">
      <c r="A1717" s="1">
        <v>44130</v>
      </c>
      <c r="B1717">
        <v>32.46</v>
      </c>
      <c r="C1717" s="1">
        <v>44130</v>
      </c>
      <c r="D1717">
        <v>29.15</v>
      </c>
      <c r="E1717" s="1">
        <v>44076</v>
      </c>
      <c r="F1717">
        <v>44.86</v>
      </c>
      <c r="G1717" s="1">
        <v>44126</v>
      </c>
      <c r="H1717">
        <v>46.61</v>
      </c>
      <c r="I1717" s="1">
        <v>44126</v>
      </c>
      <c r="J1717">
        <v>21.38</v>
      </c>
      <c r="K1717" s="1">
        <v>44042</v>
      </c>
      <c r="L1717">
        <v>93.021000000000001</v>
      </c>
    </row>
    <row r="1718" spans="1:12" x14ac:dyDescent="0.25">
      <c r="A1718" s="1">
        <v>44131</v>
      </c>
      <c r="B1718">
        <v>33.35</v>
      </c>
      <c r="C1718" s="1">
        <v>44131</v>
      </c>
      <c r="D1718">
        <v>28.39</v>
      </c>
      <c r="E1718" s="1">
        <v>44077</v>
      </c>
      <c r="F1718">
        <v>45.76</v>
      </c>
      <c r="G1718" s="1">
        <v>44127</v>
      </c>
      <c r="H1718">
        <v>46.32</v>
      </c>
      <c r="I1718" s="1">
        <v>44127</v>
      </c>
      <c r="J1718">
        <v>21.04</v>
      </c>
      <c r="K1718" s="1">
        <v>44043</v>
      </c>
      <c r="L1718">
        <v>93.349000000000004</v>
      </c>
    </row>
    <row r="1719" spans="1:12" x14ac:dyDescent="0.25">
      <c r="A1719" s="1">
        <v>44132</v>
      </c>
      <c r="B1719">
        <v>40.28</v>
      </c>
      <c r="C1719" s="1">
        <v>44132</v>
      </c>
      <c r="D1719">
        <v>33.31</v>
      </c>
      <c r="E1719" s="1">
        <v>44078</v>
      </c>
      <c r="F1719">
        <v>47.04</v>
      </c>
      <c r="G1719" s="1">
        <v>44130</v>
      </c>
      <c r="H1719">
        <v>53.05</v>
      </c>
      <c r="I1719" s="1">
        <v>44130</v>
      </c>
      <c r="J1719">
        <v>20.93</v>
      </c>
      <c r="K1719" s="1">
        <v>44046</v>
      </c>
      <c r="L1719">
        <v>93.542000000000002</v>
      </c>
    </row>
    <row r="1720" spans="1:12" x14ac:dyDescent="0.25">
      <c r="A1720" s="1">
        <v>44133</v>
      </c>
      <c r="B1720">
        <v>37.590000000000003</v>
      </c>
      <c r="C1720" s="1">
        <v>44133</v>
      </c>
      <c r="D1720">
        <v>31.26</v>
      </c>
      <c r="E1720" s="1">
        <v>44082</v>
      </c>
      <c r="F1720">
        <v>50.68</v>
      </c>
      <c r="G1720" s="1">
        <v>44131</v>
      </c>
      <c r="H1720">
        <v>50.22</v>
      </c>
      <c r="I1720" s="1">
        <v>44131</v>
      </c>
      <c r="J1720">
        <v>20.41</v>
      </c>
      <c r="K1720" s="1">
        <v>44047</v>
      </c>
      <c r="L1720">
        <v>93.382000000000005</v>
      </c>
    </row>
    <row r="1721" spans="1:12" x14ac:dyDescent="0.25">
      <c r="A1721" s="1">
        <v>44134</v>
      </c>
      <c r="B1721">
        <v>38.020000000000003</v>
      </c>
      <c r="C1721" s="1">
        <v>44134</v>
      </c>
      <c r="D1721">
        <v>32.19</v>
      </c>
      <c r="E1721" s="1">
        <v>44083</v>
      </c>
      <c r="F1721">
        <v>48.82</v>
      </c>
      <c r="G1721" s="1">
        <v>44132</v>
      </c>
      <c r="H1721">
        <v>59.61</v>
      </c>
      <c r="I1721" s="1">
        <v>44132</v>
      </c>
      <c r="J1721">
        <v>21.93</v>
      </c>
      <c r="K1721" s="1">
        <v>44048</v>
      </c>
      <c r="L1721">
        <v>92.867999999999995</v>
      </c>
    </row>
    <row r="1722" spans="1:12" x14ac:dyDescent="0.25">
      <c r="A1722" s="1">
        <v>44137</v>
      </c>
      <c r="B1722">
        <v>37.130000000000003</v>
      </c>
      <c r="C1722" s="1">
        <v>44137</v>
      </c>
      <c r="D1722">
        <v>34.01</v>
      </c>
      <c r="E1722" s="1">
        <v>44084</v>
      </c>
      <c r="F1722">
        <v>45.21</v>
      </c>
      <c r="G1722" s="1">
        <v>44133</v>
      </c>
      <c r="H1722">
        <v>63.38</v>
      </c>
      <c r="I1722" s="1">
        <v>44133</v>
      </c>
      <c r="J1722">
        <v>21.9</v>
      </c>
      <c r="K1722" s="1">
        <v>44049</v>
      </c>
      <c r="L1722">
        <v>92.787999999999997</v>
      </c>
    </row>
    <row r="1723" spans="1:12" x14ac:dyDescent="0.25">
      <c r="A1723" s="1">
        <v>44138</v>
      </c>
      <c r="B1723">
        <v>35.549999999999997</v>
      </c>
      <c r="C1723" s="1">
        <v>44138</v>
      </c>
      <c r="D1723">
        <v>32.67</v>
      </c>
      <c r="E1723" s="1">
        <v>44085</v>
      </c>
      <c r="F1723">
        <v>43.12</v>
      </c>
      <c r="G1723" s="1">
        <v>44134</v>
      </c>
      <c r="H1723">
        <v>68.84</v>
      </c>
      <c r="I1723" s="1">
        <v>44134</v>
      </c>
      <c r="J1723">
        <v>23.26</v>
      </c>
      <c r="K1723" s="1">
        <v>44050</v>
      </c>
      <c r="L1723">
        <v>93.435000000000002</v>
      </c>
    </row>
    <row r="1724" spans="1:12" x14ac:dyDescent="0.25">
      <c r="A1724" s="1">
        <v>44139</v>
      </c>
      <c r="B1724">
        <v>29.57</v>
      </c>
      <c r="C1724" s="1">
        <v>44139</v>
      </c>
      <c r="D1724">
        <v>26.87</v>
      </c>
      <c r="E1724" s="1">
        <v>44088</v>
      </c>
      <c r="F1724">
        <v>44.21</v>
      </c>
      <c r="G1724" s="1">
        <v>44137</v>
      </c>
      <c r="H1724">
        <v>66.73</v>
      </c>
      <c r="I1724" s="1">
        <v>44137</v>
      </c>
      <c r="J1724">
        <v>23.74</v>
      </c>
      <c r="K1724" s="1">
        <v>44053</v>
      </c>
      <c r="L1724">
        <v>93.581999999999994</v>
      </c>
    </row>
    <row r="1725" spans="1:12" x14ac:dyDescent="0.25">
      <c r="A1725" s="1">
        <v>44140</v>
      </c>
      <c r="B1725">
        <v>27.58</v>
      </c>
      <c r="C1725" s="1">
        <v>44140</v>
      </c>
      <c r="D1725">
        <v>26.49</v>
      </c>
      <c r="E1725" s="1">
        <v>44089</v>
      </c>
      <c r="F1725">
        <v>43.06</v>
      </c>
      <c r="G1725" s="1">
        <v>44138</v>
      </c>
      <c r="H1725">
        <v>63.63</v>
      </c>
      <c r="I1725" s="1">
        <v>44138</v>
      </c>
      <c r="J1725">
        <v>23.32</v>
      </c>
      <c r="K1725" s="1">
        <v>44054</v>
      </c>
      <c r="L1725">
        <v>93.628</v>
      </c>
    </row>
    <row r="1726" spans="1:12" x14ac:dyDescent="0.25">
      <c r="A1726" s="1">
        <v>44141</v>
      </c>
      <c r="B1726">
        <v>24.86</v>
      </c>
      <c r="C1726" s="1">
        <v>44141</v>
      </c>
      <c r="D1726">
        <v>24.12</v>
      </c>
      <c r="E1726" s="1">
        <v>44090</v>
      </c>
      <c r="F1726">
        <v>42.43</v>
      </c>
      <c r="G1726" s="1">
        <v>44139</v>
      </c>
      <c r="H1726">
        <v>54.53</v>
      </c>
      <c r="I1726" s="1">
        <v>44139</v>
      </c>
      <c r="J1726">
        <v>20.49</v>
      </c>
      <c r="K1726" s="1">
        <v>44055</v>
      </c>
      <c r="L1726">
        <v>93.442999999999998</v>
      </c>
    </row>
    <row r="1727" spans="1:12" x14ac:dyDescent="0.25">
      <c r="A1727" s="1">
        <v>44144</v>
      </c>
      <c r="B1727">
        <v>25.75</v>
      </c>
      <c r="C1727" s="1">
        <v>44144</v>
      </c>
      <c r="D1727">
        <v>24.94</v>
      </c>
      <c r="E1727" s="1">
        <v>44091</v>
      </c>
      <c r="F1727">
        <v>38.450000000000003</v>
      </c>
      <c r="G1727" s="1">
        <v>44140</v>
      </c>
      <c r="H1727">
        <v>53.69</v>
      </c>
      <c r="I1727" s="1">
        <v>44140</v>
      </c>
      <c r="J1727">
        <v>22</v>
      </c>
      <c r="K1727" s="1">
        <v>44056</v>
      </c>
      <c r="L1727">
        <v>93.334999999999994</v>
      </c>
    </row>
    <row r="1728" spans="1:12" x14ac:dyDescent="0.25">
      <c r="A1728" s="1">
        <v>44145</v>
      </c>
      <c r="B1728">
        <v>24.8</v>
      </c>
      <c r="C1728" s="1">
        <v>44145</v>
      </c>
      <c r="D1728">
        <v>23.99</v>
      </c>
      <c r="E1728" s="1">
        <v>44092</v>
      </c>
      <c r="F1728">
        <v>37.24</v>
      </c>
      <c r="G1728" s="1">
        <v>44141</v>
      </c>
      <c r="H1728">
        <v>55.75</v>
      </c>
      <c r="I1728" s="1">
        <v>44141</v>
      </c>
      <c r="J1728">
        <v>21.1</v>
      </c>
      <c r="K1728" s="1">
        <v>44057</v>
      </c>
      <c r="L1728">
        <v>93.096000000000004</v>
      </c>
    </row>
    <row r="1729" spans="1:12" x14ac:dyDescent="0.25">
      <c r="A1729" s="1">
        <v>44146</v>
      </c>
      <c r="B1729">
        <v>23.45</v>
      </c>
      <c r="C1729" s="1">
        <v>44146</v>
      </c>
      <c r="D1729">
        <v>22.16</v>
      </c>
      <c r="E1729" s="1">
        <v>44095</v>
      </c>
      <c r="F1729">
        <v>38.630000000000003</v>
      </c>
      <c r="G1729" s="1">
        <v>44144</v>
      </c>
      <c r="H1729">
        <v>52.2</v>
      </c>
      <c r="I1729" s="1">
        <v>44144</v>
      </c>
      <c r="J1729">
        <v>21.86</v>
      </c>
      <c r="K1729" s="1">
        <v>44060</v>
      </c>
      <c r="L1729">
        <v>92.850999999999999</v>
      </c>
    </row>
    <row r="1730" spans="1:12" x14ac:dyDescent="0.25">
      <c r="A1730" s="1">
        <v>44147</v>
      </c>
      <c r="B1730">
        <v>25.35</v>
      </c>
      <c r="C1730" s="1">
        <v>44147</v>
      </c>
      <c r="D1730">
        <v>25.27</v>
      </c>
      <c r="E1730" s="1">
        <v>44096</v>
      </c>
      <c r="F1730">
        <v>39.35</v>
      </c>
      <c r="G1730" s="1">
        <v>44145</v>
      </c>
      <c r="H1730">
        <v>49.64</v>
      </c>
      <c r="I1730" s="1">
        <v>44145</v>
      </c>
      <c r="J1730">
        <v>20.46</v>
      </c>
      <c r="K1730" s="1">
        <v>44061</v>
      </c>
      <c r="L1730">
        <v>92.271000000000001</v>
      </c>
    </row>
    <row r="1731" spans="1:12" x14ac:dyDescent="0.25">
      <c r="A1731" s="1">
        <v>44148</v>
      </c>
      <c r="B1731">
        <v>23.1</v>
      </c>
      <c r="C1731" s="1">
        <v>44148</v>
      </c>
      <c r="D1731">
        <v>22.05</v>
      </c>
      <c r="E1731" s="1">
        <v>44097</v>
      </c>
      <c r="F1731">
        <v>38.630000000000003</v>
      </c>
      <c r="G1731" s="1">
        <v>44146</v>
      </c>
      <c r="H1731">
        <v>49.24</v>
      </c>
      <c r="I1731" s="1">
        <v>44146</v>
      </c>
      <c r="J1731">
        <v>19.14</v>
      </c>
      <c r="K1731" s="1">
        <v>44062</v>
      </c>
      <c r="L1731">
        <v>92.887</v>
      </c>
    </row>
    <row r="1732" spans="1:12" x14ac:dyDescent="0.25">
      <c r="A1732" s="1">
        <v>44151</v>
      </c>
      <c r="B1732">
        <v>22.45</v>
      </c>
      <c r="C1732" s="1">
        <v>44151</v>
      </c>
      <c r="D1732">
        <v>21.85</v>
      </c>
      <c r="E1732" s="1">
        <v>44098</v>
      </c>
      <c r="F1732">
        <v>37.22</v>
      </c>
      <c r="G1732" s="1">
        <v>44147</v>
      </c>
      <c r="H1732">
        <v>50.9</v>
      </c>
      <c r="I1732" s="1">
        <v>44147</v>
      </c>
      <c r="J1732">
        <v>18.98</v>
      </c>
      <c r="K1732" s="1">
        <v>44063</v>
      </c>
      <c r="L1732">
        <v>92.793000000000006</v>
      </c>
    </row>
    <row r="1733" spans="1:12" x14ac:dyDescent="0.25">
      <c r="A1733" s="1">
        <v>44152</v>
      </c>
      <c r="B1733">
        <v>22.71</v>
      </c>
      <c r="C1733" s="1">
        <v>44152</v>
      </c>
      <c r="D1733">
        <v>22</v>
      </c>
      <c r="E1733" s="1">
        <v>44099</v>
      </c>
      <c r="F1733">
        <v>36.97</v>
      </c>
      <c r="G1733" s="1">
        <v>44148</v>
      </c>
      <c r="H1733">
        <v>48.24</v>
      </c>
      <c r="I1733" s="1">
        <v>44148</v>
      </c>
      <c r="J1733">
        <v>17.739999999999998</v>
      </c>
      <c r="K1733" s="1">
        <v>44064</v>
      </c>
      <c r="L1733">
        <v>93.247</v>
      </c>
    </row>
    <row r="1734" spans="1:12" x14ac:dyDescent="0.25">
      <c r="A1734" s="1">
        <v>44153</v>
      </c>
      <c r="B1734">
        <v>23.84</v>
      </c>
      <c r="C1734" s="1">
        <v>44153</v>
      </c>
      <c r="D1734">
        <v>23.12</v>
      </c>
      <c r="E1734" s="1">
        <v>44102</v>
      </c>
      <c r="F1734">
        <v>37.4</v>
      </c>
      <c r="G1734" s="1">
        <v>44151</v>
      </c>
      <c r="H1734">
        <v>46.89</v>
      </c>
      <c r="I1734" s="1">
        <v>44151</v>
      </c>
      <c r="J1734">
        <v>18.309999999999999</v>
      </c>
      <c r="K1734" s="1">
        <v>44067</v>
      </c>
      <c r="L1734">
        <v>93.298000000000002</v>
      </c>
    </row>
    <row r="1735" spans="1:12" x14ac:dyDescent="0.25">
      <c r="A1735" s="1">
        <v>44154</v>
      </c>
      <c r="B1735">
        <v>23.11</v>
      </c>
      <c r="C1735" s="1">
        <v>44154</v>
      </c>
      <c r="D1735">
        <v>22.29</v>
      </c>
      <c r="E1735" s="1">
        <v>44103</v>
      </c>
      <c r="F1735">
        <v>36.619999999999997</v>
      </c>
      <c r="G1735" s="1">
        <v>44152</v>
      </c>
      <c r="H1735">
        <v>45.08</v>
      </c>
      <c r="I1735" s="1">
        <v>44152</v>
      </c>
      <c r="J1735">
        <v>17.54</v>
      </c>
      <c r="K1735" s="1">
        <v>44068</v>
      </c>
      <c r="L1735">
        <v>93.019000000000005</v>
      </c>
    </row>
    <row r="1736" spans="1:12" x14ac:dyDescent="0.25">
      <c r="A1736" s="1">
        <v>44155</v>
      </c>
      <c r="B1736">
        <v>23.7</v>
      </c>
      <c r="C1736" s="1">
        <v>44155</v>
      </c>
      <c r="D1736">
        <v>21.96</v>
      </c>
      <c r="E1736" s="1">
        <v>44104</v>
      </c>
      <c r="F1736">
        <v>39.21</v>
      </c>
      <c r="G1736" s="1">
        <v>44153</v>
      </c>
      <c r="H1736">
        <v>46.06</v>
      </c>
      <c r="I1736" s="1">
        <v>44153</v>
      </c>
      <c r="J1736">
        <v>17.670000000000002</v>
      </c>
      <c r="K1736" s="1">
        <v>44069</v>
      </c>
      <c r="L1736">
        <v>93.006</v>
      </c>
    </row>
    <row r="1737" spans="1:12" x14ac:dyDescent="0.25">
      <c r="A1737" s="1">
        <v>44158</v>
      </c>
      <c r="B1737">
        <v>22.66</v>
      </c>
      <c r="C1737" s="1">
        <v>44158</v>
      </c>
      <c r="D1737">
        <v>21.85</v>
      </c>
      <c r="E1737" s="1">
        <v>44105</v>
      </c>
      <c r="F1737">
        <v>38.65</v>
      </c>
      <c r="G1737" s="1">
        <v>44154</v>
      </c>
      <c r="H1737">
        <v>46.34</v>
      </c>
      <c r="I1737" s="1">
        <v>44154</v>
      </c>
      <c r="J1737">
        <v>17.96</v>
      </c>
      <c r="K1737" s="1">
        <v>44070</v>
      </c>
      <c r="L1737">
        <v>93.001000000000005</v>
      </c>
    </row>
    <row r="1738" spans="1:12" x14ac:dyDescent="0.25">
      <c r="A1738" s="1">
        <v>44159</v>
      </c>
      <c r="B1738">
        <v>21.64</v>
      </c>
      <c r="C1738" s="1">
        <v>44159</v>
      </c>
      <c r="D1738">
        <v>21.5</v>
      </c>
      <c r="E1738" s="1">
        <v>44106</v>
      </c>
      <c r="F1738">
        <v>39.97</v>
      </c>
      <c r="G1738" s="1">
        <v>44155</v>
      </c>
      <c r="H1738">
        <v>43.94</v>
      </c>
      <c r="I1738" s="1">
        <v>44155</v>
      </c>
      <c r="J1738">
        <v>17.72</v>
      </c>
      <c r="K1738" s="1">
        <v>44071</v>
      </c>
      <c r="L1738">
        <v>92.370999999999995</v>
      </c>
    </row>
    <row r="1739" spans="1:12" x14ac:dyDescent="0.25">
      <c r="A1739" s="1">
        <v>44160</v>
      </c>
      <c r="B1739">
        <v>21.25</v>
      </c>
      <c r="C1739" s="1">
        <v>44160</v>
      </c>
      <c r="D1739">
        <v>22.46</v>
      </c>
      <c r="E1739" s="1">
        <v>44109</v>
      </c>
      <c r="F1739">
        <v>39.81</v>
      </c>
      <c r="G1739" s="1">
        <v>44158</v>
      </c>
      <c r="H1739">
        <v>42.79</v>
      </c>
      <c r="I1739" s="1">
        <v>44158</v>
      </c>
      <c r="J1739">
        <v>18.98</v>
      </c>
      <c r="K1739" s="1">
        <v>44074</v>
      </c>
      <c r="L1739">
        <v>92.144000000000005</v>
      </c>
    </row>
    <row r="1740" spans="1:12" x14ac:dyDescent="0.25">
      <c r="A1740" s="1">
        <v>44162</v>
      </c>
      <c r="B1740">
        <v>20.84</v>
      </c>
      <c r="C1740" s="1">
        <v>44162</v>
      </c>
      <c r="D1740">
        <v>22.71</v>
      </c>
      <c r="E1740" s="1">
        <v>44110</v>
      </c>
      <c r="F1740">
        <v>57.75</v>
      </c>
      <c r="G1740" s="1">
        <v>44159</v>
      </c>
      <c r="H1740">
        <v>42.84</v>
      </c>
      <c r="I1740" s="1">
        <v>44159</v>
      </c>
      <c r="J1740">
        <v>20.09</v>
      </c>
      <c r="K1740" s="1">
        <v>44075</v>
      </c>
      <c r="L1740">
        <v>92.337999999999994</v>
      </c>
    </row>
    <row r="1741" spans="1:12" x14ac:dyDescent="0.25">
      <c r="A1741" s="1">
        <v>44165</v>
      </c>
      <c r="B1741">
        <v>20.57</v>
      </c>
      <c r="C1741" s="1">
        <v>44165</v>
      </c>
      <c r="D1741">
        <v>25.27</v>
      </c>
      <c r="E1741" s="1">
        <v>44111</v>
      </c>
      <c r="F1741">
        <v>56.98</v>
      </c>
      <c r="G1741" s="1">
        <v>44160</v>
      </c>
      <c r="H1741">
        <v>43.56</v>
      </c>
      <c r="I1741" s="1">
        <v>44160</v>
      </c>
      <c r="J1741">
        <v>19.75</v>
      </c>
      <c r="K1741" s="1">
        <v>44076</v>
      </c>
      <c r="L1741">
        <v>92.846999999999994</v>
      </c>
    </row>
    <row r="1742" spans="1:12" x14ac:dyDescent="0.25">
      <c r="A1742" s="1">
        <v>44166</v>
      </c>
      <c r="B1742">
        <v>20.77</v>
      </c>
      <c r="C1742" s="1">
        <v>44166</v>
      </c>
      <c r="D1742">
        <v>25.02</v>
      </c>
      <c r="E1742" s="1">
        <v>44112</v>
      </c>
      <c r="F1742">
        <v>57.31</v>
      </c>
      <c r="G1742" s="1">
        <v>44162</v>
      </c>
      <c r="H1742">
        <v>46.21</v>
      </c>
      <c r="I1742" s="1">
        <v>44162</v>
      </c>
      <c r="J1742">
        <v>19.09</v>
      </c>
      <c r="K1742" s="1">
        <v>44077</v>
      </c>
      <c r="L1742">
        <v>92.739000000000004</v>
      </c>
    </row>
    <row r="1743" spans="1:12" x14ac:dyDescent="0.25">
      <c r="A1743" s="1">
        <v>44167</v>
      </c>
      <c r="B1743">
        <v>21.17</v>
      </c>
      <c r="C1743" s="1">
        <v>44167</v>
      </c>
      <c r="D1743">
        <v>25.44</v>
      </c>
      <c r="E1743" s="1">
        <v>44113</v>
      </c>
      <c r="F1743">
        <v>57.52</v>
      </c>
      <c r="G1743" s="1">
        <v>44165</v>
      </c>
      <c r="H1743">
        <v>47.37</v>
      </c>
      <c r="I1743" s="1">
        <v>44165</v>
      </c>
      <c r="J1743">
        <v>19.690000000000001</v>
      </c>
      <c r="K1743" s="1">
        <v>44078</v>
      </c>
      <c r="L1743">
        <v>92.718999999999994</v>
      </c>
    </row>
    <row r="1744" spans="1:12" x14ac:dyDescent="0.25">
      <c r="A1744" s="1">
        <v>44168</v>
      </c>
      <c r="B1744">
        <v>21.28</v>
      </c>
      <c r="C1744" s="1">
        <v>44168</v>
      </c>
      <c r="D1744">
        <v>25.69</v>
      </c>
      <c r="E1744" s="1">
        <v>44117</v>
      </c>
      <c r="F1744">
        <v>55.59</v>
      </c>
      <c r="G1744" s="1">
        <v>44166</v>
      </c>
      <c r="H1744">
        <v>47.81</v>
      </c>
      <c r="I1744" s="1">
        <v>44166</v>
      </c>
      <c r="J1744">
        <v>19.61</v>
      </c>
      <c r="K1744" s="1">
        <v>44081</v>
      </c>
      <c r="L1744">
        <v>92.718999999999994</v>
      </c>
    </row>
    <row r="1745" spans="1:12" x14ac:dyDescent="0.25">
      <c r="A1745" s="1">
        <v>44169</v>
      </c>
      <c r="B1745">
        <v>20.79</v>
      </c>
      <c r="C1745" s="1">
        <v>44169</v>
      </c>
      <c r="D1745">
        <v>24.95</v>
      </c>
      <c r="E1745" s="1">
        <v>44118</v>
      </c>
      <c r="F1745">
        <v>53.5</v>
      </c>
      <c r="G1745" s="1">
        <v>44167</v>
      </c>
      <c r="H1745">
        <v>45.68</v>
      </c>
      <c r="I1745" s="1">
        <v>44167</v>
      </c>
      <c r="J1745">
        <v>19.420000000000002</v>
      </c>
      <c r="K1745" s="1">
        <v>44082</v>
      </c>
      <c r="L1745">
        <v>93.444999999999993</v>
      </c>
    </row>
    <row r="1746" spans="1:12" x14ac:dyDescent="0.25">
      <c r="A1746" s="1">
        <v>44172</v>
      </c>
      <c r="B1746">
        <v>21.3</v>
      </c>
      <c r="C1746" s="1">
        <v>44172</v>
      </c>
      <c r="D1746">
        <v>25.08</v>
      </c>
      <c r="E1746" s="1">
        <v>44119</v>
      </c>
      <c r="F1746">
        <v>55.62</v>
      </c>
      <c r="G1746" s="1">
        <v>44168</v>
      </c>
      <c r="H1746">
        <v>40.950000000000003</v>
      </c>
      <c r="I1746" s="1">
        <v>44168</v>
      </c>
      <c r="J1746">
        <v>19.61</v>
      </c>
      <c r="K1746" s="1">
        <v>44083</v>
      </c>
      <c r="L1746">
        <v>93.254999999999995</v>
      </c>
    </row>
    <row r="1747" spans="1:12" x14ac:dyDescent="0.25">
      <c r="A1747" s="1">
        <v>44173</v>
      </c>
      <c r="B1747">
        <v>20.68</v>
      </c>
      <c r="C1747" s="1">
        <v>44173</v>
      </c>
      <c r="D1747">
        <v>22.63</v>
      </c>
      <c r="E1747" s="1">
        <v>44120</v>
      </c>
      <c r="F1747">
        <v>57.25</v>
      </c>
      <c r="G1747" s="1">
        <v>44169</v>
      </c>
      <c r="H1747">
        <v>38.340000000000003</v>
      </c>
      <c r="I1747" s="1">
        <v>44169</v>
      </c>
      <c r="J1747">
        <v>18.95</v>
      </c>
      <c r="K1747" s="1">
        <v>44084</v>
      </c>
      <c r="L1747">
        <v>93.335999999999999</v>
      </c>
    </row>
    <row r="1748" spans="1:12" x14ac:dyDescent="0.25">
      <c r="A1748" s="1">
        <v>44174</v>
      </c>
      <c r="B1748">
        <v>22.27</v>
      </c>
      <c r="C1748" s="1">
        <v>44174</v>
      </c>
      <c r="D1748">
        <v>23.79</v>
      </c>
      <c r="E1748" s="1">
        <v>44123</v>
      </c>
      <c r="F1748">
        <v>61.16</v>
      </c>
      <c r="G1748" s="1">
        <v>44172</v>
      </c>
      <c r="H1748">
        <v>37.68</v>
      </c>
      <c r="I1748" s="1">
        <v>44172</v>
      </c>
      <c r="J1748">
        <v>19.79</v>
      </c>
      <c r="K1748" s="1">
        <v>44085</v>
      </c>
      <c r="L1748">
        <v>93.332999999999998</v>
      </c>
    </row>
    <row r="1749" spans="1:12" x14ac:dyDescent="0.25">
      <c r="A1749" s="1">
        <v>44175</v>
      </c>
      <c r="B1749">
        <v>22.52</v>
      </c>
      <c r="C1749" s="1">
        <v>44175</v>
      </c>
      <c r="D1749">
        <v>22.57</v>
      </c>
      <c r="E1749" s="1">
        <v>44124</v>
      </c>
      <c r="F1749">
        <v>60.42</v>
      </c>
      <c r="G1749" s="1">
        <v>44173</v>
      </c>
      <c r="H1749">
        <v>37.700000000000003</v>
      </c>
      <c r="I1749" s="1">
        <v>44173</v>
      </c>
      <c r="J1749">
        <v>19.86</v>
      </c>
      <c r="K1749" s="1">
        <v>44088</v>
      </c>
      <c r="L1749">
        <v>93.052000000000007</v>
      </c>
    </row>
    <row r="1750" spans="1:12" x14ac:dyDescent="0.25">
      <c r="A1750" s="1">
        <v>44176</v>
      </c>
      <c r="B1750">
        <v>23.31</v>
      </c>
      <c r="C1750" s="1">
        <v>44176</v>
      </c>
      <c r="D1750">
        <v>22.34</v>
      </c>
      <c r="E1750" s="1">
        <v>44125</v>
      </c>
      <c r="F1750">
        <v>59.07</v>
      </c>
      <c r="G1750" s="1">
        <v>44174</v>
      </c>
      <c r="H1750">
        <v>39.520000000000003</v>
      </c>
      <c r="I1750" s="1">
        <v>44174</v>
      </c>
      <c r="J1750">
        <v>20.260000000000002</v>
      </c>
      <c r="K1750" s="1">
        <v>44089</v>
      </c>
      <c r="L1750">
        <v>93.05</v>
      </c>
    </row>
    <row r="1751" spans="1:12" x14ac:dyDescent="0.25">
      <c r="A1751" s="1">
        <v>44179</v>
      </c>
      <c r="B1751">
        <v>24.72</v>
      </c>
      <c r="C1751" s="1">
        <v>44179</v>
      </c>
      <c r="D1751">
        <v>24.87</v>
      </c>
      <c r="E1751" s="1">
        <v>44126</v>
      </c>
      <c r="F1751">
        <v>59.73</v>
      </c>
      <c r="G1751" s="1">
        <v>44175</v>
      </c>
      <c r="H1751">
        <v>39.700000000000003</v>
      </c>
      <c r="I1751" s="1">
        <v>44175</v>
      </c>
      <c r="J1751">
        <v>19.66</v>
      </c>
      <c r="K1751" s="1">
        <v>44090</v>
      </c>
      <c r="L1751">
        <v>93.213999999999999</v>
      </c>
    </row>
    <row r="1752" spans="1:12" x14ac:dyDescent="0.25">
      <c r="A1752" s="1">
        <v>44180</v>
      </c>
      <c r="B1752">
        <v>22.89</v>
      </c>
      <c r="C1752" s="1">
        <v>44180</v>
      </c>
      <c r="D1752">
        <v>23.69</v>
      </c>
      <c r="E1752" s="1">
        <v>44127</v>
      </c>
      <c r="F1752">
        <v>58.46</v>
      </c>
      <c r="G1752" s="1">
        <v>44176</v>
      </c>
      <c r="H1752">
        <v>39.51</v>
      </c>
      <c r="I1752" s="1">
        <v>44176</v>
      </c>
      <c r="J1752">
        <v>19.239999999999998</v>
      </c>
      <c r="K1752" s="1">
        <v>44091</v>
      </c>
      <c r="L1752">
        <v>92.97</v>
      </c>
    </row>
    <row r="1753" spans="1:12" x14ac:dyDescent="0.25">
      <c r="A1753" s="1">
        <v>44181</v>
      </c>
      <c r="B1753">
        <v>22.5</v>
      </c>
      <c r="C1753" s="1">
        <v>44181</v>
      </c>
      <c r="D1753">
        <v>23.27</v>
      </c>
      <c r="E1753" s="1">
        <v>44130</v>
      </c>
      <c r="F1753">
        <v>58.95</v>
      </c>
      <c r="G1753" s="1">
        <v>44179</v>
      </c>
      <c r="H1753">
        <v>39.96</v>
      </c>
      <c r="I1753" s="1">
        <v>44179</v>
      </c>
      <c r="J1753">
        <v>19.43</v>
      </c>
      <c r="K1753" s="1">
        <v>44092</v>
      </c>
      <c r="L1753">
        <v>92.926000000000002</v>
      </c>
    </row>
    <row r="1754" spans="1:12" x14ac:dyDescent="0.25">
      <c r="A1754" s="1">
        <v>44182</v>
      </c>
      <c r="B1754">
        <v>21.93</v>
      </c>
      <c r="C1754" s="1">
        <v>44182</v>
      </c>
      <c r="D1754">
        <v>22.31</v>
      </c>
      <c r="E1754" s="1">
        <v>44131</v>
      </c>
      <c r="F1754">
        <v>57.88</v>
      </c>
      <c r="G1754" s="1">
        <v>44180</v>
      </c>
      <c r="H1754">
        <v>39.340000000000003</v>
      </c>
      <c r="I1754" s="1">
        <v>44180</v>
      </c>
      <c r="J1754">
        <v>19.75</v>
      </c>
      <c r="K1754" s="1">
        <v>44095</v>
      </c>
      <c r="L1754">
        <v>93.656000000000006</v>
      </c>
    </row>
    <row r="1755" spans="1:12" x14ac:dyDescent="0.25">
      <c r="A1755" s="1">
        <v>44183</v>
      </c>
      <c r="B1755">
        <v>21.57</v>
      </c>
      <c r="C1755" s="1">
        <v>44183</v>
      </c>
      <c r="D1755">
        <v>21.09</v>
      </c>
      <c r="E1755" s="1">
        <v>44132</v>
      </c>
      <c r="F1755">
        <v>57.13</v>
      </c>
      <c r="G1755" s="1">
        <v>44181</v>
      </c>
      <c r="H1755">
        <v>38.68</v>
      </c>
      <c r="I1755" s="1">
        <v>44181</v>
      </c>
      <c r="J1755">
        <v>19.39</v>
      </c>
      <c r="K1755" s="1">
        <v>44096</v>
      </c>
      <c r="L1755">
        <v>93.988</v>
      </c>
    </row>
    <row r="1756" spans="1:12" x14ac:dyDescent="0.25">
      <c r="A1756" s="1">
        <v>44186</v>
      </c>
      <c r="B1756">
        <v>25.16</v>
      </c>
      <c r="C1756" s="1">
        <v>44186</v>
      </c>
      <c r="D1756">
        <v>23.51</v>
      </c>
      <c r="E1756" s="1">
        <v>44133</v>
      </c>
      <c r="F1756">
        <v>61.3</v>
      </c>
      <c r="G1756" s="1">
        <v>44182</v>
      </c>
      <c r="H1756">
        <v>36.86</v>
      </c>
      <c r="I1756" s="1">
        <v>44182</v>
      </c>
      <c r="J1756">
        <v>20.100000000000001</v>
      </c>
      <c r="K1756" s="1">
        <v>44097</v>
      </c>
      <c r="L1756">
        <v>94.388999999999996</v>
      </c>
    </row>
    <row r="1757" spans="1:12" x14ac:dyDescent="0.25">
      <c r="A1757" s="1">
        <v>44187</v>
      </c>
      <c r="B1757">
        <v>24.23</v>
      </c>
      <c r="C1757" s="1">
        <v>44187</v>
      </c>
      <c r="D1757">
        <v>26.14</v>
      </c>
      <c r="E1757" s="1">
        <v>44134</v>
      </c>
      <c r="F1757">
        <v>61.91</v>
      </c>
      <c r="G1757" s="1">
        <v>44183</v>
      </c>
      <c r="H1757">
        <v>37.15</v>
      </c>
      <c r="I1757" s="1">
        <v>44183</v>
      </c>
      <c r="J1757">
        <v>19.579999999999998</v>
      </c>
      <c r="K1757" s="1">
        <v>44098</v>
      </c>
      <c r="L1757">
        <v>94.353999999999999</v>
      </c>
    </row>
    <row r="1758" spans="1:12" x14ac:dyDescent="0.25">
      <c r="A1758" s="1">
        <v>44188</v>
      </c>
      <c r="B1758">
        <v>23.31</v>
      </c>
      <c r="C1758" s="1">
        <v>44188</v>
      </c>
      <c r="D1758">
        <v>24.72</v>
      </c>
      <c r="E1758" s="1">
        <v>44137</v>
      </c>
      <c r="F1758">
        <v>63.56</v>
      </c>
      <c r="G1758" s="1">
        <v>44186</v>
      </c>
      <c r="H1758">
        <v>41.56</v>
      </c>
      <c r="I1758" s="1">
        <v>44186</v>
      </c>
      <c r="J1758">
        <v>19.8</v>
      </c>
      <c r="K1758" s="1">
        <v>44099</v>
      </c>
      <c r="L1758">
        <v>94.641999999999996</v>
      </c>
    </row>
    <row r="1759" spans="1:12" x14ac:dyDescent="0.25">
      <c r="A1759" s="1">
        <v>44189</v>
      </c>
      <c r="B1759">
        <v>21.53</v>
      </c>
      <c r="C1759" s="1">
        <v>44189</v>
      </c>
      <c r="D1759">
        <v>24.79</v>
      </c>
      <c r="E1759" s="1">
        <v>44138</v>
      </c>
      <c r="F1759">
        <v>64.37</v>
      </c>
      <c r="G1759" s="1">
        <v>44187</v>
      </c>
      <c r="H1759">
        <v>42.06</v>
      </c>
      <c r="I1759" s="1">
        <v>44187</v>
      </c>
      <c r="J1759">
        <v>19.5</v>
      </c>
      <c r="K1759" s="1">
        <v>44102</v>
      </c>
      <c r="L1759">
        <v>94.278000000000006</v>
      </c>
    </row>
    <row r="1760" spans="1:12" x14ac:dyDescent="0.25">
      <c r="A1760" s="1">
        <v>44193</v>
      </c>
      <c r="B1760">
        <v>21.7</v>
      </c>
      <c r="C1760" s="1">
        <v>44193</v>
      </c>
      <c r="D1760">
        <v>24.9</v>
      </c>
      <c r="E1760" s="1">
        <v>44139</v>
      </c>
      <c r="F1760">
        <v>47.74</v>
      </c>
      <c r="G1760" s="1">
        <v>44188</v>
      </c>
      <c r="H1760">
        <v>39.89</v>
      </c>
      <c r="I1760" s="1">
        <v>44188</v>
      </c>
      <c r="J1760">
        <v>18.87</v>
      </c>
      <c r="K1760" s="1">
        <v>44103</v>
      </c>
      <c r="L1760">
        <v>93.891000000000005</v>
      </c>
    </row>
    <row r="1761" spans="1:12" x14ac:dyDescent="0.25">
      <c r="A1761" s="1">
        <v>44194</v>
      </c>
      <c r="B1761">
        <v>23.08</v>
      </c>
      <c r="C1761" s="1">
        <v>44194</v>
      </c>
      <c r="D1761">
        <v>24.55</v>
      </c>
      <c r="E1761" s="1">
        <v>44140</v>
      </c>
      <c r="F1761">
        <v>43.76</v>
      </c>
      <c r="G1761" s="1">
        <v>44189</v>
      </c>
      <c r="H1761">
        <v>39.409999999999997</v>
      </c>
      <c r="I1761" s="1">
        <v>44189</v>
      </c>
      <c r="J1761">
        <v>18.989999999999998</v>
      </c>
      <c r="K1761" s="1">
        <v>44104</v>
      </c>
      <c r="L1761">
        <v>93.885999999999996</v>
      </c>
    </row>
    <row r="1762" spans="1:12" x14ac:dyDescent="0.25">
      <c r="A1762" s="1">
        <v>44195</v>
      </c>
      <c r="B1762">
        <v>22.77</v>
      </c>
      <c r="C1762" s="1">
        <v>44195</v>
      </c>
      <c r="D1762">
        <v>24.01</v>
      </c>
      <c r="E1762" s="1">
        <v>44141</v>
      </c>
      <c r="F1762">
        <v>39.880000000000003</v>
      </c>
      <c r="G1762" s="1">
        <v>44193</v>
      </c>
      <c r="H1762">
        <v>39.67</v>
      </c>
      <c r="I1762" s="1">
        <v>44193</v>
      </c>
      <c r="J1762">
        <v>20.2</v>
      </c>
      <c r="K1762" s="1">
        <v>44105</v>
      </c>
      <c r="L1762">
        <v>93.710999999999999</v>
      </c>
    </row>
    <row r="1763" spans="1:12" x14ac:dyDescent="0.25">
      <c r="A1763" s="1">
        <v>44196</v>
      </c>
      <c r="B1763">
        <v>22.75</v>
      </c>
      <c r="C1763" s="1">
        <v>44196</v>
      </c>
      <c r="D1763">
        <v>24.74</v>
      </c>
      <c r="E1763" s="1">
        <v>44144</v>
      </c>
      <c r="F1763">
        <v>44.94</v>
      </c>
      <c r="G1763" s="1">
        <v>44194</v>
      </c>
      <c r="H1763">
        <v>38.64</v>
      </c>
      <c r="I1763" s="1">
        <v>44194</v>
      </c>
      <c r="J1763">
        <v>19.53</v>
      </c>
      <c r="K1763" s="1">
        <v>44106</v>
      </c>
      <c r="L1763">
        <v>93.843999999999994</v>
      </c>
    </row>
    <row r="1764" spans="1:12" x14ac:dyDescent="0.25">
      <c r="A1764" s="1">
        <v>44200</v>
      </c>
      <c r="B1764">
        <v>26.97</v>
      </c>
      <c r="C1764" s="1">
        <v>44200</v>
      </c>
      <c r="D1764">
        <v>27.31</v>
      </c>
      <c r="E1764" s="1">
        <v>44145</v>
      </c>
      <c r="F1764">
        <v>46.19</v>
      </c>
      <c r="G1764" s="1">
        <v>44195</v>
      </c>
      <c r="H1764">
        <v>38.01</v>
      </c>
      <c r="I1764" s="1">
        <v>44195</v>
      </c>
      <c r="J1764">
        <v>20.059999999999999</v>
      </c>
      <c r="K1764" s="1">
        <v>44109</v>
      </c>
      <c r="L1764">
        <v>93.513000000000005</v>
      </c>
    </row>
    <row r="1765" spans="1:12" x14ac:dyDescent="0.25">
      <c r="A1765" s="1">
        <v>44201</v>
      </c>
      <c r="B1765">
        <v>25.34</v>
      </c>
      <c r="C1765" s="1">
        <v>44201</v>
      </c>
      <c r="D1765">
        <v>25.72</v>
      </c>
      <c r="E1765" s="1">
        <v>44147</v>
      </c>
      <c r="F1765">
        <v>44.17</v>
      </c>
      <c r="G1765" s="1">
        <v>44196</v>
      </c>
      <c r="H1765">
        <v>37.83</v>
      </c>
      <c r="I1765" s="1">
        <v>44196</v>
      </c>
      <c r="J1765">
        <v>20.79</v>
      </c>
      <c r="K1765" s="1">
        <v>44110</v>
      </c>
      <c r="L1765">
        <v>93.686000000000007</v>
      </c>
    </row>
    <row r="1766" spans="1:12" x14ac:dyDescent="0.25">
      <c r="A1766" s="1">
        <v>44202</v>
      </c>
      <c r="B1766">
        <v>25.07</v>
      </c>
      <c r="C1766" s="1">
        <v>44202</v>
      </c>
      <c r="D1766">
        <v>27.57</v>
      </c>
      <c r="E1766" s="1">
        <v>44148</v>
      </c>
      <c r="F1766">
        <v>42.95</v>
      </c>
      <c r="G1766" s="1">
        <v>44200</v>
      </c>
      <c r="H1766">
        <v>42.12</v>
      </c>
      <c r="I1766" s="1">
        <v>44200</v>
      </c>
      <c r="J1766">
        <v>21.86</v>
      </c>
      <c r="K1766" s="1">
        <v>44111</v>
      </c>
      <c r="L1766">
        <v>93.63</v>
      </c>
    </row>
    <row r="1767" spans="1:12" x14ac:dyDescent="0.25">
      <c r="A1767" s="1">
        <v>44203</v>
      </c>
      <c r="B1767">
        <v>22.37</v>
      </c>
      <c r="C1767" s="1">
        <v>44203</v>
      </c>
      <c r="D1767">
        <v>25.42</v>
      </c>
      <c r="E1767" s="1">
        <v>44151</v>
      </c>
      <c r="F1767">
        <v>42.49</v>
      </c>
      <c r="G1767" s="1">
        <v>44201</v>
      </c>
      <c r="H1767">
        <v>40.39</v>
      </c>
      <c r="I1767" s="1">
        <v>44201</v>
      </c>
      <c r="J1767">
        <v>22.14</v>
      </c>
      <c r="K1767" s="1">
        <v>44112</v>
      </c>
      <c r="L1767">
        <v>93.605000000000004</v>
      </c>
    </row>
    <row r="1768" spans="1:12" x14ac:dyDescent="0.25">
      <c r="A1768" s="1">
        <v>44204</v>
      </c>
      <c r="B1768">
        <v>21.56</v>
      </c>
      <c r="C1768" s="1">
        <v>44204</v>
      </c>
      <c r="D1768">
        <v>22.43</v>
      </c>
      <c r="E1768" s="1">
        <v>44152</v>
      </c>
      <c r="F1768">
        <v>43.08</v>
      </c>
      <c r="G1768" s="1">
        <v>44202</v>
      </c>
      <c r="H1768">
        <v>39.31</v>
      </c>
      <c r="I1768" s="1">
        <v>44202</v>
      </c>
      <c r="J1768">
        <v>21.7</v>
      </c>
      <c r="K1768" s="1">
        <v>44113</v>
      </c>
      <c r="L1768">
        <v>93.057000000000002</v>
      </c>
    </row>
    <row r="1769" spans="1:12" x14ac:dyDescent="0.25">
      <c r="A1769" s="1">
        <v>44207</v>
      </c>
      <c r="B1769">
        <v>24.08</v>
      </c>
      <c r="C1769" s="1">
        <v>44207</v>
      </c>
      <c r="D1769">
        <v>27.13</v>
      </c>
      <c r="E1769" s="1">
        <v>44153</v>
      </c>
      <c r="F1769">
        <v>43.62</v>
      </c>
      <c r="G1769" s="1">
        <v>44203</v>
      </c>
      <c r="H1769">
        <v>36.06</v>
      </c>
      <c r="I1769" s="1">
        <v>44203</v>
      </c>
      <c r="J1769">
        <v>20.66</v>
      </c>
      <c r="K1769" s="1">
        <v>44116</v>
      </c>
      <c r="L1769">
        <v>93.064999999999998</v>
      </c>
    </row>
    <row r="1770" spans="1:12" x14ac:dyDescent="0.25">
      <c r="A1770" s="1">
        <v>44208</v>
      </c>
      <c r="B1770">
        <v>23.33</v>
      </c>
      <c r="C1770" s="1">
        <v>44208</v>
      </c>
      <c r="D1770">
        <v>26.59</v>
      </c>
      <c r="E1770" s="1">
        <v>44154</v>
      </c>
      <c r="F1770">
        <v>43.53</v>
      </c>
      <c r="G1770" s="1">
        <v>44204</v>
      </c>
      <c r="H1770">
        <v>36.65</v>
      </c>
      <c r="I1770" s="1">
        <v>44204</v>
      </c>
      <c r="J1770">
        <v>22.16</v>
      </c>
      <c r="K1770" s="1">
        <v>44117</v>
      </c>
      <c r="L1770">
        <v>93.531000000000006</v>
      </c>
    </row>
    <row r="1771" spans="1:12" x14ac:dyDescent="0.25">
      <c r="A1771" s="1">
        <v>44209</v>
      </c>
      <c r="B1771">
        <v>22.21</v>
      </c>
      <c r="C1771" s="1">
        <v>44209</v>
      </c>
      <c r="D1771">
        <v>25.58</v>
      </c>
      <c r="E1771" s="1">
        <v>44155</v>
      </c>
      <c r="F1771">
        <v>42.31</v>
      </c>
      <c r="G1771" s="1">
        <v>44207</v>
      </c>
      <c r="H1771">
        <v>35.31</v>
      </c>
      <c r="I1771" s="1">
        <v>44207</v>
      </c>
      <c r="J1771">
        <v>20.65</v>
      </c>
      <c r="K1771" s="1">
        <v>44118</v>
      </c>
      <c r="L1771">
        <v>93.382000000000005</v>
      </c>
    </row>
    <row r="1772" spans="1:12" x14ac:dyDescent="0.25">
      <c r="A1772" s="1">
        <v>44210</v>
      </c>
      <c r="B1772">
        <v>23.25</v>
      </c>
      <c r="C1772" s="1">
        <v>44210</v>
      </c>
      <c r="D1772">
        <v>23.49</v>
      </c>
      <c r="E1772" s="1">
        <v>44158</v>
      </c>
      <c r="F1772">
        <v>43.04</v>
      </c>
      <c r="G1772" s="1">
        <v>44208</v>
      </c>
      <c r="H1772">
        <v>33.85</v>
      </c>
      <c r="I1772" s="1">
        <v>44208</v>
      </c>
      <c r="J1772">
        <v>20.010000000000002</v>
      </c>
      <c r="K1772" s="1">
        <v>44119</v>
      </c>
      <c r="L1772">
        <v>93.855999999999995</v>
      </c>
    </row>
    <row r="1773" spans="1:12" x14ac:dyDescent="0.25">
      <c r="A1773" s="1">
        <v>44211</v>
      </c>
      <c r="B1773">
        <v>24.34</v>
      </c>
      <c r="C1773" s="1">
        <v>44211</v>
      </c>
      <c r="D1773">
        <v>24.67</v>
      </c>
      <c r="E1773" s="1">
        <v>44159</v>
      </c>
      <c r="F1773">
        <v>42.38</v>
      </c>
      <c r="G1773" s="1">
        <v>44209</v>
      </c>
      <c r="H1773">
        <v>36.79</v>
      </c>
      <c r="I1773" s="1">
        <v>44209</v>
      </c>
      <c r="J1773">
        <v>18.8</v>
      </c>
      <c r="K1773" s="1">
        <v>44120</v>
      </c>
      <c r="L1773">
        <v>93.682000000000002</v>
      </c>
    </row>
    <row r="1774" spans="1:12" x14ac:dyDescent="0.25">
      <c r="A1774" s="1">
        <v>44215</v>
      </c>
      <c r="B1774">
        <v>23.24</v>
      </c>
      <c r="C1774" s="1">
        <v>44215</v>
      </c>
      <c r="D1774">
        <v>26</v>
      </c>
      <c r="E1774" s="1">
        <v>44160</v>
      </c>
      <c r="F1774">
        <v>39.619999999999997</v>
      </c>
      <c r="G1774" s="1">
        <v>44210</v>
      </c>
      <c r="H1774">
        <v>37.950000000000003</v>
      </c>
      <c r="I1774" s="1">
        <v>44210</v>
      </c>
      <c r="J1774">
        <v>19.21</v>
      </c>
      <c r="K1774" s="1">
        <v>44123</v>
      </c>
      <c r="L1774">
        <v>93.427000000000007</v>
      </c>
    </row>
    <row r="1775" spans="1:12" x14ac:dyDescent="0.25">
      <c r="A1775" s="1">
        <v>44216</v>
      </c>
      <c r="B1775">
        <v>21.58</v>
      </c>
      <c r="C1775" s="1">
        <v>44216</v>
      </c>
      <c r="D1775">
        <v>25.35</v>
      </c>
      <c r="E1775" s="1">
        <v>44162</v>
      </c>
      <c r="F1775">
        <v>39.64</v>
      </c>
      <c r="G1775" s="1">
        <v>44211</v>
      </c>
      <c r="H1775">
        <v>40.39</v>
      </c>
      <c r="I1775" s="1">
        <v>44211</v>
      </c>
      <c r="J1775">
        <v>19.04</v>
      </c>
      <c r="K1775" s="1">
        <v>44124</v>
      </c>
      <c r="L1775">
        <v>93.066999999999993</v>
      </c>
    </row>
    <row r="1776" spans="1:12" x14ac:dyDescent="0.25">
      <c r="A1776" s="1">
        <v>44217</v>
      </c>
      <c r="B1776">
        <v>21.32</v>
      </c>
      <c r="C1776" s="1">
        <v>44217</v>
      </c>
      <c r="D1776">
        <v>24.93</v>
      </c>
      <c r="E1776" s="1">
        <v>44165</v>
      </c>
      <c r="F1776">
        <v>40.840000000000003</v>
      </c>
      <c r="G1776" s="1">
        <v>44215</v>
      </c>
      <c r="H1776">
        <v>35.369999999999997</v>
      </c>
      <c r="I1776" s="1">
        <v>44215</v>
      </c>
      <c r="J1776">
        <v>18.87</v>
      </c>
      <c r="K1776" s="1">
        <v>44125</v>
      </c>
      <c r="L1776">
        <v>92.611000000000004</v>
      </c>
    </row>
    <row r="1777" spans="1:12" x14ac:dyDescent="0.25">
      <c r="A1777" s="1">
        <v>44218</v>
      </c>
      <c r="B1777">
        <v>21.91</v>
      </c>
      <c r="C1777" s="1">
        <v>44218</v>
      </c>
      <c r="D1777">
        <v>26.93</v>
      </c>
      <c r="E1777" s="1">
        <v>44166</v>
      </c>
      <c r="F1777">
        <v>41.53</v>
      </c>
      <c r="G1777" s="1">
        <v>44216</v>
      </c>
      <c r="H1777">
        <v>35.67</v>
      </c>
      <c r="I1777" s="1">
        <v>44216</v>
      </c>
      <c r="J1777">
        <v>18.95</v>
      </c>
      <c r="K1777" s="1">
        <v>44126</v>
      </c>
      <c r="L1777">
        <v>92.950999999999993</v>
      </c>
    </row>
    <row r="1778" spans="1:12" x14ac:dyDescent="0.25">
      <c r="A1778" s="1">
        <v>44221</v>
      </c>
      <c r="B1778">
        <v>23.19</v>
      </c>
      <c r="C1778" s="1">
        <v>44221</v>
      </c>
      <c r="D1778">
        <v>28.94</v>
      </c>
      <c r="E1778" s="1">
        <v>44167</v>
      </c>
      <c r="F1778">
        <v>43.92</v>
      </c>
      <c r="G1778" s="1">
        <v>44217</v>
      </c>
      <c r="H1778">
        <v>35.049999999999997</v>
      </c>
      <c r="I1778" s="1">
        <v>44217</v>
      </c>
      <c r="J1778">
        <v>18.850000000000001</v>
      </c>
      <c r="K1778" s="1">
        <v>44127</v>
      </c>
      <c r="L1778">
        <v>92.768000000000001</v>
      </c>
    </row>
    <row r="1779" spans="1:12" x14ac:dyDescent="0.25">
      <c r="A1779" s="1">
        <v>44222</v>
      </c>
      <c r="B1779">
        <v>23.02</v>
      </c>
      <c r="C1779" s="1">
        <v>44222</v>
      </c>
      <c r="D1779">
        <v>26.76</v>
      </c>
      <c r="E1779" s="1">
        <v>44168</v>
      </c>
      <c r="F1779">
        <v>42.53</v>
      </c>
      <c r="G1779" s="1">
        <v>44218</v>
      </c>
      <c r="H1779">
        <v>36.25</v>
      </c>
      <c r="I1779" s="1">
        <v>44218</v>
      </c>
      <c r="J1779">
        <v>18.420000000000002</v>
      </c>
      <c r="K1779" s="1">
        <v>44130</v>
      </c>
      <c r="L1779">
        <v>93.045000000000002</v>
      </c>
    </row>
    <row r="1780" spans="1:12" x14ac:dyDescent="0.25">
      <c r="A1780" s="1">
        <v>44223</v>
      </c>
      <c r="B1780">
        <v>37.21</v>
      </c>
      <c r="C1780" s="1">
        <v>44223</v>
      </c>
      <c r="D1780">
        <v>29.82</v>
      </c>
      <c r="E1780" s="1">
        <v>44169</v>
      </c>
      <c r="F1780">
        <v>43.89</v>
      </c>
      <c r="G1780" s="1">
        <v>44221</v>
      </c>
      <c r="H1780">
        <v>38.020000000000003</v>
      </c>
      <c r="I1780" s="1">
        <v>44221</v>
      </c>
      <c r="J1780">
        <v>18.510000000000002</v>
      </c>
      <c r="K1780" s="1">
        <v>44131</v>
      </c>
      <c r="L1780">
        <v>92.94</v>
      </c>
    </row>
    <row r="1781" spans="1:12" x14ac:dyDescent="0.25">
      <c r="A1781" s="1">
        <v>44224</v>
      </c>
      <c r="B1781">
        <v>30.21</v>
      </c>
      <c r="C1781" s="1">
        <v>44224</v>
      </c>
      <c r="D1781">
        <v>27.64</v>
      </c>
      <c r="E1781" s="1">
        <v>44172</v>
      </c>
      <c r="F1781">
        <v>49.67</v>
      </c>
      <c r="G1781" s="1">
        <v>44222</v>
      </c>
      <c r="H1781">
        <v>37.130000000000003</v>
      </c>
      <c r="I1781" s="1">
        <v>44222</v>
      </c>
      <c r="J1781">
        <v>17.88</v>
      </c>
      <c r="K1781" s="1">
        <v>44132</v>
      </c>
      <c r="L1781">
        <v>93.405000000000001</v>
      </c>
    </row>
    <row r="1782" spans="1:12" x14ac:dyDescent="0.25">
      <c r="A1782" s="1">
        <v>44225</v>
      </c>
      <c r="B1782">
        <v>33.090000000000003</v>
      </c>
      <c r="C1782" s="1">
        <v>44225</v>
      </c>
      <c r="D1782">
        <v>29.8</v>
      </c>
      <c r="E1782" s="1">
        <v>44173</v>
      </c>
      <c r="F1782">
        <v>49.1</v>
      </c>
      <c r="G1782" s="1">
        <v>44223</v>
      </c>
      <c r="H1782">
        <v>40.21</v>
      </c>
      <c r="I1782" s="1">
        <v>44223</v>
      </c>
      <c r="J1782">
        <v>18.47</v>
      </c>
      <c r="K1782" s="1">
        <v>44133</v>
      </c>
      <c r="L1782">
        <v>93.954999999999998</v>
      </c>
    </row>
    <row r="1783" spans="1:12" x14ac:dyDescent="0.25">
      <c r="A1783" s="1">
        <v>44228</v>
      </c>
      <c r="B1783">
        <v>30.24</v>
      </c>
      <c r="C1783" s="1">
        <v>44228</v>
      </c>
      <c r="D1783">
        <v>26.94</v>
      </c>
      <c r="E1783" s="1">
        <v>44174</v>
      </c>
      <c r="F1783">
        <v>48.48</v>
      </c>
      <c r="G1783" s="1">
        <v>44224</v>
      </c>
      <c r="H1783">
        <v>40.450000000000003</v>
      </c>
      <c r="I1783" s="1">
        <v>44224</v>
      </c>
      <c r="J1783">
        <v>19.38</v>
      </c>
      <c r="K1783" s="1">
        <v>44134</v>
      </c>
      <c r="L1783">
        <v>94.037999999999997</v>
      </c>
    </row>
    <row r="1784" spans="1:12" x14ac:dyDescent="0.25">
      <c r="A1784" s="1">
        <v>44229</v>
      </c>
      <c r="B1784">
        <v>25.56</v>
      </c>
      <c r="C1784" s="1">
        <v>44229</v>
      </c>
      <c r="D1784">
        <v>25.58</v>
      </c>
      <c r="E1784" s="1">
        <v>44175</v>
      </c>
      <c r="F1784">
        <v>47.15</v>
      </c>
      <c r="G1784" s="1">
        <v>44225</v>
      </c>
      <c r="H1784">
        <v>40.200000000000003</v>
      </c>
      <c r="I1784" s="1">
        <v>44225</v>
      </c>
      <c r="J1784">
        <v>20.64</v>
      </c>
      <c r="K1784" s="1">
        <v>44137</v>
      </c>
      <c r="L1784">
        <v>94.129000000000005</v>
      </c>
    </row>
    <row r="1785" spans="1:12" x14ac:dyDescent="0.25">
      <c r="A1785" s="1">
        <v>44230</v>
      </c>
      <c r="B1785">
        <v>22.91</v>
      </c>
      <c r="C1785" s="1">
        <v>44230</v>
      </c>
      <c r="D1785">
        <v>23.27</v>
      </c>
      <c r="E1785" s="1">
        <v>44176</v>
      </c>
      <c r="F1785">
        <v>47.52</v>
      </c>
      <c r="G1785" s="1">
        <v>44228</v>
      </c>
      <c r="H1785">
        <v>39.159999999999997</v>
      </c>
      <c r="I1785" s="1">
        <v>44228</v>
      </c>
      <c r="J1785">
        <v>21.81</v>
      </c>
      <c r="K1785" s="1">
        <v>44138</v>
      </c>
      <c r="L1785">
        <v>93.552999999999997</v>
      </c>
    </row>
    <row r="1786" spans="1:12" x14ac:dyDescent="0.25">
      <c r="A1786" s="1">
        <v>44231</v>
      </c>
      <c r="B1786">
        <v>21.77</v>
      </c>
      <c r="C1786" s="1">
        <v>44231</v>
      </c>
      <c r="D1786">
        <v>22.33</v>
      </c>
      <c r="E1786" s="1">
        <v>44179</v>
      </c>
      <c r="F1786">
        <v>49.22</v>
      </c>
      <c r="G1786" s="1">
        <v>44229</v>
      </c>
      <c r="H1786">
        <v>38.619999999999997</v>
      </c>
      <c r="I1786" s="1">
        <v>44229</v>
      </c>
      <c r="J1786">
        <v>19.61</v>
      </c>
      <c r="K1786" s="1">
        <v>44139</v>
      </c>
      <c r="L1786">
        <v>93.406999999999996</v>
      </c>
    </row>
    <row r="1787" spans="1:12" x14ac:dyDescent="0.25">
      <c r="A1787" s="1">
        <v>44232</v>
      </c>
      <c r="B1787">
        <v>20.87</v>
      </c>
      <c r="C1787" s="1">
        <v>44232</v>
      </c>
      <c r="D1787">
        <v>21.18</v>
      </c>
      <c r="E1787" s="1">
        <v>44180</v>
      </c>
      <c r="F1787">
        <v>48.14</v>
      </c>
      <c r="G1787" s="1">
        <v>44230</v>
      </c>
      <c r="H1787">
        <v>37.11</v>
      </c>
      <c r="I1787" s="1">
        <v>44230</v>
      </c>
      <c r="J1787">
        <v>18.45</v>
      </c>
      <c r="K1787" s="1">
        <v>44140</v>
      </c>
      <c r="L1787">
        <v>92.525000000000006</v>
      </c>
    </row>
    <row r="1788" spans="1:12" x14ac:dyDescent="0.25">
      <c r="A1788" s="1">
        <v>44235</v>
      </c>
      <c r="B1788">
        <v>21.24</v>
      </c>
      <c r="C1788" s="1">
        <v>44235</v>
      </c>
      <c r="D1788">
        <v>21.96</v>
      </c>
      <c r="E1788" s="1">
        <v>44181</v>
      </c>
      <c r="F1788">
        <v>46.96</v>
      </c>
      <c r="G1788" s="1">
        <v>44231</v>
      </c>
      <c r="H1788">
        <v>35.369999999999997</v>
      </c>
      <c r="I1788" s="1">
        <v>44231</v>
      </c>
      <c r="J1788">
        <v>19.3</v>
      </c>
      <c r="K1788" s="1">
        <v>44141</v>
      </c>
      <c r="L1788">
        <v>92.228999999999999</v>
      </c>
    </row>
    <row r="1789" spans="1:12" x14ac:dyDescent="0.25">
      <c r="A1789" s="1">
        <v>44236</v>
      </c>
      <c r="B1789">
        <v>21.63</v>
      </c>
      <c r="C1789" s="1">
        <v>44236</v>
      </c>
      <c r="D1789">
        <v>21.42</v>
      </c>
      <c r="E1789" s="1">
        <v>44182</v>
      </c>
      <c r="F1789">
        <v>44.15</v>
      </c>
      <c r="G1789" s="1">
        <v>44232</v>
      </c>
      <c r="H1789">
        <v>34.94</v>
      </c>
      <c r="I1789" s="1">
        <v>44232</v>
      </c>
      <c r="J1789">
        <v>18.7</v>
      </c>
      <c r="K1789" s="1">
        <v>44144</v>
      </c>
      <c r="L1789">
        <v>92.724999999999994</v>
      </c>
    </row>
    <row r="1790" spans="1:12" x14ac:dyDescent="0.25">
      <c r="A1790" s="1">
        <v>44237</v>
      </c>
      <c r="B1790">
        <v>21.99</v>
      </c>
      <c r="C1790" s="1">
        <v>44237</v>
      </c>
      <c r="D1790">
        <v>22.18</v>
      </c>
      <c r="E1790" s="1">
        <v>44183</v>
      </c>
      <c r="F1790">
        <v>44.64</v>
      </c>
      <c r="G1790" s="1">
        <v>44235</v>
      </c>
      <c r="H1790">
        <v>34.479999999999997</v>
      </c>
      <c r="I1790" s="1">
        <v>44235</v>
      </c>
      <c r="J1790">
        <v>18.45</v>
      </c>
      <c r="K1790" s="1">
        <v>44145</v>
      </c>
      <c r="L1790">
        <v>92.748999999999995</v>
      </c>
    </row>
    <row r="1791" spans="1:12" x14ac:dyDescent="0.25">
      <c r="A1791" s="1">
        <v>44238</v>
      </c>
      <c r="B1791">
        <v>21.25</v>
      </c>
      <c r="C1791" s="1">
        <v>44238</v>
      </c>
      <c r="D1791">
        <v>21.93</v>
      </c>
      <c r="E1791" s="1">
        <v>44186</v>
      </c>
      <c r="F1791">
        <v>46.66</v>
      </c>
      <c r="G1791" s="1">
        <v>44236</v>
      </c>
      <c r="H1791">
        <v>33.54</v>
      </c>
      <c r="I1791" s="1">
        <v>44236</v>
      </c>
      <c r="J1791">
        <v>18.350000000000001</v>
      </c>
      <c r="K1791" s="1">
        <v>44146</v>
      </c>
      <c r="L1791">
        <v>93.043000000000006</v>
      </c>
    </row>
    <row r="1792" spans="1:12" x14ac:dyDescent="0.25">
      <c r="A1792" s="1">
        <v>44239</v>
      </c>
      <c r="B1792">
        <v>19.97</v>
      </c>
      <c r="C1792" s="1">
        <v>44239</v>
      </c>
      <c r="D1792">
        <v>21.71</v>
      </c>
      <c r="E1792" s="1">
        <v>44187</v>
      </c>
      <c r="F1792">
        <v>43.57</v>
      </c>
      <c r="G1792" s="1">
        <v>44237</v>
      </c>
      <c r="H1792">
        <v>33.770000000000003</v>
      </c>
      <c r="I1792" s="1">
        <v>44237</v>
      </c>
      <c r="J1792">
        <v>18.57</v>
      </c>
      <c r="K1792" s="1">
        <v>44147</v>
      </c>
      <c r="L1792">
        <v>92.962999999999994</v>
      </c>
    </row>
    <row r="1793" spans="1:12" x14ac:dyDescent="0.25">
      <c r="A1793" s="1">
        <v>44243</v>
      </c>
      <c r="B1793">
        <v>21.46</v>
      </c>
      <c r="C1793" s="1">
        <v>44243</v>
      </c>
      <c r="D1793">
        <v>22.73</v>
      </c>
      <c r="E1793" s="1">
        <v>44188</v>
      </c>
      <c r="F1793">
        <v>42.74</v>
      </c>
      <c r="G1793" s="1">
        <v>44238</v>
      </c>
      <c r="H1793">
        <v>34.33</v>
      </c>
      <c r="I1793" s="1">
        <v>44238</v>
      </c>
      <c r="J1793">
        <v>18.309999999999999</v>
      </c>
      <c r="K1793" s="1">
        <v>44148</v>
      </c>
      <c r="L1793">
        <v>92.754999999999995</v>
      </c>
    </row>
    <row r="1794" spans="1:12" x14ac:dyDescent="0.25">
      <c r="A1794" s="1">
        <v>44244</v>
      </c>
      <c r="B1794">
        <v>21.5</v>
      </c>
      <c r="C1794" s="1">
        <v>44244</v>
      </c>
      <c r="D1794">
        <v>23.02</v>
      </c>
      <c r="E1794" s="1">
        <v>44189</v>
      </c>
      <c r="F1794">
        <v>42.11</v>
      </c>
      <c r="G1794" s="1">
        <v>44239</v>
      </c>
      <c r="H1794">
        <v>34.25</v>
      </c>
      <c r="I1794" s="1">
        <v>44239</v>
      </c>
      <c r="J1794">
        <v>18.079999999999998</v>
      </c>
      <c r="K1794" s="1">
        <v>44151</v>
      </c>
      <c r="L1794">
        <v>92.641999999999996</v>
      </c>
    </row>
    <row r="1795" spans="1:12" x14ac:dyDescent="0.25">
      <c r="A1795" s="1">
        <v>44245</v>
      </c>
      <c r="B1795">
        <v>22.49</v>
      </c>
      <c r="C1795" s="1">
        <v>44245</v>
      </c>
      <c r="D1795">
        <v>24.47</v>
      </c>
      <c r="E1795" s="1">
        <v>44193</v>
      </c>
      <c r="F1795">
        <v>45.26</v>
      </c>
      <c r="G1795" s="1">
        <v>44243</v>
      </c>
      <c r="H1795">
        <v>35.130000000000003</v>
      </c>
      <c r="I1795" s="1">
        <v>44243</v>
      </c>
      <c r="J1795">
        <v>19.57</v>
      </c>
      <c r="K1795" s="1">
        <v>44152</v>
      </c>
      <c r="L1795">
        <v>92.415999999999997</v>
      </c>
    </row>
    <row r="1796" spans="1:12" x14ac:dyDescent="0.25">
      <c r="A1796" s="1">
        <v>44246</v>
      </c>
      <c r="B1796">
        <v>22.05</v>
      </c>
      <c r="C1796" s="1">
        <v>44246</v>
      </c>
      <c r="D1796">
        <v>24.22</v>
      </c>
      <c r="E1796" s="1">
        <v>44194</v>
      </c>
      <c r="F1796">
        <v>46.1</v>
      </c>
      <c r="G1796" s="1">
        <v>44244</v>
      </c>
      <c r="H1796">
        <v>36.9</v>
      </c>
      <c r="I1796" s="1">
        <v>44244</v>
      </c>
      <c r="J1796">
        <v>20.49</v>
      </c>
      <c r="K1796" s="1">
        <v>44153</v>
      </c>
      <c r="L1796">
        <v>92.316000000000003</v>
      </c>
    </row>
    <row r="1797" spans="1:12" x14ac:dyDescent="0.25">
      <c r="A1797" s="1">
        <v>44249</v>
      </c>
      <c r="B1797">
        <v>23.45</v>
      </c>
      <c r="C1797" s="1">
        <v>44249</v>
      </c>
      <c r="D1797">
        <v>25.62</v>
      </c>
      <c r="E1797" s="1">
        <v>44195</v>
      </c>
      <c r="F1797">
        <v>47.19</v>
      </c>
      <c r="G1797" s="1">
        <v>44245</v>
      </c>
      <c r="H1797">
        <v>37.9</v>
      </c>
      <c r="I1797" s="1">
        <v>44245</v>
      </c>
      <c r="J1797">
        <v>19.66</v>
      </c>
      <c r="K1797" s="1">
        <v>44154</v>
      </c>
      <c r="L1797">
        <v>92.293999999999997</v>
      </c>
    </row>
    <row r="1798" spans="1:12" x14ac:dyDescent="0.25">
      <c r="A1798" s="1">
        <v>44250</v>
      </c>
      <c r="B1798">
        <v>23.11</v>
      </c>
      <c r="C1798" s="1">
        <v>44250</v>
      </c>
      <c r="D1798">
        <v>26.75</v>
      </c>
      <c r="E1798" s="1">
        <v>44196</v>
      </c>
      <c r="F1798">
        <v>48.98</v>
      </c>
      <c r="G1798" s="1">
        <v>44246</v>
      </c>
      <c r="H1798">
        <v>37.76</v>
      </c>
      <c r="I1798" s="1">
        <v>44246</v>
      </c>
      <c r="J1798">
        <v>19.260000000000002</v>
      </c>
      <c r="K1798" s="1">
        <v>44155</v>
      </c>
      <c r="L1798">
        <v>92.391999999999996</v>
      </c>
    </row>
    <row r="1799" spans="1:12" x14ac:dyDescent="0.25">
      <c r="A1799" s="1">
        <v>44251</v>
      </c>
      <c r="B1799">
        <v>21.34</v>
      </c>
      <c r="C1799" s="1">
        <v>44251</v>
      </c>
      <c r="D1799">
        <v>26.97</v>
      </c>
      <c r="E1799" s="1">
        <v>44200</v>
      </c>
      <c r="F1799">
        <v>49.59</v>
      </c>
      <c r="G1799" s="1">
        <v>44249</v>
      </c>
      <c r="H1799">
        <v>38.57</v>
      </c>
      <c r="I1799" s="1">
        <v>44249</v>
      </c>
      <c r="J1799">
        <v>19.12</v>
      </c>
      <c r="K1799" s="1">
        <v>44158</v>
      </c>
      <c r="L1799">
        <v>92.504999999999995</v>
      </c>
    </row>
    <row r="1800" spans="1:12" x14ac:dyDescent="0.25">
      <c r="A1800" s="1">
        <v>44252</v>
      </c>
      <c r="B1800">
        <v>28.89</v>
      </c>
      <c r="C1800" s="1">
        <v>44252</v>
      </c>
      <c r="D1800">
        <v>30.86</v>
      </c>
      <c r="E1800" s="1">
        <v>44201</v>
      </c>
      <c r="F1800">
        <v>48.95</v>
      </c>
      <c r="G1800" s="1">
        <v>44250</v>
      </c>
      <c r="H1800">
        <v>39.75</v>
      </c>
      <c r="I1800" s="1">
        <v>44250</v>
      </c>
      <c r="J1800">
        <v>18.3</v>
      </c>
      <c r="K1800" s="1">
        <v>44159</v>
      </c>
      <c r="L1800">
        <v>92.225999999999999</v>
      </c>
    </row>
    <row r="1801" spans="1:12" x14ac:dyDescent="0.25">
      <c r="A1801" s="1">
        <v>44253</v>
      </c>
      <c r="B1801">
        <v>27.95</v>
      </c>
      <c r="C1801" s="1">
        <v>44253</v>
      </c>
      <c r="D1801">
        <v>29.55</v>
      </c>
      <c r="E1801" s="1">
        <v>44202</v>
      </c>
      <c r="F1801">
        <v>44.64</v>
      </c>
      <c r="G1801" s="1">
        <v>44251</v>
      </c>
      <c r="H1801">
        <v>39.58</v>
      </c>
      <c r="I1801" s="1">
        <v>44251</v>
      </c>
      <c r="J1801">
        <v>18.309999999999999</v>
      </c>
      <c r="K1801" s="1">
        <v>44160</v>
      </c>
      <c r="L1801">
        <v>91.994</v>
      </c>
    </row>
    <row r="1802" spans="1:12" x14ac:dyDescent="0.25">
      <c r="A1802" s="1">
        <v>44256</v>
      </c>
      <c r="B1802">
        <v>23.35</v>
      </c>
      <c r="C1802" s="1">
        <v>44256</v>
      </c>
      <c r="D1802">
        <v>26.52</v>
      </c>
      <c r="E1802" s="1">
        <v>44203</v>
      </c>
      <c r="F1802">
        <v>45.2</v>
      </c>
      <c r="G1802" s="1">
        <v>44252</v>
      </c>
      <c r="H1802">
        <v>40.58</v>
      </c>
      <c r="I1802" s="1">
        <v>44252</v>
      </c>
      <c r="J1802">
        <v>21.26</v>
      </c>
      <c r="K1802" s="1">
        <v>44161</v>
      </c>
      <c r="L1802">
        <v>91.994</v>
      </c>
    </row>
    <row r="1803" spans="1:12" x14ac:dyDescent="0.25">
      <c r="A1803" s="1">
        <v>44257</v>
      </c>
      <c r="B1803">
        <v>24.1</v>
      </c>
      <c r="C1803" s="1">
        <v>44257</v>
      </c>
      <c r="D1803">
        <v>26.94</v>
      </c>
      <c r="E1803" s="1">
        <v>44204</v>
      </c>
      <c r="F1803">
        <v>44.81</v>
      </c>
      <c r="G1803" s="1">
        <v>44253</v>
      </c>
      <c r="H1803">
        <v>42.49</v>
      </c>
      <c r="I1803" s="1">
        <v>44253</v>
      </c>
      <c r="J1803">
        <v>21.08</v>
      </c>
      <c r="K1803" s="1">
        <v>44162</v>
      </c>
      <c r="L1803">
        <v>91.79</v>
      </c>
    </row>
    <row r="1804" spans="1:12" x14ac:dyDescent="0.25">
      <c r="A1804" s="1">
        <v>44258</v>
      </c>
      <c r="B1804">
        <v>26.67</v>
      </c>
      <c r="C1804" s="1">
        <v>44258</v>
      </c>
      <c r="D1804">
        <v>27.35</v>
      </c>
      <c r="E1804" s="1">
        <v>44207</v>
      </c>
      <c r="F1804">
        <v>47.77</v>
      </c>
      <c r="G1804" s="1">
        <v>44256</v>
      </c>
      <c r="H1804">
        <v>42.56</v>
      </c>
      <c r="I1804" s="1">
        <v>44256</v>
      </c>
      <c r="J1804">
        <v>21.33</v>
      </c>
      <c r="K1804" s="1">
        <v>44165</v>
      </c>
      <c r="L1804">
        <v>91.869</v>
      </c>
    </row>
    <row r="1805" spans="1:12" x14ac:dyDescent="0.25">
      <c r="A1805" s="1">
        <v>44259</v>
      </c>
      <c r="B1805">
        <v>28.57</v>
      </c>
      <c r="C1805" s="1">
        <v>44259</v>
      </c>
      <c r="D1805">
        <v>30.45</v>
      </c>
      <c r="E1805" s="1">
        <v>44208</v>
      </c>
      <c r="F1805">
        <v>50.12</v>
      </c>
      <c r="G1805" s="1">
        <v>44257</v>
      </c>
      <c r="H1805">
        <v>40.96</v>
      </c>
      <c r="I1805" s="1">
        <v>44257</v>
      </c>
      <c r="J1805">
        <v>20.059999999999999</v>
      </c>
      <c r="K1805" s="1">
        <v>44166</v>
      </c>
      <c r="L1805">
        <v>91.313000000000002</v>
      </c>
    </row>
    <row r="1806" spans="1:12" x14ac:dyDescent="0.25">
      <c r="A1806" s="1">
        <v>44260</v>
      </c>
      <c r="B1806">
        <v>24.66</v>
      </c>
      <c r="C1806" s="1">
        <v>44260</v>
      </c>
      <c r="D1806">
        <v>28.05</v>
      </c>
      <c r="E1806" s="1">
        <v>44209</v>
      </c>
      <c r="F1806">
        <v>45.6</v>
      </c>
      <c r="G1806" s="1">
        <v>44258</v>
      </c>
      <c r="H1806">
        <v>39.83</v>
      </c>
      <c r="I1806" s="1">
        <v>44258</v>
      </c>
      <c r="J1806">
        <v>20.93</v>
      </c>
      <c r="K1806" s="1">
        <v>44167</v>
      </c>
      <c r="L1806">
        <v>91.117999999999995</v>
      </c>
    </row>
    <row r="1807" spans="1:12" x14ac:dyDescent="0.25">
      <c r="A1807" s="1">
        <v>44263</v>
      </c>
      <c r="B1807">
        <v>25.47</v>
      </c>
      <c r="C1807" s="1">
        <v>44263</v>
      </c>
      <c r="D1807">
        <v>30.01</v>
      </c>
      <c r="E1807" s="1">
        <v>44210</v>
      </c>
      <c r="F1807">
        <v>46.23</v>
      </c>
      <c r="G1807" s="1">
        <v>44259</v>
      </c>
      <c r="H1807">
        <v>37.270000000000003</v>
      </c>
      <c r="I1807" s="1">
        <v>44259</v>
      </c>
      <c r="J1807">
        <v>21.61</v>
      </c>
      <c r="K1807" s="1">
        <v>44168</v>
      </c>
      <c r="L1807">
        <v>90.713999999999999</v>
      </c>
    </row>
    <row r="1808" spans="1:12" x14ac:dyDescent="0.25">
      <c r="A1808" s="1">
        <v>44264</v>
      </c>
      <c r="B1808">
        <v>24.03</v>
      </c>
      <c r="C1808" s="1">
        <v>44264</v>
      </c>
      <c r="D1808">
        <v>27.17</v>
      </c>
      <c r="E1808" s="1">
        <v>44211</v>
      </c>
      <c r="F1808">
        <v>45.14</v>
      </c>
      <c r="G1808" s="1">
        <v>44260</v>
      </c>
      <c r="H1808">
        <v>36.61</v>
      </c>
      <c r="I1808" s="1">
        <v>44260</v>
      </c>
      <c r="J1808">
        <v>20.21</v>
      </c>
      <c r="K1808" s="1">
        <v>44169</v>
      </c>
      <c r="L1808">
        <v>90.700999999999993</v>
      </c>
    </row>
    <row r="1809" spans="1:12" x14ac:dyDescent="0.25">
      <c r="A1809" s="1">
        <v>44265</v>
      </c>
      <c r="B1809">
        <v>22.56</v>
      </c>
      <c r="C1809" s="1">
        <v>44265</v>
      </c>
      <c r="D1809">
        <v>26.06</v>
      </c>
      <c r="E1809" s="1">
        <v>44215</v>
      </c>
      <c r="F1809">
        <v>45.23</v>
      </c>
      <c r="G1809" s="1">
        <v>44263</v>
      </c>
      <c r="H1809">
        <v>38.89</v>
      </c>
      <c r="I1809" s="1">
        <v>44263</v>
      </c>
      <c r="J1809">
        <v>20.64</v>
      </c>
      <c r="K1809" s="1">
        <v>44172</v>
      </c>
      <c r="L1809">
        <v>90.792000000000002</v>
      </c>
    </row>
    <row r="1810" spans="1:12" x14ac:dyDescent="0.25">
      <c r="A1810" s="1">
        <v>44266</v>
      </c>
      <c r="B1810">
        <v>21.91</v>
      </c>
      <c r="C1810" s="1">
        <v>44266</v>
      </c>
      <c r="D1810">
        <v>24.87</v>
      </c>
      <c r="E1810" s="1">
        <v>44216</v>
      </c>
      <c r="F1810">
        <v>42.53</v>
      </c>
      <c r="G1810" s="1">
        <v>44264</v>
      </c>
      <c r="H1810">
        <v>37.97</v>
      </c>
      <c r="I1810" s="1">
        <v>44264</v>
      </c>
      <c r="J1810">
        <v>19.54</v>
      </c>
      <c r="K1810" s="1">
        <v>44173</v>
      </c>
      <c r="L1810">
        <v>90.965000000000003</v>
      </c>
    </row>
    <row r="1811" spans="1:12" x14ac:dyDescent="0.25">
      <c r="A1811" s="1">
        <v>44267</v>
      </c>
      <c r="B1811">
        <v>20.69</v>
      </c>
      <c r="C1811" s="1">
        <v>44267</v>
      </c>
      <c r="D1811">
        <v>26.41</v>
      </c>
      <c r="E1811" s="1">
        <v>44217</v>
      </c>
      <c r="F1811">
        <v>43.01</v>
      </c>
      <c r="G1811" s="1">
        <v>44265</v>
      </c>
      <c r="H1811">
        <v>37.56</v>
      </c>
      <c r="I1811" s="1">
        <v>44265</v>
      </c>
      <c r="J1811">
        <v>18.55</v>
      </c>
      <c r="K1811" s="1">
        <v>44174</v>
      </c>
      <c r="L1811">
        <v>91.087000000000003</v>
      </c>
    </row>
    <row r="1812" spans="1:12" x14ac:dyDescent="0.25">
      <c r="A1812" s="1">
        <v>44270</v>
      </c>
      <c r="B1812">
        <v>20.03</v>
      </c>
      <c r="C1812" s="1">
        <v>44270</v>
      </c>
      <c r="D1812">
        <v>26.05</v>
      </c>
      <c r="E1812" s="1">
        <v>44218</v>
      </c>
      <c r="F1812">
        <v>43.09</v>
      </c>
      <c r="G1812" s="1">
        <v>44266</v>
      </c>
      <c r="H1812">
        <v>37.86</v>
      </c>
      <c r="I1812" s="1">
        <v>44266</v>
      </c>
      <c r="J1812">
        <v>18.21</v>
      </c>
      <c r="K1812" s="1">
        <v>44175</v>
      </c>
      <c r="L1812">
        <v>90.823999999999998</v>
      </c>
    </row>
    <row r="1813" spans="1:12" x14ac:dyDescent="0.25">
      <c r="A1813" s="1">
        <v>44271</v>
      </c>
      <c r="B1813">
        <v>19.79</v>
      </c>
      <c r="C1813" s="1">
        <v>44271</v>
      </c>
      <c r="D1813">
        <v>24.61</v>
      </c>
      <c r="E1813" s="1">
        <v>44221</v>
      </c>
      <c r="F1813">
        <v>43.08</v>
      </c>
      <c r="G1813" s="1">
        <v>44267</v>
      </c>
      <c r="H1813">
        <v>37.51</v>
      </c>
      <c r="I1813" s="1">
        <v>44267</v>
      </c>
      <c r="J1813">
        <v>18.36</v>
      </c>
      <c r="K1813" s="1">
        <v>44176</v>
      </c>
      <c r="L1813">
        <v>90.975999999999999</v>
      </c>
    </row>
    <row r="1814" spans="1:12" x14ac:dyDescent="0.25">
      <c r="A1814" s="1">
        <v>44272</v>
      </c>
      <c r="B1814">
        <v>19.23</v>
      </c>
      <c r="C1814" s="1">
        <v>44272</v>
      </c>
      <c r="D1814">
        <v>24.54</v>
      </c>
      <c r="E1814" s="1">
        <v>44222</v>
      </c>
      <c r="F1814">
        <v>43.14</v>
      </c>
      <c r="G1814" s="1">
        <v>44270</v>
      </c>
      <c r="H1814">
        <v>39.380000000000003</v>
      </c>
      <c r="I1814" s="1">
        <v>44270</v>
      </c>
      <c r="J1814">
        <v>17.86</v>
      </c>
      <c r="K1814" s="1">
        <v>44179</v>
      </c>
      <c r="L1814">
        <v>90.710999999999999</v>
      </c>
    </row>
    <row r="1815" spans="1:12" x14ac:dyDescent="0.25">
      <c r="A1815" s="1">
        <v>44273</v>
      </c>
      <c r="B1815">
        <v>21.58</v>
      </c>
      <c r="C1815" s="1">
        <v>44273</v>
      </c>
      <c r="D1815">
        <v>25.81</v>
      </c>
      <c r="E1815" s="1">
        <v>44223</v>
      </c>
      <c r="F1815">
        <v>44.16</v>
      </c>
      <c r="G1815" s="1">
        <v>44271</v>
      </c>
      <c r="H1815">
        <v>39.1</v>
      </c>
      <c r="I1815" s="1">
        <v>44271</v>
      </c>
      <c r="J1815">
        <v>17.93</v>
      </c>
      <c r="K1815" s="1">
        <v>44180</v>
      </c>
      <c r="L1815">
        <v>90.472999999999999</v>
      </c>
    </row>
    <row r="1816" spans="1:12" x14ac:dyDescent="0.25">
      <c r="A1816" s="1">
        <v>44274</v>
      </c>
      <c r="B1816">
        <v>20.95</v>
      </c>
      <c r="C1816" s="1">
        <v>44274</v>
      </c>
      <c r="D1816">
        <v>24.52</v>
      </c>
      <c r="E1816" s="1">
        <v>44224</v>
      </c>
      <c r="F1816">
        <v>45.53</v>
      </c>
      <c r="G1816" s="1">
        <v>44272</v>
      </c>
      <c r="H1816">
        <v>37.4</v>
      </c>
      <c r="I1816" s="1">
        <v>44272</v>
      </c>
      <c r="J1816">
        <v>17.239999999999998</v>
      </c>
      <c r="K1816" s="1">
        <v>44181</v>
      </c>
      <c r="L1816">
        <v>90.45</v>
      </c>
    </row>
    <row r="1817" spans="1:12" x14ac:dyDescent="0.25">
      <c r="A1817" s="1">
        <v>44277</v>
      </c>
      <c r="B1817">
        <v>18.88</v>
      </c>
      <c r="C1817" s="1">
        <v>44277</v>
      </c>
      <c r="D1817">
        <v>24.33</v>
      </c>
      <c r="E1817" s="1">
        <v>44225</v>
      </c>
      <c r="F1817">
        <v>47.41</v>
      </c>
      <c r="G1817" s="1">
        <v>44273</v>
      </c>
      <c r="H1817">
        <v>48.44</v>
      </c>
      <c r="I1817" s="1">
        <v>44273</v>
      </c>
      <c r="J1817">
        <v>17.79</v>
      </c>
      <c r="K1817" s="1">
        <v>44182</v>
      </c>
      <c r="L1817">
        <v>89.822000000000003</v>
      </c>
    </row>
    <row r="1818" spans="1:12" x14ac:dyDescent="0.25">
      <c r="A1818" s="1">
        <v>44278</v>
      </c>
      <c r="B1818">
        <v>20.3</v>
      </c>
      <c r="C1818" s="1">
        <v>44278</v>
      </c>
      <c r="D1818">
        <v>24.14</v>
      </c>
      <c r="E1818" s="1">
        <v>44228</v>
      </c>
      <c r="F1818">
        <v>46.28</v>
      </c>
      <c r="G1818" s="1">
        <v>44274</v>
      </c>
      <c r="H1818">
        <v>44.38</v>
      </c>
      <c r="I1818" s="1">
        <v>44274</v>
      </c>
      <c r="J1818">
        <v>16.57</v>
      </c>
      <c r="K1818" s="1">
        <v>44183</v>
      </c>
      <c r="L1818">
        <v>90.016000000000005</v>
      </c>
    </row>
    <row r="1819" spans="1:12" x14ac:dyDescent="0.25">
      <c r="A1819" s="1">
        <v>44279</v>
      </c>
      <c r="B1819">
        <v>21.2</v>
      </c>
      <c r="C1819" s="1">
        <v>44279</v>
      </c>
      <c r="D1819">
        <v>25.69</v>
      </c>
      <c r="E1819" s="1">
        <v>44229</v>
      </c>
      <c r="F1819">
        <v>45.91</v>
      </c>
      <c r="G1819" s="1">
        <v>44277</v>
      </c>
      <c r="H1819">
        <v>40.28</v>
      </c>
      <c r="I1819" s="1">
        <v>44277</v>
      </c>
      <c r="J1819">
        <v>16.47</v>
      </c>
      <c r="K1819" s="1">
        <v>44186</v>
      </c>
      <c r="L1819">
        <v>90.043000000000006</v>
      </c>
    </row>
    <row r="1820" spans="1:12" x14ac:dyDescent="0.25">
      <c r="A1820" s="1">
        <v>44280</v>
      </c>
      <c r="B1820">
        <v>19.809999999999999</v>
      </c>
      <c r="C1820" s="1">
        <v>44280</v>
      </c>
      <c r="D1820">
        <v>26.04</v>
      </c>
      <c r="E1820" s="1">
        <v>44230</v>
      </c>
      <c r="F1820">
        <v>46.93</v>
      </c>
      <c r="G1820" s="1">
        <v>44278</v>
      </c>
      <c r="H1820">
        <v>48.62</v>
      </c>
      <c r="I1820" s="1">
        <v>44278</v>
      </c>
      <c r="J1820">
        <v>16.690000000000001</v>
      </c>
      <c r="K1820" s="1">
        <v>44187</v>
      </c>
      <c r="L1820">
        <v>90.653999999999996</v>
      </c>
    </row>
    <row r="1821" spans="1:12" x14ac:dyDescent="0.25">
      <c r="A1821" s="1">
        <v>44281</v>
      </c>
      <c r="B1821">
        <v>18.86</v>
      </c>
      <c r="C1821" s="1">
        <v>44281</v>
      </c>
      <c r="D1821">
        <v>24.21</v>
      </c>
      <c r="E1821" s="1">
        <v>44231</v>
      </c>
      <c r="F1821">
        <v>47.25</v>
      </c>
      <c r="G1821" s="1">
        <v>44279</v>
      </c>
      <c r="H1821">
        <v>64.91</v>
      </c>
      <c r="I1821" s="1">
        <v>44279</v>
      </c>
      <c r="J1821">
        <v>15.7</v>
      </c>
      <c r="K1821" s="1">
        <v>44188</v>
      </c>
      <c r="L1821">
        <v>90.412999999999997</v>
      </c>
    </row>
    <row r="1822" spans="1:12" x14ac:dyDescent="0.25">
      <c r="A1822" s="1">
        <v>44284</v>
      </c>
      <c r="B1822">
        <v>20.74</v>
      </c>
      <c r="C1822" s="1">
        <v>44284</v>
      </c>
      <c r="D1822">
        <v>25.3</v>
      </c>
      <c r="E1822" s="1">
        <v>44232</v>
      </c>
      <c r="F1822">
        <v>47.2</v>
      </c>
      <c r="G1822" s="1">
        <v>44280</v>
      </c>
      <c r="H1822">
        <v>49.88</v>
      </c>
      <c r="I1822" s="1">
        <v>44280</v>
      </c>
      <c r="J1822">
        <v>15.58</v>
      </c>
      <c r="K1822" s="1">
        <v>44189</v>
      </c>
      <c r="L1822">
        <v>90.322999999999993</v>
      </c>
    </row>
    <row r="1823" spans="1:12" x14ac:dyDescent="0.25">
      <c r="A1823" s="1">
        <v>44285</v>
      </c>
      <c r="B1823">
        <v>19.61</v>
      </c>
      <c r="C1823" s="1">
        <v>44285</v>
      </c>
      <c r="D1823">
        <v>24.95</v>
      </c>
      <c r="E1823" s="1">
        <v>44235</v>
      </c>
      <c r="F1823">
        <v>48.45</v>
      </c>
      <c r="G1823" s="1">
        <v>44281</v>
      </c>
      <c r="H1823">
        <v>44.93</v>
      </c>
      <c r="I1823" s="1">
        <v>44281</v>
      </c>
      <c r="J1823">
        <v>15.48</v>
      </c>
      <c r="K1823" s="1">
        <v>44190</v>
      </c>
      <c r="L1823">
        <v>90.222999999999999</v>
      </c>
    </row>
    <row r="1824" spans="1:12" x14ac:dyDescent="0.25">
      <c r="A1824" s="1">
        <v>44286</v>
      </c>
      <c r="B1824">
        <v>19.399999999999999</v>
      </c>
      <c r="C1824" s="1">
        <v>44286</v>
      </c>
      <c r="D1824">
        <v>22.66</v>
      </c>
      <c r="E1824" s="1">
        <v>44236</v>
      </c>
      <c r="F1824">
        <v>46.75</v>
      </c>
      <c r="G1824" s="1">
        <v>44284</v>
      </c>
      <c r="H1824">
        <v>44.16</v>
      </c>
      <c r="I1824" s="1">
        <v>44284</v>
      </c>
      <c r="J1824">
        <v>17.23</v>
      </c>
      <c r="K1824" s="1">
        <v>44193</v>
      </c>
      <c r="L1824">
        <v>90.337000000000003</v>
      </c>
    </row>
    <row r="1825" spans="1:12" x14ac:dyDescent="0.25">
      <c r="A1825" s="1">
        <v>44287</v>
      </c>
      <c r="B1825">
        <v>17.329999999999998</v>
      </c>
      <c r="C1825" s="1">
        <v>44287</v>
      </c>
      <c r="D1825">
        <v>20.41</v>
      </c>
      <c r="E1825" s="1">
        <v>44237</v>
      </c>
      <c r="F1825">
        <v>46.27</v>
      </c>
      <c r="G1825" s="1">
        <v>44285</v>
      </c>
      <c r="H1825">
        <v>41.46</v>
      </c>
      <c r="I1825" s="1">
        <v>44285</v>
      </c>
      <c r="J1825">
        <v>18.3</v>
      </c>
      <c r="K1825" s="1">
        <v>44194</v>
      </c>
      <c r="L1825">
        <v>89.994</v>
      </c>
    </row>
    <row r="1826" spans="1:12" x14ac:dyDescent="0.25">
      <c r="A1826" s="1">
        <v>44291</v>
      </c>
      <c r="B1826">
        <v>17.91</v>
      </c>
      <c r="C1826" s="1">
        <v>44291</v>
      </c>
      <c r="D1826">
        <v>20.83</v>
      </c>
      <c r="E1826" s="1">
        <v>44238</v>
      </c>
      <c r="F1826">
        <v>45.95</v>
      </c>
      <c r="G1826" s="1">
        <v>44286</v>
      </c>
      <c r="H1826">
        <v>45.65</v>
      </c>
      <c r="I1826" s="1">
        <v>44286</v>
      </c>
      <c r="J1826">
        <v>17.07</v>
      </c>
      <c r="K1826" s="1">
        <v>44195</v>
      </c>
      <c r="L1826">
        <v>89.68</v>
      </c>
    </row>
    <row r="1827" spans="1:12" x14ac:dyDescent="0.25">
      <c r="A1827" s="1">
        <v>44292</v>
      </c>
      <c r="B1827">
        <v>18.12</v>
      </c>
      <c r="C1827" s="1">
        <v>44292</v>
      </c>
      <c r="D1827">
        <v>20.43</v>
      </c>
      <c r="E1827" s="1">
        <v>44239</v>
      </c>
      <c r="F1827">
        <v>47.01</v>
      </c>
      <c r="G1827" s="1">
        <v>44287</v>
      </c>
      <c r="H1827">
        <v>40.15</v>
      </c>
      <c r="I1827" s="1">
        <v>44287</v>
      </c>
      <c r="J1827">
        <v>16.739999999999998</v>
      </c>
      <c r="K1827" s="1">
        <v>44196</v>
      </c>
      <c r="L1827">
        <v>89.936999999999998</v>
      </c>
    </row>
    <row r="1828" spans="1:12" x14ac:dyDescent="0.25">
      <c r="A1828" s="1">
        <v>44293</v>
      </c>
      <c r="B1828">
        <v>17.16</v>
      </c>
      <c r="C1828" s="1">
        <v>44293</v>
      </c>
      <c r="D1828">
        <v>20.53</v>
      </c>
      <c r="E1828" s="1">
        <v>44243</v>
      </c>
      <c r="F1828">
        <v>56.78</v>
      </c>
      <c r="G1828" s="1">
        <v>44288</v>
      </c>
      <c r="H1828">
        <v>40.15</v>
      </c>
      <c r="I1828" s="1">
        <v>44288</v>
      </c>
      <c r="J1828">
        <v>16.739999999999998</v>
      </c>
      <c r="K1828" s="1">
        <v>44200</v>
      </c>
      <c r="L1828">
        <v>89.869</v>
      </c>
    </row>
    <row r="1829" spans="1:12" x14ac:dyDescent="0.25">
      <c r="A1829" s="1">
        <v>44294</v>
      </c>
      <c r="B1829">
        <v>16.95</v>
      </c>
      <c r="C1829" s="1">
        <v>44294</v>
      </c>
      <c r="D1829">
        <v>20.28</v>
      </c>
      <c r="E1829" s="1">
        <v>44244</v>
      </c>
      <c r="F1829">
        <v>55.97</v>
      </c>
      <c r="G1829" s="1">
        <v>44291</v>
      </c>
      <c r="H1829">
        <v>42</v>
      </c>
      <c r="I1829" s="1">
        <v>44291</v>
      </c>
      <c r="J1829">
        <v>17.079999999999998</v>
      </c>
      <c r="K1829" s="1">
        <v>44201</v>
      </c>
      <c r="L1829">
        <v>89.436000000000007</v>
      </c>
    </row>
    <row r="1830" spans="1:12" x14ac:dyDescent="0.25">
      <c r="A1830" s="1">
        <v>44295</v>
      </c>
      <c r="B1830">
        <v>16.690000000000001</v>
      </c>
      <c r="C1830" s="1">
        <v>44295</v>
      </c>
      <c r="D1830">
        <v>20.89</v>
      </c>
      <c r="E1830" s="1">
        <v>44245</v>
      </c>
      <c r="F1830">
        <v>56.12</v>
      </c>
      <c r="G1830" s="1">
        <v>44292</v>
      </c>
      <c r="H1830">
        <v>42.41</v>
      </c>
      <c r="I1830" s="1">
        <v>44292</v>
      </c>
      <c r="J1830">
        <v>16.760000000000002</v>
      </c>
      <c r="K1830" s="1">
        <v>44202</v>
      </c>
      <c r="L1830">
        <v>89.53</v>
      </c>
    </row>
    <row r="1831" spans="1:12" x14ac:dyDescent="0.25">
      <c r="A1831" s="1">
        <v>44298</v>
      </c>
      <c r="B1831">
        <v>16.91</v>
      </c>
      <c r="C1831" s="1">
        <v>44298</v>
      </c>
      <c r="D1831">
        <v>20.23</v>
      </c>
      <c r="E1831" s="1">
        <v>44246</v>
      </c>
      <c r="F1831">
        <v>60.43</v>
      </c>
      <c r="G1831" s="1">
        <v>44293</v>
      </c>
      <c r="H1831">
        <v>41.27</v>
      </c>
      <c r="I1831" s="1">
        <v>44293</v>
      </c>
      <c r="J1831">
        <v>16.11</v>
      </c>
      <c r="K1831" s="1">
        <v>44203</v>
      </c>
      <c r="L1831">
        <v>89.825999999999993</v>
      </c>
    </row>
    <row r="1832" spans="1:12" x14ac:dyDescent="0.25">
      <c r="A1832" s="1">
        <v>44299</v>
      </c>
      <c r="B1832">
        <v>16.649999999999999</v>
      </c>
      <c r="C1832" s="1">
        <v>44299</v>
      </c>
      <c r="D1832">
        <v>20.52</v>
      </c>
      <c r="E1832" s="1">
        <v>44249</v>
      </c>
      <c r="F1832">
        <v>62.42</v>
      </c>
      <c r="G1832" s="1">
        <v>44294</v>
      </c>
      <c r="H1832">
        <v>40.700000000000003</v>
      </c>
      <c r="I1832" s="1">
        <v>44294</v>
      </c>
      <c r="J1832">
        <v>15.72</v>
      </c>
      <c r="K1832" s="1">
        <v>44204</v>
      </c>
      <c r="L1832">
        <v>90.097999999999999</v>
      </c>
    </row>
    <row r="1833" spans="1:12" x14ac:dyDescent="0.25">
      <c r="A1833" s="1">
        <v>44300</v>
      </c>
      <c r="B1833">
        <v>16.989999999999998</v>
      </c>
      <c r="C1833" s="1">
        <v>44300</v>
      </c>
      <c r="D1833">
        <v>19.53</v>
      </c>
      <c r="E1833" s="1">
        <v>44250</v>
      </c>
      <c r="F1833">
        <v>61.73</v>
      </c>
      <c r="G1833" s="1">
        <v>44295</v>
      </c>
      <c r="H1833">
        <v>39.19</v>
      </c>
      <c r="I1833" s="1">
        <v>44295</v>
      </c>
      <c r="J1833">
        <v>15.3</v>
      </c>
      <c r="K1833" s="1">
        <v>44207</v>
      </c>
      <c r="L1833">
        <v>90.465000000000003</v>
      </c>
    </row>
    <row r="1834" spans="1:12" x14ac:dyDescent="0.25">
      <c r="A1834" s="1">
        <v>44301</v>
      </c>
      <c r="B1834">
        <v>16.57</v>
      </c>
      <c r="C1834" s="1">
        <v>44301</v>
      </c>
      <c r="D1834">
        <v>19.12</v>
      </c>
      <c r="E1834" s="1">
        <v>44251</v>
      </c>
      <c r="F1834">
        <v>61.92</v>
      </c>
      <c r="G1834" s="1">
        <v>44298</v>
      </c>
      <c r="H1834">
        <v>37.04</v>
      </c>
      <c r="I1834" s="1">
        <v>44298</v>
      </c>
      <c r="J1834">
        <v>14.88</v>
      </c>
      <c r="K1834" s="1">
        <v>44208</v>
      </c>
      <c r="L1834">
        <v>90.093000000000004</v>
      </c>
    </row>
    <row r="1835" spans="1:12" x14ac:dyDescent="0.25">
      <c r="A1835" s="1">
        <v>44302</v>
      </c>
      <c r="B1835">
        <v>16.25</v>
      </c>
      <c r="C1835" s="1">
        <v>44302</v>
      </c>
      <c r="D1835">
        <v>17.89</v>
      </c>
      <c r="E1835" s="1">
        <v>44252</v>
      </c>
      <c r="F1835">
        <v>74.16</v>
      </c>
      <c r="G1835" s="1">
        <v>44299</v>
      </c>
      <c r="H1835">
        <v>35.200000000000003</v>
      </c>
      <c r="I1835" s="1">
        <v>44299</v>
      </c>
      <c r="J1835">
        <v>14.26</v>
      </c>
      <c r="K1835" s="1">
        <v>44209</v>
      </c>
      <c r="L1835">
        <v>90.355000000000004</v>
      </c>
    </row>
    <row r="1836" spans="1:12" x14ac:dyDescent="0.25">
      <c r="A1836" s="1">
        <v>44305</v>
      </c>
      <c r="B1836">
        <v>17.29</v>
      </c>
      <c r="C1836" s="1">
        <v>44305</v>
      </c>
      <c r="D1836">
        <v>19.68</v>
      </c>
      <c r="E1836" s="1">
        <v>44253</v>
      </c>
      <c r="F1836">
        <v>75.66</v>
      </c>
      <c r="G1836" s="1">
        <v>44300</v>
      </c>
      <c r="H1836">
        <v>35.700000000000003</v>
      </c>
      <c r="I1836" s="1">
        <v>44300</v>
      </c>
      <c r="J1836">
        <v>14.69</v>
      </c>
      <c r="K1836" s="1">
        <v>44210</v>
      </c>
      <c r="L1836">
        <v>90.239000000000004</v>
      </c>
    </row>
    <row r="1837" spans="1:12" x14ac:dyDescent="0.25">
      <c r="A1837" s="1">
        <v>44306</v>
      </c>
      <c r="B1837">
        <v>18.68</v>
      </c>
      <c r="C1837" s="1">
        <v>44306</v>
      </c>
      <c r="D1837">
        <v>20.82</v>
      </c>
      <c r="E1837" s="1">
        <v>44256</v>
      </c>
      <c r="F1837">
        <v>68.73</v>
      </c>
      <c r="G1837" s="1">
        <v>44301</v>
      </c>
      <c r="H1837">
        <v>34.200000000000003</v>
      </c>
      <c r="I1837" s="1">
        <v>44301</v>
      </c>
      <c r="J1837">
        <v>15.36</v>
      </c>
      <c r="K1837" s="1">
        <v>44211</v>
      </c>
      <c r="L1837">
        <v>90.772000000000006</v>
      </c>
    </row>
    <row r="1838" spans="1:12" x14ac:dyDescent="0.25">
      <c r="A1838" s="1">
        <v>44307</v>
      </c>
      <c r="B1838">
        <v>17.5</v>
      </c>
      <c r="C1838" s="1">
        <v>44307</v>
      </c>
      <c r="D1838">
        <v>20.16</v>
      </c>
      <c r="E1838" s="1">
        <v>44257</v>
      </c>
      <c r="F1838">
        <v>57.7</v>
      </c>
      <c r="G1838" s="1">
        <v>44302</v>
      </c>
      <c r="H1838">
        <v>32.79</v>
      </c>
      <c r="I1838" s="1">
        <v>44302</v>
      </c>
      <c r="J1838">
        <v>15.32</v>
      </c>
      <c r="K1838" s="1">
        <v>44214</v>
      </c>
      <c r="L1838">
        <v>90.765000000000001</v>
      </c>
    </row>
    <row r="1839" spans="1:12" x14ac:dyDescent="0.25">
      <c r="A1839" s="1">
        <v>44308</v>
      </c>
      <c r="B1839">
        <v>18.71</v>
      </c>
      <c r="C1839" s="1">
        <v>44308</v>
      </c>
      <c r="D1839">
        <v>53.51</v>
      </c>
      <c r="E1839" s="1">
        <v>44258</v>
      </c>
      <c r="F1839">
        <v>65.83</v>
      </c>
      <c r="G1839" s="1">
        <v>44305</v>
      </c>
      <c r="H1839">
        <v>35.07</v>
      </c>
      <c r="I1839" s="1">
        <v>44305</v>
      </c>
      <c r="J1839">
        <v>16.010000000000002</v>
      </c>
      <c r="K1839" s="1">
        <v>44215</v>
      </c>
      <c r="L1839">
        <v>90.498000000000005</v>
      </c>
    </row>
    <row r="1840" spans="1:12" x14ac:dyDescent="0.25">
      <c r="A1840" s="1">
        <v>44309</v>
      </c>
      <c r="B1840">
        <v>17.329999999999998</v>
      </c>
      <c r="C1840" s="1">
        <v>44309</v>
      </c>
      <c r="D1840">
        <v>19.420000000000002</v>
      </c>
      <c r="E1840" s="1">
        <v>44259</v>
      </c>
      <c r="F1840">
        <v>68.13</v>
      </c>
      <c r="G1840" s="1">
        <v>44306</v>
      </c>
      <c r="H1840">
        <v>35.68</v>
      </c>
      <c r="I1840" s="1">
        <v>44306</v>
      </c>
      <c r="J1840">
        <v>15.59</v>
      </c>
      <c r="K1840" s="1">
        <v>44216</v>
      </c>
      <c r="L1840">
        <v>90.474999999999994</v>
      </c>
    </row>
    <row r="1841" spans="1:12" x14ac:dyDescent="0.25">
      <c r="A1841" s="1">
        <v>44312</v>
      </c>
      <c r="B1841">
        <v>17.64</v>
      </c>
      <c r="C1841" s="1">
        <v>44312</v>
      </c>
      <c r="D1841">
        <v>20.75</v>
      </c>
      <c r="E1841" s="1">
        <v>44260</v>
      </c>
      <c r="F1841">
        <v>69.37</v>
      </c>
      <c r="G1841" s="1">
        <v>44307</v>
      </c>
      <c r="H1841">
        <v>42.44</v>
      </c>
      <c r="I1841" s="1">
        <v>44307</v>
      </c>
      <c r="J1841">
        <v>16.41</v>
      </c>
      <c r="K1841" s="1">
        <v>44217</v>
      </c>
      <c r="L1841">
        <v>90.131</v>
      </c>
    </row>
    <row r="1842" spans="1:12" x14ac:dyDescent="0.25">
      <c r="A1842" s="1">
        <v>44313</v>
      </c>
      <c r="B1842">
        <v>17.559999999999999</v>
      </c>
      <c r="C1842" s="1">
        <v>44313</v>
      </c>
      <c r="D1842">
        <v>19.77</v>
      </c>
      <c r="E1842" s="1">
        <v>44263</v>
      </c>
      <c r="F1842">
        <v>71.650000000000006</v>
      </c>
      <c r="G1842" s="1">
        <v>44308</v>
      </c>
      <c r="H1842">
        <v>39.39</v>
      </c>
      <c r="I1842" s="1">
        <v>44308</v>
      </c>
      <c r="J1842">
        <v>16.05</v>
      </c>
      <c r="K1842" s="1">
        <v>44218</v>
      </c>
      <c r="L1842">
        <v>90.238</v>
      </c>
    </row>
    <row r="1843" spans="1:12" x14ac:dyDescent="0.25">
      <c r="A1843" s="1">
        <v>44314</v>
      </c>
      <c r="B1843">
        <v>17.28</v>
      </c>
      <c r="C1843" s="1">
        <v>44314</v>
      </c>
      <c r="D1843">
        <v>19.27</v>
      </c>
      <c r="E1843" s="1">
        <v>44264</v>
      </c>
      <c r="F1843">
        <v>67.44</v>
      </c>
      <c r="G1843" s="1">
        <v>44309</v>
      </c>
      <c r="H1843">
        <v>38.700000000000003</v>
      </c>
      <c r="I1843" s="1">
        <v>44309</v>
      </c>
      <c r="J1843">
        <v>15.74</v>
      </c>
      <c r="K1843" s="1">
        <v>44221</v>
      </c>
      <c r="L1843">
        <v>90.391000000000005</v>
      </c>
    </row>
    <row r="1844" spans="1:12" x14ac:dyDescent="0.25">
      <c r="A1844" s="1">
        <v>44315</v>
      </c>
      <c r="B1844">
        <v>17.61</v>
      </c>
      <c r="C1844" s="1">
        <v>44315</v>
      </c>
      <c r="D1844">
        <v>19.59</v>
      </c>
      <c r="E1844" s="1">
        <v>44265</v>
      </c>
      <c r="F1844">
        <v>63.19</v>
      </c>
      <c r="G1844" s="1">
        <v>44312</v>
      </c>
      <c r="H1844">
        <v>41.23</v>
      </c>
      <c r="I1844" s="1">
        <v>44312</v>
      </c>
      <c r="J1844">
        <v>15.51</v>
      </c>
      <c r="K1844" s="1">
        <v>44222</v>
      </c>
      <c r="L1844">
        <v>90.17</v>
      </c>
    </row>
    <row r="1845" spans="1:12" x14ac:dyDescent="0.25">
      <c r="A1845" s="1">
        <v>44316</v>
      </c>
      <c r="B1845">
        <v>18.61</v>
      </c>
      <c r="C1845" s="1">
        <v>44316</v>
      </c>
      <c r="D1845">
        <v>20.62</v>
      </c>
      <c r="E1845" s="1">
        <v>44266</v>
      </c>
      <c r="F1845">
        <v>63.9</v>
      </c>
      <c r="G1845" s="1">
        <v>44313</v>
      </c>
      <c r="H1845">
        <v>38.44</v>
      </c>
      <c r="I1845" s="1">
        <v>44313</v>
      </c>
      <c r="J1845">
        <v>14.77</v>
      </c>
      <c r="K1845" s="1">
        <v>44223</v>
      </c>
      <c r="L1845">
        <v>90.647000000000006</v>
      </c>
    </row>
    <row r="1846" spans="1:12" x14ac:dyDescent="0.25">
      <c r="A1846" s="1">
        <v>44319</v>
      </c>
      <c r="B1846">
        <v>18.309999999999999</v>
      </c>
      <c r="C1846" s="1">
        <v>44319</v>
      </c>
      <c r="D1846">
        <v>21.39</v>
      </c>
      <c r="E1846" s="1">
        <v>44267</v>
      </c>
      <c r="F1846">
        <v>70.83</v>
      </c>
      <c r="G1846" s="1">
        <v>44314</v>
      </c>
      <c r="H1846">
        <v>36.42</v>
      </c>
      <c r="I1846" s="1">
        <v>44314</v>
      </c>
      <c r="J1846">
        <v>14.79</v>
      </c>
      <c r="K1846" s="1">
        <v>44224</v>
      </c>
      <c r="L1846">
        <v>90.454999999999998</v>
      </c>
    </row>
    <row r="1847" spans="1:12" x14ac:dyDescent="0.25">
      <c r="A1847" s="1">
        <v>44320</v>
      </c>
      <c r="B1847">
        <v>19.48</v>
      </c>
      <c r="C1847" s="1">
        <v>44320</v>
      </c>
      <c r="D1847">
        <v>23.98</v>
      </c>
      <c r="E1847" s="1">
        <v>44270</v>
      </c>
      <c r="F1847">
        <v>70.790000000000006</v>
      </c>
      <c r="G1847" s="1">
        <v>44315</v>
      </c>
      <c r="H1847">
        <v>36.369999999999997</v>
      </c>
      <c r="I1847" s="1">
        <v>44315</v>
      </c>
      <c r="J1847">
        <v>14.54</v>
      </c>
      <c r="K1847" s="1">
        <v>44225</v>
      </c>
      <c r="L1847">
        <v>90.584000000000003</v>
      </c>
    </row>
    <row r="1848" spans="1:12" x14ac:dyDescent="0.25">
      <c r="A1848" s="1">
        <v>44321</v>
      </c>
      <c r="B1848">
        <v>19.149999999999999</v>
      </c>
      <c r="C1848" s="1">
        <v>44321</v>
      </c>
      <c r="D1848">
        <v>22.13</v>
      </c>
      <c r="E1848" s="1">
        <v>44271</v>
      </c>
      <c r="F1848">
        <v>70.81</v>
      </c>
      <c r="G1848" s="1">
        <v>44316</v>
      </c>
      <c r="H1848">
        <v>38.39</v>
      </c>
      <c r="I1848" s="1">
        <v>44316</v>
      </c>
      <c r="J1848">
        <v>14.58</v>
      </c>
      <c r="K1848" s="1">
        <v>44228</v>
      </c>
      <c r="L1848">
        <v>90.98</v>
      </c>
    </row>
    <row r="1849" spans="1:12" x14ac:dyDescent="0.25">
      <c r="A1849" s="1">
        <v>44322</v>
      </c>
      <c r="B1849">
        <v>18.39</v>
      </c>
      <c r="C1849" s="1">
        <v>44322</v>
      </c>
      <c r="D1849">
        <v>21.52</v>
      </c>
      <c r="E1849" s="1">
        <v>44272</v>
      </c>
      <c r="F1849">
        <v>66.75</v>
      </c>
      <c r="G1849" s="1">
        <v>44319</v>
      </c>
      <c r="H1849">
        <v>40.15</v>
      </c>
      <c r="I1849" s="1">
        <v>44319</v>
      </c>
      <c r="J1849">
        <v>15.65</v>
      </c>
      <c r="K1849" s="1">
        <v>44229</v>
      </c>
      <c r="L1849">
        <v>91.197000000000003</v>
      </c>
    </row>
    <row r="1850" spans="1:12" x14ac:dyDescent="0.25">
      <c r="A1850" s="1">
        <v>44323</v>
      </c>
      <c r="B1850">
        <v>16.690000000000001</v>
      </c>
      <c r="C1850" s="1">
        <v>44323</v>
      </c>
      <c r="D1850">
        <v>19.61</v>
      </c>
      <c r="E1850" s="1">
        <v>44273</v>
      </c>
      <c r="F1850">
        <v>70.48</v>
      </c>
      <c r="G1850" s="1">
        <v>44320</v>
      </c>
      <c r="H1850">
        <v>37.15</v>
      </c>
      <c r="I1850" s="1">
        <v>44320</v>
      </c>
      <c r="J1850">
        <v>15.91</v>
      </c>
      <c r="K1850" s="1">
        <v>44230</v>
      </c>
      <c r="L1850">
        <v>91.171000000000006</v>
      </c>
    </row>
    <row r="1851" spans="1:12" x14ac:dyDescent="0.25">
      <c r="A1851" s="1">
        <v>44326</v>
      </c>
      <c r="B1851">
        <v>19.66</v>
      </c>
      <c r="C1851" s="1">
        <v>44326</v>
      </c>
      <c r="D1851">
        <v>22.21</v>
      </c>
      <c r="E1851" s="1">
        <v>44274</v>
      </c>
      <c r="F1851">
        <v>68.8</v>
      </c>
      <c r="G1851" s="1">
        <v>44321</v>
      </c>
      <c r="H1851">
        <v>38.33</v>
      </c>
      <c r="I1851" s="1">
        <v>44321</v>
      </c>
      <c r="J1851">
        <v>15.7</v>
      </c>
      <c r="K1851" s="1">
        <v>44231</v>
      </c>
      <c r="L1851">
        <v>91.528999999999996</v>
      </c>
    </row>
    <row r="1852" spans="1:12" x14ac:dyDescent="0.25">
      <c r="A1852" s="1">
        <v>44327</v>
      </c>
      <c r="B1852">
        <v>21.84</v>
      </c>
      <c r="C1852" s="1">
        <v>44327</v>
      </c>
      <c r="D1852">
        <v>24.37</v>
      </c>
      <c r="E1852" s="1">
        <v>44277</v>
      </c>
      <c r="F1852">
        <v>67.62</v>
      </c>
      <c r="G1852" s="1">
        <v>44322</v>
      </c>
      <c r="H1852">
        <v>37.74</v>
      </c>
      <c r="I1852" s="1">
        <v>44322</v>
      </c>
      <c r="J1852">
        <v>16.57</v>
      </c>
      <c r="K1852" s="1">
        <v>44232</v>
      </c>
      <c r="L1852">
        <v>91.042000000000002</v>
      </c>
    </row>
    <row r="1853" spans="1:12" x14ac:dyDescent="0.25">
      <c r="A1853" s="1">
        <v>44328</v>
      </c>
      <c r="B1853">
        <v>27.59</v>
      </c>
      <c r="C1853" s="1">
        <v>44328</v>
      </c>
      <c r="D1853">
        <v>27</v>
      </c>
      <c r="E1853" s="1">
        <v>44278</v>
      </c>
      <c r="F1853">
        <v>60.77</v>
      </c>
      <c r="G1853" s="1">
        <v>44323</v>
      </c>
      <c r="H1853">
        <v>37.630000000000003</v>
      </c>
      <c r="I1853" s="1">
        <v>44323</v>
      </c>
      <c r="J1853">
        <v>16.46</v>
      </c>
      <c r="K1853" s="1">
        <v>44235</v>
      </c>
      <c r="L1853">
        <v>90.933999999999997</v>
      </c>
    </row>
    <row r="1854" spans="1:12" x14ac:dyDescent="0.25">
      <c r="A1854" s="1">
        <v>44329</v>
      </c>
      <c r="B1854">
        <v>23.13</v>
      </c>
      <c r="C1854" s="1">
        <v>44329</v>
      </c>
      <c r="D1854">
        <v>25.5</v>
      </c>
      <c r="E1854" s="1">
        <v>44279</v>
      </c>
      <c r="F1854">
        <v>60.71</v>
      </c>
      <c r="G1854" s="1">
        <v>44326</v>
      </c>
      <c r="H1854">
        <v>37.99</v>
      </c>
      <c r="I1854" s="1">
        <v>44326</v>
      </c>
      <c r="J1854">
        <v>17.190000000000001</v>
      </c>
      <c r="K1854" s="1">
        <v>44236</v>
      </c>
      <c r="L1854">
        <v>90.438999999999993</v>
      </c>
    </row>
    <row r="1855" spans="1:12" x14ac:dyDescent="0.25">
      <c r="A1855" s="1">
        <v>44330</v>
      </c>
      <c r="B1855">
        <v>18.809999999999999</v>
      </c>
      <c r="C1855" s="1">
        <v>44330</v>
      </c>
      <c r="D1855">
        <v>21.9</v>
      </c>
      <c r="E1855" s="1">
        <v>44280</v>
      </c>
      <c r="F1855">
        <v>59.54</v>
      </c>
      <c r="G1855" s="1">
        <v>44327</v>
      </c>
      <c r="H1855">
        <v>37.93</v>
      </c>
      <c r="I1855" s="1">
        <v>44327</v>
      </c>
      <c r="J1855">
        <v>17.170000000000002</v>
      </c>
      <c r="K1855" s="1">
        <v>44237</v>
      </c>
      <c r="L1855">
        <v>90.370999999999995</v>
      </c>
    </row>
    <row r="1856" spans="1:12" x14ac:dyDescent="0.25">
      <c r="A1856" s="1">
        <v>44333</v>
      </c>
      <c r="B1856">
        <v>19.72</v>
      </c>
      <c r="C1856" s="1">
        <v>44333</v>
      </c>
      <c r="D1856">
        <v>22.48</v>
      </c>
      <c r="E1856" s="1">
        <v>44281</v>
      </c>
      <c r="F1856">
        <v>61.49</v>
      </c>
      <c r="G1856" s="1">
        <v>44328</v>
      </c>
      <c r="H1856">
        <v>36.94</v>
      </c>
      <c r="I1856" s="1">
        <v>44328</v>
      </c>
      <c r="J1856">
        <v>17.559999999999999</v>
      </c>
      <c r="K1856" s="1">
        <v>44238</v>
      </c>
      <c r="L1856">
        <v>90.417000000000002</v>
      </c>
    </row>
    <row r="1857" spans="1:12" x14ac:dyDescent="0.25">
      <c r="A1857" s="1">
        <v>44334</v>
      </c>
      <c r="B1857">
        <v>21.34</v>
      </c>
      <c r="C1857" s="1">
        <v>44334</v>
      </c>
      <c r="D1857">
        <v>24.64</v>
      </c>
      <c r="E1857" s="1">
        <v>44284</v>
      </c>
      <c r="F1857">
        <v>65.959999999999994</v>
      </c>
      <c r="G1857" s="1">
        <v>44329</v>
      </c>
      <c r="H1857">
        <v>37.94</v>
      </c>
      <c r="I1857" s="1">
        <v>44329</v>
      </c>
      <c r="J1857">
        <v>17.100000000000001</v>
      </c>
      <c r="K1857" s="1">
        <v>44239</v>
      </c>
      <c r="L1857">
        <v>90.48</v>
      </c>
    </row>
    <row r="1858" spans="1:12" x14ac:dyDescent="0.25">
      <c r="A1858" s="1">
        <v>44335</v>
      </c>
      <c r="B1858">
        <v>22.18</v>
      </c>
      <c r="C1858" s="1">
        <v>44335</v>
      </c>
      <c r="D1858">
        <v>23.95</v>
      </c>
      <c r="E1858" s="1">
        <v>44285</v>
      </c>
      <c r="F1858">
        <v>67.44</v>
      </c>
      <c r="G1858" s="1">
        <v>44330</v>
      </c>
      <c r="H1858">
        <v>36.46</v>
      </c>
      <c r="I1858" s="1">
        <v>44330</v>
      </c>
      <c r="J1858">
        <v>16.75</v>
      </c>
      <c r="K1858" s="1">
        <v>44242</v>
      </c>
      <c r="L1858">
        <v>90.48</v>
      </c>
    </row>
    <row r="1859" spans="1:12" x14ac:dyDescent="0.25">
      <c r="A1859" s="1">
        <v>44336</v>
      </c>
      <c r="B1859">
        <v>20.67</v>
      </c>
      <c r="C1859" s="1">
        <v>44336</v>
      </c>
      <c r="D1859">
        <v>22.72</v>
      </c>
      <c r="E1859" s="1">
        <v>44286</v>
      </c>
      <c r="F1859">
        <v>71.27</v>
      </c>
      <c r="G1859" s="1">
        <v>44333</v>
      </c>
      <c r="H1859">
        <v>36.42</v>
      </c>
      <c r="I1859" s="1">
        <v>44333</v>
      </c>
      <c r="J1859">
        <v>17.62</v>
      </c>
      <c r="K1859" s="1">
        <v>44243</v>
      </c>
      <c r="L1859">
        <v>90.509</v>
      </c>
    </row>
    <row r="1860" spans="1:12" x14ac:dyDescent="0.25">
      <c r="A1860" s="1">
        <v>44337</v>
      </c>
      <c r="B1860">
        <v>20.149999999999999</v>
      </c>
      <c r="C1860" s="1">
        <v>44337</v>
      </c>
      <c r="D1860">
        <v>21.98</v>
      </c>
      <c r="E1860" s="1">
        <v>44287</v>
      </c>
      <c r="F1860">
        <v>64.989999999999995</v>
      </c>
      <c r="G1860" s="1">
        <v>44334</v>
      </c>
      <c r="H1860">
        <v>37.01</v>
      </c>
      <c r="I1860" s="1">
        <v>44334</v>
      </c>
      <c r="J1860">
        <v>17</v>
      </c>
      <c r="K1860" s="1">
        <v>44244</v>
      </c>
      <c r="L1860">
        <v>90.950999999999993</v>
      </c>
    </row>
    <row r="1861" spans="1:12" x14ac:dyDescent="0.25">
      <c r="A1861" s="1">
        <v>44340</v>
      </c>
      <c r="B1861">
        <v>18.399999999999999</v>
      </c>
      <c r="C1861" s="1">
        <v>44340</v>
      </c>
      <c r="D1861">
        <v>20.260000000000002</v>
      </c>
      <c r="E1861" s="1">
        <v>44288</v>
      </c>
      <c r="F1861">
        <v>63.71</v>
      </c>
      <c r="G1861" s="1">
        <v>44335</v>
      </c>
      <c r="H1861">
        <v>38.82</v>
      </c>
      <c r="I1861" s="1">
        <v>44335</v>
      </c>
      <c r="J1861">
        <v>17.79</v>
      </c>
      <c r="K1861" s="1">
        <v>44245</v>
      </c>
      <c r="L1861">
        <v>90.591999999999999</v>
      </c>
    </row>
    <row r="1862" spans="1:12" x14ac:dyDescent="0.25">
      <c r="A1862" s="1">
        <v>44341</v>
      </c>
      <c r="B1862">
        <v>18.84</v>
      </c>
      <c r="C1862" s="1">
        <v>44341</v>
      </c>
      <c r="D1862">
        <v>20.32</v>
      </c>
      <c r="E1862" s="1">
        <v>44291</v>
      </c>
      <c r="F1862">
        <v>61.79</v>
      </c>
      <c r="G1862" s="1">
        <v>44336</v>
      </c>
      <c r="H1862">
        <v>39.43</v>
      </c>
      <c r="I1862" s="1">
        <v>44336</v>
      </c>
      <c r="J1862">
        <v>17.29</v>
      </c>
      <c r="K1862" s="1">
        <v>44246</v>
      </c>
      <c r="L1862">
        <v>90.364000000000004</v>
      </c>
    </row>
    <row r="1863" spans="1:12" x14ac:dyDescent="0.25">
      <c r="A1863" s="1">
        <v>44342</v>
      </c>
      <c r="B1863">
        <v>17.36</v>
      </c>
      <c r="C1863" s="1">
        <v>44342</v>
      </c>
      <c r="D1863">
        <v>19.71</v>
      </c>
      <c r="E1863" s="1">
        <v>44292</v>
      </c>
      <c r="F1863">
        <v>60.29</v>
      </c>
      <c r="G1863" s="1">
        <v>44337</v>
      </c>
      <c r="H1863">
        <v>39.340000000000003</v>
      </c>
      <c r="I1863" s="1">
        <v>44337</v>
      </c>
      <c r="J1863">
        <v>16.47</v>
      </c>
      <c r="K1863" s="1">
        <v>44249</v>
      </c>
      <c r="L1863">
        <v>90.01</v>
      </c>
    </row>
    <row r="1864" spans="1:12" x14ac:dyDescent="0.25">
      <c r="A1864" s="1">
        <v>44343</v>
      </c>
      <c r="B1864">
        <v>16.739999999999998</v>
      </c>
      <c r="C1864" s="1">
        <v>44343</v>
      </c>
      <c r="D1864">
        <v>19.04</v>
      </c>
      <c r="E1864" s="1">
        <v>44293</v>
      </c>
      <c r="F1864">
        <v>62.54</v>
      </c>
      <c r="G1864" s="1">
        <v>44340</v>
      </c>
      <c r="H1864">
        <v>35.54</v>
      </c>
      <c r="I1864" s="1">
        <v>44340</v>
      </c>
      <c r="J1864">
        <v>16.91</v>
      </c>
      <c r="K1864" s="1">
        <v>44250</v>
      </c>
      <c r="L1864">
        <v>90.168999999999997</v>
      </c>
    </row>
    <row r="1865" spans="1:12" x14ac:dyDescent="0.25">
      <c r="A1865" s="1">
        <v>44344</v>
      </c>
      <c r="B1865">
        <v>16.760000000000002</v>
      </c>
      <c r="C1865" s="1">
        <v>44344</v>
      </c>
      <c r="D1865">
        <v>18.600000000000001</v>
      </c>
      <c r="E1865" s="1">
        <v>44294</v>
      </c>
      <c r="F1865">
        <v>60.08</v>
      </c>
      <c r="G1865" s="1">
        <v>44341</v>
      </c>
      <c r="H1865">
        <v>36.229999999999997</v>
      </c>
      <c r="I1865" s="1">
        <v>44341</v>
      </c>
      <c r="J1865">
        <v>17.09</v>
      </c>
      <c r="K1865" s="1">
        <v>44251</v>
      </c>
      <c r="L1865">
        <v>90.176000000000002</v>
      </c>
    </row>
    <row r="1866" spans="1:12" x14ac:dyDescent="0.25">
      <c r="A1866" s="1">
        <v>44348</v>
      </c>
      <c r="B1866">
        <v>17.899999999999999</v>
      </c>
      <c r="C1866" s="1">
        <v>44348</v>
      </c>
      <c r="D1866">
        <v>19.37</v>
      </c>
      <c r="E1866" s="1">
        <v>44295</v>
      </c>
      <c r="F1866">
        <v>61.21</v>
      </c>
      <c r="G1866" s="1">
        <v>44342</v>
      </c>
      <c r="H1866">
        <v>33.89</v>
      </c>
      <c r="I1866" s="1">
        <v>44342</v>
      </c>
      <c r="J1866">
        <v>16.809999999999999</v>
      </c>
      <c r="K1866" s="1">
        <v>44252</v>
      </c>
      <c r="L1866">
        <v>90.134</v>
      </c>
    </row>
    <row r="1867" spans="1:12" x14ac:dyDescent="0.25">
      <c r="A1867" s="1">
        <v>44349</v>
      </c>
      <c r="B1867">
        <v>17.48</v>
      </c>
      <c r="C1867" s="1">
        <v>44349</v>
      </c>
      <c r="D1867">
        <v>19.75</v>
      </c>
      <c r="E1867" s="1">
        <v>44298</v>
      </c>
      <c r="F1867">
        <v>63.5</v>
      </c>
      <c r="G1867" s="1">
        <v>44343</v>
      </c>
      <c r="H1867">
        <v>33.630000000000003</v>
      </c>
      <c r="I1867" s="1">
        <v>44343</v>
      </c>
      <c r="J1867">
        <v>16.149999999999999</v>
      </c>
      <c r="K1867" s="1">
        <v>44253</v>
      </c>
      <c r="L1867">
        <v>90.879000000000005</v>
      </c>
    </row>
    <row r="1868" spans="1:12" x14ac:dyDescent="0.25">
      <c r="A1868" s="1">
        <v>44350</v>
      </c>
      <c r="B1868">
        <v>18.04</v>
      </c>
      <c r="C1868" s="1">
        <v>44350</v>
      </c>
      <c r="D1868">
        <v>20.37</v>
      </c>
      <c r="E1868" s="1">
        <v>44299</v>
      </c>
      <c r="F1868">
        <v>61.2</v>
      </c>
      <c r="G1868" s="1">
        <v>44344</v>
      </c>
      <c r="H1868">
        <v>33.54</v>
      </c>
      <c r="I1868" s="1">
        <v>44344</v>
      </c>
      <c r="J1868">
        <v>16.079999999999998</v>
      </c>
      <c r="K1868" s="1">
        <v>44256</v>
      </c>
      <c r="L1868">
        <v>91.039000000000001</v>
      </c>
    </row>
    <row r="1869" spans="1:12" x14ac:dyDescent="0.25">
      <c r="A1869" s="1">
        <v>44351</v>
      </c>
      <c r="B1869">
        <v>16.420000000000002</v>
      </c>
      <c r="C1869" s="1">
        <v>44351</v>
      </c>
      <c r="D1869">
        <v>19.239999999999998</v>
      </c>
      <c r="E1869" s="1">
        <v>44300</v>
      </c>
      <c r="F1869">
        <v>60.08</v>
      </c>
      <c r="G1869" s="1">
        <v>44348</v>
      </c>
      <c r="H1869">
        <v>33.43</v>
      </c>
      <c r="I1869" s="1">
        <v>44348</v>
      </c>
      <c r="J1869">
        <v>16.09</v>
      </c>
      <c r="K1869" s="1">
        <v>44257</v>
      </c>
      <c r="L1869">
        <v>90.784999999999997</v>
      </c>
    </row>
    <row r="1870" spans="1:12" x14ac:dyDescent="0.25">
      <c r="A1870" s="1">
        <v>44354</v>
      </c>
      <c r="B1870">
        <v>16.420000000000002</v>
      </c>
      <c r="C1870" s="1">
        <v>44354</v>
      </c>
      <c r="D1870">
        <v>19.899999999999999</v>
      </c>
      <c r="E1870" s="1">
        <v>44301</v>
      </c>
      <c r="F1870">
        <v>59.05</v>
      </c>
      <c r="G1870" s="1">
        <v>44349</v>
      </c>
      <c r="H1870">
        <v>32.770000000000003</v>
      </c>
      <c r="I1870" s="1">
        <v>44349</v>
      </c>
      <c r="J1870">
        <v>15.65</v>
      </c>
      <c r="K1870" s="1">
        <v>44258</v>
      </c>
      <c r="L1870">
        <v>90.947000000000003</v>
      </c>
    </row>
    <row r="1871" spans="1:12" x14ac:dyDescent="0.25">
      <c r="A1871" s="1">
        <v>44355</v>
      </c>
      <c r="B1871">
        <v>17.07</v>
      </c>
      <c r="C1871" s="1">
        <v>44355</v>
      </c>
      <c r="D1871">
        <v>19.57</v>
      </c>
      <c r="E1871" s="1">
        <v>44302</v>
      </c>
      <c r="F1871">
        <v>62.57</v>
      </c>
      <c r="G1871" s="1">
        <v>44350</v>
      </c>
      <c r="H1871">
        <v>33.89</v>
      </c>
      <c r="I1871" s="1">
        <v>44350</v>
      </c>
      <c r="J1871">
        <v>15.95</v>
      </c>
      <c r="K1871" s="1">
        <v>44259</v>
      </c>
      <c r="L1871">
        <v>91.631</v>
      </c>
    </row>
    <row r="1872" spans="1:12" x14ac:dyDescent="0.25">
      <c r="A1872" s="1">
        <v>44356</v>
      </c>
      <c r="B1872">
        <v>17.89</v>
      </c>
      <c r="C1872" s="1">
        <v>44356</v>
      </c>
      <c r="D1872">
        <v>19.8</v>
      </c>
      <c r="E1872" s="1">
        <v>44305</v>
      </c>
      <c r="F1872">
        <v>63.96</v>
      </c>
      <c r="G1872" s="1">
        <v>44351</v>
      </c>
      <c r="H1872">
        <v>31.76</v>
      </c>
      <c r="I1872" s="1">
        <v>44351</v>
      </c>
      <c r="J1872">
        <v>15.83</v>
      </c>
      <c r="K1872" s="1">
        <v>44260</v>
      </c>
      <c r="L1872">
        <v>91.977000000000004</v>
      </c>
    </row>
    <row r="1873" spans="1:12" x14ac:dyDescent="0.25">
      <c r="A1873" s="1">
        <v>44357</v>
      </c>
      <c r="B1873">
        <v>16.100000000000001</v>
      </c>
      <c r="C1873" s="1">
        <v>44357</v>
      </c>
      <c r="D1873">
        <v>18.38</v>
      </c>
      <c r="E1873" s="1">
        <v>44306</v>
      </c>
      <c r="F1873">
        <v>64.349999999999994</v>
      </c>
      <c r="G1873" s="1">
        <v>44354</v>
      </c>
      <c r="H1873">
        <v>31.7</v>
      </c>
      <c r="I1873" s="1">
        <v>44354</v>
      </c>
      <c r="J1873">
        <v>15.57</v>
      </c>
      <c r="K1873" s="1">
        <v>44263</v>
      </c>
      <c r="L1873">
        <v>92.313000000000002</v>
      </c>
    </row>
    <row r="1874" spans="1:12" x14ac:dyDescent="0.25">
      <c r="A1874" s="1">
        <v>44358</v>
      </c>
      <c r="B1874">
        <v>15.65</v>
      </c>
      <c r="C1874" s="1">
        <v>44358</v>
      </c>
      <c r="D1874">
        <v>17.88</v>
      </c>
      <c r="E1874" s="1">
        <v>44307</v>
      </c>
      <c r="F1874">
        <v>62.27</v>
      </c>
      <c r="G1874" s="1">
        <v>44355</v>
      </c>
      <c r="H1874">
        <v>31.95</v>
      </c>
      <c r="I1874" s="1">
        <v>44355</v>
      </c>
      <c r="J1874">
        <v>15.59</v>
      </c>
      <c r="K1874" s="1">
        <v>44264</v>
      </c>
      <c r="L1874">
        <v>91.957999999999998</v>
      </c>
    </row>
    <row r="1875" spans="1:12" x14ac:dyDescent="0.25">
      <c r="A1875" s="1">
        <v>44361</v>
      </c>
      <c r="B1875">
        <v>16.39</v>
      </c>
      <c r="C1875" s="1">
        <v>44361</v>
      </c>
      <c r="D1875">
        <v>18.350000000000001</v>
      </c>
      <c r="E1875" s="1">
        <v>44308</v>
      </c>
      <c r="F1875">
        <v>59.62</v>
      </c>
      <c r="G1875" s="1">
        <v>44356</v>
      </c>
      <c r="H1875">
        <v>31.79</v>
      </c>
      <c r="I1875" s="1">
        <v>44356</v>
      </c>
      <c r="J1875">
        <v>15.43</v>
      </c>
      <c r="K1875" s="1">
        <v>44265</v>
      </c>
      <c r="L1875">
        <v>91.822999999999993</v>
      </c>
    </row>
    <row r="1876" spans="1:12" x14ac:dyDescent="0.25">
      <c r="A1876" s="1">
        <v>44362</v>
      </c>
      <c r="B1876">
        <v>17.02</v>
      </c>
      <c r="C1876" s="1">
        <v>44362</v>
      </c>
      <c r="D1876">
        <v>18.559999999999999</v>
      </c>
      <c r="E1876" s="1">
        <v>44309</v>
      </c>
      <c r="F1876">
        <v>59.98</v>
      </c>
      <c r="G1876" s="1">
        <v>44357</v>
      </c>
      <c r="H1876">
        <v>33.03</v>
      </c>
      <c r="I1876" s="1">
        <v>44357</v>
      </c>
      <c r="J1876">
        <v>15.5</v>
      </c>
      <c r="K1876" s="1">
        <v>44266</v>
      </c>
      <c r="L1876">
        <v>91.42</v>
      </c>
    </row>
    <row r="1877" spans="1:12" x14ac:dyDescent="0.25">
      <c r="A1877" s="1">
        <v>44363</v>
      </c>
      <c r="B1877">
        <v>18.149999999999999</v>
      </c>
      <c r="C1877" s="1">
        <v>44363</v>
      </c>
      <c r="D1877">
        <v>21.06</v>
      </c>
      <c r="E1877" s="1">
        <v>44312</v>
      </c>
      <c r="F1877">
        <v>60.98</v>
      </c>
      <c r="G1877" s="1">
        <v>44358</v>
      </c>
      <c r="H1877">
        <v>32.549999999999997</v>
      </c>
      <c r="I1877" s="1">
        <v>44358</v>
      </c>
      <c r="J1877">
        <v>15.21</v>
      </c>
      <c r="K1877" s="1">
        <v>44267</v>
      </c>
      <c r="L1877">
        <v>91.679000000000002</v>
      </c>
    </row>
    <row r="1878" spans="1:12" x14ac:dyDescent="0.25">
      <c r="A1878" s="1">
        <v>44364</v>
      </c>
      <c r="B1878">
        <v>17.75</v>
      </c>
      <c r="C1878" s="1">
        <v>44364</v>
      </c>
      <c r="D1878">
        <v>18.25</v>
      </c>
      <c r="E1878" s="1">
        <v>44313</v>
      </c>
      <c r="F1878">
        <v>60.15</v>
      </c>
      <c r="G1878" s="1">
        <v>44361</v>
      </c>
      <c r="H1878">
        <v>33.130000000000003</v>
      </c>
      <c r="I1878" s="1">
        <v>44361</v>
      </c>
      <c r="J1878">
        <v>16.13</v>
      </c>
      <c r="K1878" s="1">
        <v>44270</v>
      </c>
      <c r="L1878">
        <v>91.832999999999998</v>
      </c>
    </row>
    <row r="1879" spans="1:12" x14ac:dyDescent="0.25">
      <c r="A1879" s="1">
        <v>44365</v>
      </c>
      <c r="B1879">
        <v>20.7</v>
      </c>
      <c r="C1879" s="1">
        <v>44365</v>
      </c>
      <c r="D1879">
        <v>19.670000000000002</v>
      </c>
      <c r="E1879" s="1">
        <v>44314</v>
      </c>
      <c r="F1879">
        <v>60.31</v>
      </c>
      <c r="G1879" s="1">
        <v>44362</v>
      </c>
      <c r="H1879">
        <v>31.56</v>
      </c>
      <c r="I1879" s="1">
        <v>44362</v>
      </c>
      <c r="J1879">
        <v>16.260000000000002</v>
      </c>
      <c r="K1879" s="1">
        <v>44271</v>
      </c>
      <c r="L1879">
        <v>91.864999999999995</v>
      </c>
    </row>
    <row r="1880" spans="1:12" x14ac:dyDescent="0.25">
      <c r="A1880" s="1">
        <v>44368</v>
      </c>
      <c r="B1880">
        <v>17.89</v>
      </c>
      <c r="C1880" s="1">
        <v>44368</v>
      </c>
      <c r="D1880">
        <v>19.260000000000002</v>
      </c>
      <c r="E1880" s="1">
        <v>44315</v>
      </c>
      <c r="F1880">
        <v>59.02</v>
      </c>
      <c r="G1880" s="1">
        <v>44363</v>
      </c>
      <c r="H1880">
        <v>33.83</v>
      </c>
      <c r="I1880" s="1">
        <v>44363</v>
      </c>
      <c r="J1880">
        <v>16.3</v>
      </c>
      <c r="K1880" s="1">
        <v>44272</v>
      </c>
      <c r="L1880">
        <v>91.441999999999993</v>
      </c>
    </row>
    <row r="1881" spans="1:12" x14ac:dyDescent="0.25">
      <c r="A1881" s="1">
        <v>44369</v>
      </c>
      <c r="B1881">
        <v>16.66</v>
      </c>
      <c r="C1881" s="1">
        <v>44369</v>
      </c>
      <c r="D1881">
        <v>20.39</v>
      </c>
      <c r="E1881" s="1">
        <v>44316</v>
      </c>
      <c r="F1881">
        <v>58.13</v>
      </c>
      <c r="G1881" s="1">
        <v>44364</v>
      </c>
      <c r="H1881">
        <v>36.840000000000003</v>
      </c>
      <c r="I1881" s="1">
        <v>44364</v>
      </c>
      <c r="J1881">
        <v>17.66</v>
      </c>
      <c r="K1881" s="1">
        <v>44273</v>
      </c>
      <c r="L1881">
        <v>91.861999999999995</v>
      </c>
    </row>
    <row r="1882" spans="1:12" x14ac:dyDescent="0.25">
      <c r="A1882" s="1">
        <v>44370</v>
      </c>
      <c r="B1882">
        <v>16.32</v>
      </c>
      <c r="C1882" s="1">
        <v>44370</v>
      </c>
      <c r="D1882">
        <v>39.15</v>
      </c>
      <c r="E1882" s="1">
        <v>44319</v>
      </c>
      <c r="F1882">
        <v>57.33</v>
      </c>
      <c r="G1882" s="1">
        <v>44365</v>
      </c>
      <c r="H1882">
        <v>33.950000000000003</v>
      </c>
      <c r="I1882" s="1">
        <v>44365</v>
      </c>
      <c r="J1882">
        <v>17.899999999999999</v>
      </c>
      <c r="K1882" s="1">
        <v>44274</v>
      </c>
      <c r="L1882">
        <v>91.918999999999997</v>
      </c>
    </row>
    <row r="1883" spans="1:12" x14ac:dyDescent="0.25">
      <c r="A1883" s="1">
        <v>44371</v>
      </c>
      <c r="B1883">
        <v>15.97</v>
      </c>
      <c r="C1883" s="1">
        <v>44371</v>
      </c>
      <c r="D1883">
        <v>17.649999999999999</v>
      </c>
      <c r="E1883" s="1">
        <v>44320</v>
      </c>
      <c r="F1883">
        <v>58.51</v>
      </c>
      <c r="G1883" s="1">
        <v>44368</v>
      </c>
      <c r="H1883">
        <v>35.01</v>
      </c>
      <c r="I1883" s="1">
        <v>44368</v>
      </c>
      <c r="J1883">
        <v>16.91</v>
      </c>
      <c r="K1883" s="1">
        <v>44277</v>
      </c>
      <c r="L1883">
        <v>91.742000000000004</v>
      </c>
    </row>
    <row r="1884" spans="1:12" x14ac:dyDescent="0.25">
      <c r="A1884" s="1">
        <v>44372</v>
      </c>
      <c r="B1884">
        <v>15.62</v>
      </c>
      <c r="C1884" s="1">
        <v>44372</v>
      </c>
      <c r="D1884">
        <v>17.37</v>
      </c>
      <c r="E1884" s="1">
        <v>44321</v>
      </c>
      <c r="F1884">
        <v>56.93</v>
      </c>
      <c r="G1884" s="1">
        <v>44369</v>
      </c>
      <c r="H1884">
        <v>34.28</v>
      </c>
      <c r="I1884" s="1">
        <v>44369</v>
      </c>
      <c r="J1884">
        <v>16.66</v>
      </c>
      <c r="K1884" s="1">
        <v>44278</v>
      </c>
      <c r="L1884">
        <v>92.335999999999999</v>
      </c>
    </row>
    <row r="1885" spans="1:12" x14ac:dyDescent="0.25">
      <c r="A1885" s="1">
        <v>44375</v>
      </c>
      <c r="B1885">
        <v>15.76</v>
      </c>
      <c r="C1885" s="1">
        <v>44375</v>
      </c>
      <c r="D1885">
        <v>18.16</v>
      </c>
      <c r="E1885" s="1">
        <v>44322</v>
      </c>
      <c r="F1885">
        <v>57.75</v>
      </c>
      <c r="G1885" s="1">
        <v>44370</v>
      </c>
      <c r="H1885">
        <v>34.68</v>
      </c>
      <c r="I1885" s="1">
        <v>44370</v>
      </c>
      <c r="J1885">
        <v>16.2</v>
      </c>
      <c r="K1885" s="1">
        <v>44279</v>
      </c>
      <c r="L1885">
        <v>92.528000000000006</v>
      </c>
    </row>
    <row r="1886" spans="1:12" x14ac:dyDescent="0.25">
      <c r="A1886" s="1">
        <v>44376</v>
      </c>
      <c r="B1886">
        <v>16.02</v>
      </c>
      <c r="C1886" s="1">
        <v>44376</v>
      </c>
      <c r="D1886">
        <v>18.5</v>
      </c>
      <c r="E1886" s="1">
        <v>44323</v>
      </c>
      <c r="F1886">
        <v>54.13</v>
      </c>
      <c r="G1886" s="1">
        <v>44371</v>
      </c>
      <c r="H1886">
        <v>32.049999999999997</v>
      </c>
      <c r="I1886" s="1">
        <v>44371</v>
      </c>
      <c r="J1886">
        <v>15.7</v>
      </c>
      <c r="K1886" s="1">
        <v>44280</v>
      </c>
      <c r="L1886">
        <v>92.847999999999999</v>
      </c>
    </row>
    <row r="1887" spans="1:12" x14ac:dyDescent="0.25">
      <c r="A1887" s="1">
        <v>44377</v>
      </c>
      <c r="B1887">
        <v>15.83</v>
      </c>
      <c r="C1887" s="1">
        <v>44377</v>
      </c>
      <c r="D1887">
        <v>18.82</v>
      </c>
      <c r="E1887" s="1">
        <v>44326</v>
      </c>
      <c r="F1887">
        <v>55.48</v>
      </c>
      <c r="G1887" s="1">
        <v>44372</v>
      </c>
      <c r="H1887">
        <v>31.3</v>
      </c>
      <c r="I1887" s="1">
        <v>44372</v>
      </c>
      <c r="J1887">
        <v>15.29</v>
      </c>
      <c r="K1887" s="1">
        <v>44281</v>
      </c>
      <c r="L1887">
        <v>92.766000000000005</v>
      </c>
    </row>
    <row r="1888" spans="1:12" x14ac:dyDescent="0.25">
      <c r="A1888" s="1">
        <v>44378</v>
      </c>
      <c r="B1888">
        <v>15.48</v>
      </c>
      <c r="C1888" s="1">
        <v>44378</v>
      </c>
      <c r="D1888">
        <v>18.79</v>
      </c>
      <c r="E1888" s="1">
        <v>44327</v>
      </c>
      <c r="F1888">
        <v>58.01</v>
      </c>
      <c r="G1888" s="1">
        <v>44375</v>
      </c>
      <c r="H1888">
        <v>31.86</v>
      </c>
      <c r="I1888" s="1">
        <v>44375</v>
      </c>
      <c r="J1888">
        <v>15.36</v>
      </c>
      <c r="K1888" s="1">
        <v>44284</v>
      </c>
      <c r="L1888">
        <v>92.944000000000003</v>
      </c>
    </row>
    <row r="1889" spans="1:12" x14ac:dyDescent="0.25">
      <c r="A1889" s="1">
        <v>44379</v>
      </c>
      <c r="B1889">
        <v>15.07</v>
      </c>
      <c r="C1889" s="1">
        <v>44379</v>
      </c>
      <c r="D1889">
        <v>17.850000000000001</v>
      </c>
      <c r="E1889" s="1">
        <v>44328</v>
      </c>
      <c r="F1889">
        <v>58.47</v>
      </c>
      <c r="G1889" s="1">
        <v>44376</v>
      </c>
      <c r="H1889">
        <v>31.99</v>
      </c>
      <c r="I1889" s="1">
        <v>44376</v>
      </c>
      <c r="J1889">
        <v>16.190000000000001</v>
      </c>
      <c r="K1889" s="1">
        <v>44285</v>
      </c>
      <c r="L1889">
        <v>93.296999999999997</v>
      </c>
    </row>
    <row r="1890" spans="1:12" x14ac:dyDescent="0.25">
      <c r="A1890" s="1">
        <v>44383</v>
      </c>
      <c r="B1890">
        <v>16.440000000000001</v>
      </c>
      <c r="C1890" s="1">
        <v>44383</v>
      </c>
      <c r="D1890">
        <v>20.239999999999998</v>
      </c>
      <c r="E1890" s="1">
        <v>44329</v>
      </c>
      <c r="F1890">
        <v>56.59</v>
      </c>
      <c r="G1890" s="1">
        <v>44377</v>
      </c>
      <c r="H1890">
        <v>32.74</v>
      </c>
      <c r="I1890" s="1">
        <v>44377</v>
      </c>
      <c r="J1890">
        <v>15.97</v>
      </c>
      <c r="K1890" s="1">
        <v>44286</v>
      </c>
      <c r="L1890">
        <v>93.231999999999999</v>
      </c>
    </row>
    <row r="1891" spans="1:12" x14ac:dyDescent="0.25">
      <c r="A1891" s="1">
        <v>44384</v>
      </c>
      <c r="B1891">
        <v>16.2</v>
      </c>
      <c r="C1891" s="1">
        <v>44384</v>
      </c>
      <c r="D1891">
        <v>20.28</v>
      </c>
      <c r="E1891" s="1">
        <v>44330</v>
      </c>
      <c r="F1891">
        <v>54.99</v>
      </c>
      <c r="G1891" s="1">
        <v>44378</v>
      </c>
      <c r="H1891">
        <v>32.47</v>
      </c>
      <c r="I1891" s="1">
        <v>44378</v>
      </c>
      <c r="J1891">
        <v>15.8</v>
      </c>
      <c r="K1891" s="1">
        <v>44287</v>
      </c>
      <c r="L1891">
        <v>92.929000000000002</v>
      </c>
    </row>
    <row r="1892" spans="1:12" x14ac:dyDescent="0.25">
      <c r="A1892" s="1">
        <v>44385</v>
      </c>
      <c r="B1892">
        <v>19</v>
      </c>
      <c r="C1892" s="1">
        <v>44385</v>
      </c>
      <c r="D1892">
        <v>22.52</v>
      </c>
      <c r="E1892" s="1">
        <v>44333</v>
      </c>
      <c r="F1892">
        <v>58.59</v>
      </c>
      <c r="G1892" s="1">
        <v>44379</v>
      </c>
      <c r="H1892">
        <v>32.869999999999997</v>
      </c>
      <c r="I1892" s="1">
        <v>44379</v>
      </c>
      <c r="J1892">
        <v>15.28</v>
      </c>
      <c r="K1892" s="1">
        <v>44288</v>
      </c>
      <c r="L1892">
        <v>93.022000000000006</v>
      </c>
    </row>
    <row r="1893" spans="1:12" x14ac:dyDescent="0.25">
      <c r="A1893" s="1">
        <v>44386</v>
      </c>
      <c r="B1893">
        <v>16.18</v>
      </c>
      <c r="C1893" s="1">
        <v>44386</v>
      </c>
      <c r="D1893">
        <v>20.83</v>
      </c>
      <c r="E1893" s="1">
        <v>44334</v>
      </c>
      <c r="F1893">
        <v>57.18</v>
      </c>
      <c r="G1893" s="1">
        <v>44383</v>
      </c>
      <c r="H1893">
        <v>37.590000000000003</v>
      </c>
      <c r="I1893" s="1">
        <v>44383</v>
      </c>
      <c r="J1893">
        <v>15.45</v>
      </c>
      <c r="K1893" s="1">
        <v>44291</v>
      </c>
      <c r="L1893">
        <v>92.594999999999999</v>
      </c>
    </row>
    <row r="1894" spans="1:12" x14ac:dyDescent="0.25">
      <c r="A1894" s="1">
        <v>44389</v>
      </c>
      <c r="B1894">
        <v>16.170000000000002</v>
      </c>
      <c r="C1894" s="1">
        <v>44389</v>
      </c>
      <c r="D1894">
        <v>19.66</v>
      </c>
      <c r="E1894" s="1">
        <v>44335</v>
      </c>
      <c r="F1894">
        <v>57.31</v>
      </c>
      <c r="G1894" s="1">
        <v>44384</v>
      </c>
      <c r="H1894">
        <v>42.01</v>
      </c>
      <c r="I1894" s="1">
        <v>44384</v>
      </c>
      <c r="J1894">
        <v>15.21</v>
      </c>
      <c r="K1894" s="1">
        <v>44292</v>
      </c>
      <c r="L1894">
        <v>92.334999999999994</v>
      </c>
    </row>
    <row r="1895" spans="1:12" x14ac:dyDescent="0.25">
      <c r="A1895" s="1">
        <v>44390</v>
      </c>
      <c r="B1895">
        <v>17.12</v>
      </c>
      <c r="C1895" s="1">
        <v>44390</v>
      </c>
      <c r="D1895">
        <v>18.87</v>
      </c>
      <c r="E1895" s="1">
        <v>44336</v>
      </c>
      <c r="F1895">
        <v>55.04</v>
      </c>
      <c r="G1895" s="1">
        <v>44385</v>
      </c>
      <c r="H1895">
        <v>38.799999999999997</v>
      </c>
      <c r="I1895" s="1">
        <v>44385</v>
      </c>
      <c r="J1895">
        <v>15.82</v>
      </c>
      <c r="K1895" s="1">
        <v>44293</v>
      </c>
      <c r="L1895">
        <v>92.454999999999998</v>
      </c>
    </row>
    <row r="1896" spans="1:12" x14ac:dyDescent="0.25">
      <c r="A1896" s="1">
        <v>44391</v>
      </c>
      <c r="B1896">
        <v>16.329999999999998</v>
      </c>
      <c r="C1896" s="1">
        <v>44391</v>
      </c>
      <c r="D1896">
        <v>18.47</v>
      </c>
      <c r="E1896" s="1">
        <v>44337</v>
      </c>
      <c r="F1896">
        <v>54.59</v>
      </c>
      <c r="G1896" s="1">
        <v>44386</v>
      </c>
      <c r="H1896">
        <v>37.020000000000003</v>
      </c>
      <c r="I1896" s="1">
        <v>44386</v>
      </c>
      <c r="J1896">
        <v>15.27</v>
      </c>
      <c r="K1896" s="1">
        <v>44294</v>
      </c>
      <c r="L1896">
        <v>92.058999999999997</v>
      </c>
    </row>
    <row r="1897" spans="1:12" x14ac:dyDescent="0.25">
      <c r="A1897" s="1">
        <v>44392</v>
      </c>
      <c r="B1897">
        <v>17.010000000000002</v>
      </c>
      <c r="C1897" s="1">
        <v>44392</v>
      </c>
      <c r="D1897">
        <v>18.36</v>
      </c>
      <c r="E1897" s="1">
        <v>44340</v>
      </c>
      <c r="F1897">
        <v>54.94</v>
      </c>
      <c r="G1897" s="1">
        <v>44389</v>
      </c>
      <c r="H1897">
        <v>38.729999999999997</v>
      </c>
      <c r="I1897" s="1">
        <v>44389</v>
      </c>
      <c r="J1897">
        <v>15.04</v>
      </c>
      <c r="K1897" s="1">
        <v>44295</v>
      </c>
      <c r="L1897">
        <v>92.162999999999997</v>
      </c>
    </row>
    <row r="1898" spans="1:12" x14ac:dyDescent="0.25">
      <c r="A1898" s="1">
        <v>44393</v>
      </c>
      <c r="B1898">
        <v>18.45</v>
      </c>
      <c r="C1898" s="1">
        <v>44393</v>
      </c>
      <c r="D1898">
        <v>19.239999999999998</v>
      </c>
      <c r="E1898" s="1">
        <v>44341</v>
      </c>
      <c r="F1898">
        <v>53.72</v>
      </c>
      <c r="G1898" s="1">
        <v>44390</v>
      </c>
      <c r="H1898">
        <v>35.4</v>
      </c>
      <c r="I1898" s="1">
        <v>44390</v>
      </c>
      <c r="J1898">
        <v>14.84</v>
      </c>
      <c r="K1898" s="1">
        <v>44298</v>
      </c>
      <c r="L1898">
        <v>92.138000000000005</v>
      </c>
    </row>
    <row r="1899" spans="1:12" x14ac:dyDescent="0.25">
      <c r="A1899" s="1">
        <v>44396</v>
      </c>
      <c r="B1899">
        <v>22.5</v>
      </c>
      <c r="C1899" s="1">
        <v>44396</v>
      </c>
      <c r="D1899">
        <v>23.8</v>
      </c>
      <c r="E1899" s="1">
        <v>44342</v>
      </c>
      <c r="F1899">
        <v>52.82</v>
      </c>
      <c r="G1899" s="1">
        <v>44391</v>
      </c>
      <c r="H1899">
        <v>38.200000000000003</v>
      </c>
      <c r="I1899" s="1">
        <v>44391</v>
      </c>
      <c r="J1899">
        <v>14.79</v>
      </c>
      <c r="K1899" s="1">
        <v>44299</v>
      </c>
      <c r="L1899">
        <v>91.852000000000004</v>
      </c>
    </row>
    <row r="1900" spans="1:12" x14ac:dyDescent="0.25">
      <c r="A1900" s="1">
        <v>44397</v>
      </c>
      <c r="B1900">
        <v>19.73</v>
      </c>
      <c r="C1900" s="1">
        <v>44397</v>
      </c>
      <c r="D1900">
        <v>21.24</v>
      </c>
      <c r="E1900" s="1">
        <v>44343</v>
      </c>
      <c r="F1900">
        <v>53.47</v>
      </c>
      <c r="G1900" s="1">
        <v>44392</v>
      </c>
      <c r="H1900">
        <v>38.04</v>
      </c>
      <c r="I1900" s="1">
        <v>44392</v>
      </c>
      <c r="J1900">
        <v>15.01</v>
      </c>
      <c r="K1900" s="1">
        <v>44300</v>
      </c>
      <c r="L1900">
        <v>91.69</v>
      </c>
    </row>
    <row r="1901" spans="1:12" x14ac:dyDescent="0.25">
      <c r="A1901" s="1">
        <v>44398</v>
      </c>
      <c r="B1901">
        <v>17.91</v>
      </c>
      <c r="C1901" s="1">
        <v>44398</v>
      </c>
      <c r="D1901">
        <v>20.65</v>
      </c>
      <c r="E1901" s="1">
        <v>44344</v>
      </c>
      <c r="F1901">
        <v>52.04</v>
      </c>
      <c r="G1901" s="1">
        <v>44393</v>
      </c>
      <c r="H1901">
        <v>37.15</v>
      </c>
      <c r="I1901" s="1">
        <v>44393</v>
      </c>
      <c r="J1901">
        <v>14.6</v>
      </c>
      <c r="K1901" s="1">
        <v>44301</v>
      </c>
      <c r="L1901">
        <v>91.671000000000006</v>
      </c>
    </row>
    <row r="1902" spans="1:12" x14ac:dyDescent="0.25">
      <c r="A1902" s="1">
        <v>44399</v>
      </c>
      <c r="B1902">
        <v>17.690000000000001</v>
      </c>
      <c r="C1902" s="1">
        <v>44399</v>
      </c>
      <c r="D1902">
        <v>19.72</v>
      </c>
      <c r="E1902" s="1">
        <v>44348</v>
      </c>
      <c r="F1902">
        <v>54.99</v>
      </c>
      <c r="G1902" s="1">
        <v>44396</v>
      </c>
      <c r="H1902">
        <v>46.36</v>
      </c>
      <c r="I1902" s="1">
        <v>44396</v>
      </c>
      <c r="J1902">
        <v>15.96</v>
      </c>
      <c r="K1902" s="1">
        <v>44302</v>
      </c>
      <c r="L1902">
        <v>91.555999999999997</v>
      </c>
    </row>
    <row r="1903" spans="1:12" x14ac:dyDescent="0.25">
      <c r="A1903" s="1">
        <v>44400</v>
      </c>
      <c r="B1903">
        <v>17.2</v>
      </c>
      <c r="C1903" s="1">
        <v>44400</v>
      </c>
      <c r="D1903">
        <v>20.63</v>
      </c>
      <c r="E1903" s="1">
        <v>44349</v>
      </c>
      <c r="F1903">
        <v>55.21</v>
      </c>
      <c r="G1903" s="1">
        <v>44397</v>
      </c>
      <c r="H1903">
        <v>52.26</v>
      </c>
      <c r="I1903" s="1">
        <v>44397</v>
      </c>
      <c r="J1903">
        <v>15.01</v>
      </c>
      <c r="K1903" s="1">
        <v>44305</v>
      </c>
      <c r="L1903">
        <v>91.069000000000003</v>
      </c>
    </row>
    <row r="1904" spans="1:12" x14ac:dyDescent="0.25">
      <c r="A1904" s="1">
        <v>44403</v>
      </c>
      <c r="B1904">
        <v>17.579999999999998</v>
      </c>
      <c r="C1904" s="1">
        <v>44403</v>
      </c>
      <c r="D1904">
        <v>25.16</v>
      </c>
      <c r="E1904" s="1">
        <v>44350</v>
      </c>
      <c r="F1904">
        <v>53.96</v>
      </c>
      <c r="G1904" s="1">
        <v>44398</v>
      </c>
      <c r="H1904">
        <v>42.91</v>
      </c>
      <c r="I1904" s="1">
        <v>44398</v>
      </c>
      <c r="J1904">
        <v>15.01</v>
      </c>
      <c r="K1904" s="1">
        <v>44306</v>
      </c>
      <c r="L1904">
        <v>91.241</v>
      </c>
    </row>
    <row r="1905" spans="1:12" x14ac:dyDescent="0.25">
      <c r="A1905" s="1">
        <v>44404</v>
      </c>
      <c r="B1905">
        <v>19.36</v>
      </c>
      <c r="C1905" s="1">
        <v>44404</v>
      </c>
      <c r="D1905">
        <v>31.48</v>
      </c>
      <c r="E1905" s="1">
        <v>44351</v>
      </c>
      <c r="F1905">
        <v>49.78</v>
      </c>
      <c r="G1905" s="1">
        <v>44399</v>
      </c>
      <c r="H1905">
        <v>36.44</v>
      </c>
      <c r="I1905" s="1">
        <v>44399</v>
      </c>
      <c r="J1905">
        <v>14.51</v>
      </c>
      <c r="K1905" s="1">
        <v>44307</v>
      </c>
      <c r="L1905">
        <v>91.155000000000001</v>
      </c>
    </row>
    <row r="1906" spans="1:12" x14ac:dyDescent="0.25">
      <c r="A1906" s="1">
        <v>44405</v>
      </c>
      <c r="B1906">
        <v>18.309999999999999</v>
      </c>
      <c r="C1906" s="1">
        <v>44405</v>
      </c>
      <c r="D1906">
        <v>24.58</v>
      </c>
      <c r="E1906" s="1">
        <v>44354</v>
      </c>
      <c r="F1906">
        <v>49.55</v>
      </c>
      <c r="G1906" s="1">
        <v>44400</v>
      </c>
      <c r="H1906">
        <v>34.049999999999997</v>
      </c>
      <c r="I1906" s="1">
        <v>44400</v>
      </c>
      <c r="J1906">
        <v>14.53</v>
      </c>
      <c r="K1906" s="1">
        <v>44308</v>
      </c>
      <c r="L1906">
        <v>91.332999999999998</v>
      </c>
    </row>
    <row r="1907" spans="1:12" x14ac:dyDescent="0.25">
      <c r="A1907" s="1">
        <v>44406</v>
      </c>
      <c r="B1907">
        <v>17.7</v>
      </c>
      <c r="C1907" s="1">
        <v>44406</v>
      </c>
      <c r="D1907">
        <v>22.47</v>
      </c>
      <c r="E1907" s="1">
        <v>44355</v>
      </c>
      <c r="F1907">
        <v>49.93</v>
      </c>
      <c r="G1907" s="1">
        <v>44403</v>
      </c>
      <c r="H1907">
        <v>35.590000000000003</v>
      </c>
      <c r="I1907" s="1">
        <v>44403</v>
      </c>
      <c r="J1907">
        <v>15.2</v>
      </c>
      <c r="K1907" s="1">
        <v>44309</v>
      </c>
      <c r="L1907">
        <v>90.858999999999995</v>
      </c>
    </row>
    <row r="1908" spans="1:12" x14ac:dyDescent="0.25">
      <c r="A1908" s="1">
        <v>44407</v>
      </c>
      <c r="B1908">
        <v>18.239999999999998</v>
      </c>
      <c r="C1908" s="1">
        <v>44407</v>
      </c>
      <c r="D1908">
        <v>25.96</v>
      </c>
      <c r="E1908" s="1">
        <v>44356</v>
      </c>
      <c r="F1908">
        <v>52.84</v>
      </c>
      <c r="G1908" s="1">
        <v>44404</v>
      </c>
      <c r="H1908">
        <v>35.14</v>
      </c>
      <c r="I1908" s="1">
        <v>44404</v>
      </c>
      <c r="J1908">
        <v>15.51</v>
      </c>
      <c r="K1908" s="1">
        <v>44312</v>
      </c>
      <c r="L1908">
        <v>90.807000000000002</v>
      </c>
    </row>
    <row r="1909" spans="1:12" x14ac:dyDescent="0.25">
      <c r="A1909" s="1">
        <v>44410</v>
      </c>
      <c r="B1909">
        <v>19.46</v>
      </c>
      <c r="C1909" s="1">
        <v>44410</v>
      </c>
      <c r="D1909">
        <v>23.42</v>
      </c>
      <c r="E1909" s="1">
        <v>44357</v>
      </c>
      <c r="F1909">
        <v>48.26</v>
      </c>
      <c r="G1909" s="1">
        <v>44405</v>
      </c>
      <c r="H1909">
        <v>34.619999999999997</v>
      </c>
      <c r="I1909" s="1">
        <v>44405</v>
      </c>
      <c r="J1909">
        <v>15.61</v>
      </c>
      <c r="K1909" s="1">
        <v>44313</v>
      </c>
      <c r="L1909">
        <v>90.909000000000006</v>
      </c>
    </row>
    <row r="1910" spans="1:12" x14ac:dyDescent="0.25">
      <c r="A1910" s="1">
        <v>44411</v>
      </c>
      <c r="B1910">
        <v>18.04</v>
      </c>
      <c r="C1910" s="1">
        <v>44411</v>
      </c>
      <c r="D1910">
        <v>22.39</v>
      </c>
      <c r="E1910" s="1">
        <v>44358</v>
      </c>
      <c r="F1910">
        <v>50.85</v>
      </c>
      <c r="G1910" s="1">
        <v>44406</v>
      </c>
      <c r="H1910">
        <v>33.36</v>
      </c>
      <c r="I1910" s="1">
        <v>44406</v>
      </c>
      <c r="J1910">
        <v>15.21</v>
      </c>
      <c r="K1910" s="1">
        <v>44314</v>
      </c>
      <c r="L1910">
        <v>90.608999999999995</v>
      </c>
    </row>
    <row r="1911" spans="1:12" x14ac:dyDescent="0.25">
      <c r="A1911" s="1">
        <v>44412</v>
      </c>
      <c r="B1911">
        <v>17.97</v>
      </c>
      <c r="C1911" s="1">
        <v>44412</v>
      </c>
      <c r="D1911">
        <v>22.52</v>
      </c>
      <c r="E1911" s="1">
        <v>44361</v>
      </c>
      <c r="F1911">
        <v>54.03</v>
      </c>
      <c r="G1911" s="1">
        <v>44407</v>
      </c>
      <c r="H1911">
        <v>32.85</v>
      </c>
      <c r="I1911" s="1">
        <v>44407</v>
      </c>
      <c r="J1911">
        <v>15.09</v>
      </c>
      <c r="K1911" s="1">
        <v>44315</v>
      </c>
      <c r="L1911">
        <v>90.614000000000004</v>
      </c>
    </row>
    <row r="1912" spans="1:12" x14ac:dyDescent="0.25">
      <c r="A1912" s="1">
        <v>44413</v>
      </c>
      <c r="B1912">
        <v>17.28</v>
      </c>
      <c r="C1912" s="1">
        <v>44413</v>
      </c>
      <c r="D1912">
        <v>20.66</v>
      </c>
      <c r="E1912" s="1">
        <v>44362</v>
      </c>
      <c r="F1912">
        <v>52.92</v>
      </c>
      <c r="G1912" s="1">
        <v>44410</v>
      </c>
      <c r="H1912">
        <v>36.229999999999997</v>
      </c>
      <c r="I1912" s="1">
        <v>44410</v>
      </c>
      <c r="J1912">
        <v>15.23</v>
      </c>
      <c r="K1912" s="1">
        <v>44316</v>
      </c>
      <c r="L1912">
        <v>91.28</v>
      </c>
    </row>
    <row r="1913" spans="1:12" x14ac:dyDescent="0.25">
      <c r="A1913" s="1">
        <v>44414</v>
      </c>
      <c r="B1913">
        <v>16.149999999999999</v>
      </c>
      <c r="C1913" s="1">
        <v>44414</v>
      </c>
      <c r="D1913">
        <v>26.62</v>
      </c>
      <c r="E1913" s="1">
        <v>44363</v>
      </c>
      <c r="F1913">
        <v>54.28</v>
      </c>
      <c r="G1913" s="1">
        <v>44411</v>
      </c>
      <c r="H1913">
        <v>37.549999999999997</v>
      </c>
      <c r="I1913" s="1">
        <v>44411</v>
      </c>
      <c r="J1913">
        <v>15.09</v>
      </c>
      <c r="K1913" s="1">
        <v>44319</v>
      </c>
      <c r="L1913">
        <v>90.944999999999993</v>
      </c>
    </row>
    <row r="1914" spans="1:12" x14ac:dyDescent="0.25">
      <c r="A1914" s="1">
        <v>44417</v>
      </c>
      <c r="B1914">
        <v>16.72</v>
      </c>
      <c r="C1914" s="1">
        <v>44417</v>
      </c>
      <c r="D1914">
        <v>19.63</v>
      </c>
      <c r="E1914" s="1">
        <v>44364</v>
      </c>
      <c r="F1914">
        <v>54.91</v>
      </c>
      <c r="G1914" s="1">
        <v>44412</v>
      </c>
      <c r="H1914">
        <v>42.27</v>
      </c>
      <c r="I1914" s="1">
        <v>44412</v>
      </c>
      <c r="J1914">
        <v>14.88</v>
      </c>
      <c r="K1914" s="1">
        <v>44320</v>
      </c>
      <c r="L1914">
        <v>91.287999999999997</v>
      </c>
    </row>
    <row r="1915" spans="1:12" x14ac:dyDescent="0.25">
      <c r="A1915" s="1">
        <v>44418</v>
      </c>
      <c r="B1915">
        <v>16.79</v>
      </c>
      <c r="C1915" s="1">
        <v>44418</v>
      </c>
      <c r="D1915">
        <v>30.01</v>
      </c>
      <c r="E1915" s="1">
        <v>44365</v>
      </c>
      <c r="F1915">
        <v>60.45</v>
      </c>
      <c r="G1915" s="1">
        <v>44413</v>
      </c>
      <c r="H1915">
        <v>39.090000000000003</v>
      </c>
      <c r="I1915" s="1">
        <v>44413</v>
      </c>
      <c r="J1915">
        <v>14.84</v>
      </c>
      <c r="K1915" s="1">
        <v>44321</v>
      </c>
      <c r="L1915">
        <v>91.308000000000007</v>
      </c>
    </row>
    <row r="1916" spans="1:12" x14ac:dyDescent="0.25">
      <c r="A1916" s="1">
        <v>44419</v>
      </c>
      <c r="B1916">
        <v>16.059999999999999</v>
      </c>
      <c r="C1916" s="1">
        <v>44419</v>
      </c>
      <c r="D1916">
        <v>18.93</v>
      </c>
      <c r="E1916" s="1">
        <v>44368</v>
      </c>
      <c r="F1916">
        <v>61.86</v>
      </c>
      <c r="G1916" s="1">
        <v>44414</v>
      </c>
      <c r="H1916">
        <v>39.31</v>
      </c>
      <c r="I1916" s="1">
        <v>44414</v>
      </c>
      <c r="J1916">
        <v>15.9</v>
      </c>
      <c r="K1916" s="1">
        <v>44322</v>
      </c>
      <c r="L1916">
        <v>90.950999999999993</v>
      </c>
    </row>
    <row r="1917" spans="1:12" x14ac:dyDescent="0.25">
      <c r="A1917" s="1">
        <v>44420</v>
      </c>
      <c r="B1917">
        <v>15.59</v>
      </c>
      <c r="C1917" s="1">
        <v>44420</v>
      </c>
      <c r="D1917">
        <v>19.32</v>
      </c>
      <c r="E1917" s="1">
        <v>44369</v>
      </c>
      <c r="F1917">
        <v>58.64</v>
      </c>
      <c r="G1917" s="1">
        <v>44417</v>
      </c>
      <c r="H1917">
        <v>43.28</v>
      </c>
      <c r="I1917" s="1">
        <v>44417</v>
      </c>
      <c r="J1917">
        <v>17.260000000000002</v>
      </c>
      <c r="K1917" s="1">
        <v>44323</v>
      </c>
      <c r="L1917">
        <v>90.233000000000004</v>
      </c>
    </row>
    <row r="1918" spans="1:12" x14ac:dyDescent="0.25">
      <c r="A1918" s="1">
        <v>44421</v>
      </c>
      <c r="B1918">
        <v>15.45</v>
      </c>
      <c r="C1918" s="1">
        <v>44421</v>
      </c>
      <c r="D1918">
        <v>18.78</v>
      </c>
      <c r="E1918" s="1">
        <v>44370</v>
      </c>
      <c r="F1918">
        <v>55.6</v>
      </c>
      <c r="G1918" s="1">
        <v>44418</v>
      </c>
      <c r="H1918">
        <v>39.28</v>
      </c>
      <c r="I1918" s="1">
        <v>44418</v>
      </c>
      <c r="J1918">
        <v>16.93</v>
      </c>
      <c r="K1918" s="1">
        <v>44326</v>
      </c>
      <c r="L1918">
        <v>90.212000000000003</v>
      </c>
    </row>
    <row r="1919" spans="1:12" x14ac:dyDescent="0.25">
      <c r="A1919" s="1">
        <v>44424</v>
      </c>
      <c r="B1919">
        <v>16.12</v>
      </c>
      <c r="C1919" s="1">
        <v>44424</v>
      </c>
      <c r="D1919">
        <v>19.16</v>
      </c>
      <c r="E1919" s="1">
        <v>44371</v>
      </c>
      <c r="F1919">
        <v>54.83</v>
      </c>
      <c r="G1919" s="1">
        <v>44419</v>
      </c>
      <c r="H1919">
        <v>38.32</v>
      </c>
      <c r="I1919" s="1">
        <v>44419</v>
      </c>
      <c r="J1919">
        <v>15.85</v>
      </c>
      <c r="K1919" s="1">
        <v>44327</v>
      </c>
      <c r="L1919">
        <v>90.141000000000005</v>
      </c>
    </row>
    <row r="1920" spans="1:12" x14ac:dyDescent="0.25">
      <c r="A1920" s="1">
        <v>44425</v>
      </c>
      <c r="B1920">
        <v>17.91</v>
      </c>
      <c r="C1920" s="1">
        <v>44425</v>
      </c>
      <c r="D1920">
        <v>21.46</v>
      </c>
      <c r="E1920" s="1">
        <v>44372</v>
      </c>
      <c r="F1920">
        <v>55.58</v>
      </c>
      <c r="G1920" s="1">
        <v>44420</v>
      </c>
      <c r="H1920">
        <v>36.5</v>
      </c>
      <c r="I1920" s="1">
        <v>44420</v>
      </c>
      <c r="J1920">
        <v>15.67</v>
      </c>
      <c r="K1920" s="1">
        <v>44328</v>
      </c>
      <c r="L1920">
        <v>90.712999999999994</v>
      </c>
    </row>
    <row r="1921" spans="1:12" x14ac:dyDescent="0.25">
      <c r="A1921" s="1">
        <v>44426</v>
      </c>
      <c r="B1921">
        <v>21.57</v>
      </c>
      <c r="C1921" s="1">
        <v>44426</v>
      </c>
      <c r="D1921">
        <v>21.81</v>
      </c>
      <c r="E1921" s="1">
        <v>44375</v>
      </c>
      <c r="F1921">
        <v>56.33</v>
      </c>
      <c r="G1921" s="1">
        <v>44421</v>
      </c>
      <c r="H1921">
        <v>35.909999999999997</v>
      </c>
      <c r="I1921" s="1">
        <v>44421</v>
      </c>
      <c r="J1921">
        <v>15.15</v>
      </c>
      <c r="K1921" s="1">
        <v>44329</v>
      </c>
      <c r="L1921">
        <v>90.751999999999995</v>
      </c>
    </row>
    <row r="1922" spans="1:12" x14ac:dyDescent="0.25">
      <c r="A1922" s="1">
        <v>44427</v>
      </c>
      <c r="B1922">
        <v>21.67</v>
      </c>
      <c r="C1922" s="1">
        <v>44427</v>
      </c>
      <c r="D1922">
        <v>24.71</v>
      </c>
      <c r="E1922" s="1">
        <v>44376</v>
      </c>
      <c r="F1922">
        <v>56.8</v>
      </c>
      <c r="G1922" s="1">
        <v>44424</v>
      </c>
      <c r="H1922">
        <v>38.840000000000003</v>
      </c>
      <c r="I1922" s="1">
        <v>44424</v>
      </c>
      <c r="J1922">
        <v>15.62</v>
      </c>
      <c r="K1922" s="1">
        <v>44330</v>
      </c>
      <c r="L1922">
        <v>90.320999999999998</v>
      </c>
    </row>
    <row r="1923" spans="1:12" x14ac:dyDescent="0.25">
      <c r="A1923" s="1">
        <v>44428</v>
      </c>
      <c r="B1923">
        <v>18.559999999999999</v>
      </c>
      <c r="C1923" s="1">
        <v>44428</v>
      </c>
      <c r="D1923">
        <v>23.96</v>
      </c>
      <c r="E1923" s="1">
        <v>44377</v>
      </c>
      <c r="F1923">
        <v>57.27</v>
      </c>
      <c r="G1923" s="1">
        <v>44425</v>
      </c>
      <c r="H1923">
        <v>39.5</v>
      </c>
      <c r="I1923" s="1">
        <v>44425</v>
      </c>
      <c r="J1923">
        <v>16.100000000000001</v>
      </c>
      <c r="K1923" s="1">
        <v>44333</v>
      </c>
      <c r="L1923">
        <v>90.164000000000001</v>
      </c>
    </row>
    <row r="1924" spans="1:12" x14ac:dyDescent="0.25">
      <c r="A1924" s="1">
        <v>44431</v>
      </c>
      <c r="B1924">
        <v>17.149999999999999</v>
      </c>
      <c r="C1924" s="1">
        <v>44431</v>
      </c>
      <c r="D1924">
        <v>23.14</v>
      </c>
      <c r="E1924" s="1">
        <v>44378</v>
      </c>
      <c r="F1924">
        <v>57.52</v>
      </c>
      <c r="G1924" s="1">
        <v>44426</v>
      </c>
      <c r="H1924">
        <v>40.86</v>
      </c>
      <c r="I1924" s="1">
        <v>44426</v>
      </c>
      <c r="J1924">
        <v>15.8</v>
      </c>
      <c r="K1924" s="1">
        <v>44334</v>
      </c>
      <c r="L1924">
        <v>89.75</v>
      </c>
    </row>
    <row r="1925" spans="1:12" x14ac:dyDescent="0.25">
      <c r="A1925" s="1">
        <v>44432</v>
      </c>
      <c r="B1925">
        <v>17.22</v>
      </c>
      <c r="C1925" s="1">
        <v>44432</v>
      </c>
      <c r="D1925">
        <v>21.64</v>
      </c>
      <c r="E1925" s="1">
        <v>44379</v>
      </c>
      <c r="F1925">
        <v>52.41</v>
      </c>
      <c r="G1925" s="1">
        <v>44427</v>
      </c>
      <c r="H1925">
        <v>40.98</v>
      </c>
      <c r="I1925" s="1">
        <v>44427</v>
      </c>
      <c r="J1925">
        <v>15.91</v>
      </c>
      <c r="K1925" s="1">
        <v>44335</v>
      </c>
      <c r="L1925">
        <v>90.191000000000003</v>
      </c>
    </row>
    <row r="1926" spans="1:12" x14ac:dyDescent="0.25">
      <c r="A1926" s="1">
        <v>44433</v>
      </c>
      <c r="B1926">
        <v>16.79</v>
      </c>
      <c r="C1926" s="1">
        <v>44433</v>
      </c>
      <c r="D1926">
        <v>20.75</v>
      </c>
      <c r="E1926" s="1">
        <v>44383</v>
      </c>
      <c r="F1926">
        <v>56.55</v>
      </c>
      <c r="G1926" s="1">
        <v>44428</v>
      </c>
      <c r="H1926">
        <v>40.67</v>
      </c>
      <c r="I1926" s="1">
        <v>44428</v>
      </c>
      <c r="J1926">
        <v>15.34</v>
      </c>
      <c r="K1926" s="1">
        <v>44336</v>
      </c>
      <c r="L1926">
        <v>89.808000000000007</v>
      </c>
    </row>
    <row r="1927" spans="1:12" x14ac:dyDescent="0.25">
      <c r="A1927" s="1">
        <v>44434</v>
      </c>
      <c r="B1927">
        <v>18.84</v>
      </c>
      <c r="C1927" s="1">
        <v>44434</v>
      </c>
      <c r="D1927">
        <v>22.2</v>
      </c>
      <c r="E1927" s="1">
        <v>44384</v>
      </c>
      <c r="F1927">
        <v>60.65</v>
      </c>
      <c r="G1927" s="1">
        <v>44431</v>
      </c>
      <c r="H1927">
        <v>38.67</v>
      </c>
      <c r="I1927" s="1">
        <v>44431</v>
      </c>
      <c r="J1927">
        <v>15.84</v>
      </c>
      <c r="K1927" s="1">
        <v>44337</v>
      </c>
      <c r="L1927">
        <v>90.016999999999996</v>
      </c>
    </row>
    <row r="1928" spans="1:12" x14ac:dyDescent="0.25">
      <c r="A1928" s="1">
        <v>44435</v>
      </c>
      <c r="B1928">
        <v>16.39</v>
      </c>
      <c r="C1928" s="1">
        <v>44435</v>
      </c>
      <c r="D1928">
        <v>19.8</v>
      </c>
      <c r="E1928" s="1">
        <v>44385</v>
      </c>
      <c r="F1928">
        <v>61.68</v>
      </c>
      <c r="G1928" s="1">
        <v>44432</v>
      </c>
      <c r="H1928">
        <v>36.79</v>
      </c>
      <c r="I1928" s="1">
        <v>44432</v>
      </c>
      <c r="J1928">
        <v>15.45</v>
      </c>
      <c r="K1928" s="1">
        <v>44340</v>
      </c>
      <c r="L1928">
        <v>89.843999999999994</v>
      </c>
    </row>
    <row r="1929" spans="1:12" x14ac:dyDescent="0.25">
      <c r="A1929" s="1">
        <v>44438</v>
      </c>
      <c r="B1929">
        <v>16.190000000000001</v>
      </c>
      <c r="C1929" s="1">
        <v>44438</v>
      </c>
      <c r="D1929">
        <v>19.920000000000002</v>
      </c>
      <c r="E1929" s="1">
        <v>44386</v>
      </c>
      <c r="F1929">
        <v>59.92</v>
      </c>
      <c r="G1929" s="1">
        <v>44433</v>
      </c>
      <c r="H1929">
        <v>35.6</v>
      </c>
      <c r="I1929" s="1">
        <v>44433</v>
      </c>
      <c r="J1929">
        <v>15.9</v>
      </c>
      <c r="K1929" s="1">
        <v>44341</v>
      </c>
      <c r="L1929">
        <v>89.638999999999996</v>
      </c>
    </row>
    <row r="1930" spans="1:12" x14ac:dyDescent="0.25">
      <c r="A1930" s="1">
        <v>44439</v>
      </c>
      <c r="B1930">
        <v>16.48</v>
      </c>
      <c r="C1930" s="1">
        <v>44439</v>
      </c>
      <c r="D1930">
        <v>19.61</v>
      </c>
      <c r="E1930" s="1">
        <v>44389</v>
      </c>
      <c r="F1930">
        <v>60.78</v>
      </c>
      <c r="G1930" s="1">
        <v>44434</v>
      </c>
      <c r="H1930">
        <v>36.33</v>
      </c>
      <c r="I1930" s="1">
        <v>44434</v>
      </c>
      <c r="J1930">
        <v>16.440000000000001</v>
      </c>
      <c r="K1930" s="1">
        <v>44342</v>
      </c>
      <c r="L1930">
        <v>90.042000000000002</v>
      </c>
    </row>
    <row r="1931" spans="1:12" x14ac:dyDescent="0.25">
      <c r="A1931" s="1">
        <v>44440</v>
      </c>
      <c r="B1931">
        <v>16.11</v>
      </c>
      <c r="C1931" s="1">
        <v>44440</v>
      </c>
      <c r="D1931">
        <v>19.57</v>
      </c>
      <c r="E1931" s="1">
        <v>44390</v>
      </c>
      <c r="F1931">
        <v>60.8</v>
      </c>
      <c r="G1931" s="1">
        <v>44435</v>
      </c>
      <c r="H1931">
        <v>34.93</v>
      </c>
      <c r="I1931" s="1">
        <v>44435</v>
      </c>
      <c r="J1931">
        <v>15.27</v>
      </c>
      <c r="K1931" s="1">
        <v>44343</v>
      </c>
      <c r="L1931">
        <v>89.971000000000004</v>
      </c>
    </row>
    <row r="1932" spans="1:12" x14ac:dyDescent="0.25">
      <c r="A1932" s="1">
        <v>44441</v>
      </c>
      <c r="B1932">
        <v>16.41</v>
      </c>
      <c r="C1932" s="1">
        <v>44441</v>
      </c>
      <c r="D1932">
        <v>19.97</v>
      </c>
      <c r="E1932" s="1">
        <v>44391</v>
      </c>
      <c r="F1932">
        <v>57.31</v>
      </c>
      <c r="G1932" s="1">
        <v>44438</v>
      </c>
      <c r="H1932">
        <v>35.270000000000003</v>
      </c>
      <c r="I1932" s="1">
        <v>44438</v>
      </c>
      <c r="J1932">
        <v>15.52</v>
      </c>
      <c r="K1932" s="1">
        <v>44344</v>
      </c>
      <c r="L1932">
        <v>90.031000000000006</v>
      </c>
    </row>
    <row r="1933" spans="1:12" x14ac:dyDescent="0.25">
      <c r="A1933" s="1">
        <v>44442</v>
      </c>
      <c r="B1933">
        <v>16.41</v>
      </c>
      <c r="C1933" s="1">
        <v>44442</v>
      </c>
      <c r="D1933">
        <v>19.34</v>
      </c>
      <c r="E1933" s="1">
        <v>44392</v>
      </c>
      <c r="F1933">
        <v>56.98</v>
      </c>
      <c r="G1933" s="1">
        <v>44439</v>
      </c>
      <c r="H1933">
        <v>34.28</v>
      </c>
      <c r="I1933" s="1">
        <v>44439</v>
      </c>
      <c r="J1933">
        <v>15.47</v>
      </c>
      <c r="K1933" s="1">
        <v>44347</v>
      </c>
      <c r="L1933">
        <v>89.828999999999994</v>
      </c>
    </row>
    <row r="1934" spans="1:12" x14ac:dyDescent="0.25">
      <c r="A1934" s="1">
        <v>44446</v>
      </c>
      <c r="B1934">
        <v>18.14</v>
      </c>
      <c r="C1934" s="1">
        <v>44446</v>
      </c>
      <c r="D1934">
        <v>20.190000000000001</v>
      </c>
      <c r="E1934" s="1">
        <v>44393</v>
      </c>
      <c r="F1934">
        <v>58.24</v>
      </c>
      <c r="G1934" s="1">
        <v>44440</v>
      </c>
      <c r="H1934">
        <v>36.130000000000003</v>
      </c>
      <c r="I1934" s="1">
        <v>44440</v>
      </c>
      <c r="J1934">
        <v>15.12</v>
      </c>
      <c r="K1934" s="1">
        <v>44348</v>
      </c>
      <c r="L1934">
        <v>89.831000000000003</v>
      </c>
    </row>
    <row r="1935" spans="1:12" x14ac:dyDescent="0.25">
      <c r="A1935" s="1">
        <v>44447</v>
      </c>
      <c r="B1935">
        <v>17.96</v>
      </c>
      <c r="C1935" s="1">
        <v>44447</v>
      </c>
      <c r="D1935">
        <v>20.93</v>
      </c>
      <c r="E1935" s="1">
        <v>44396</v>
      </c>
      <c r="F1935">
        <v>67.58</v>
      </c>
      <c r="G1935" s="1">
        <v>44441</v>
      </c>
      <c r="H1935">
        <v>31.35</v>
      </c>
      <c r="I1935" s="1">
        <v>44441</v>
      </c>
      <c r="J1935">
        <v>14.76</v>
      </c>
      <c r="K1935" s="1">
        <v>44349</v>
      </c>
      <c r="L1935">
        <v>89.909000000000006</v>
      </c>
    </row>
    <row r="1936" spans="1:12" x14ac:dyDescent="0.25">
      <c r="A1936" s="1">
        <v>44448</v>
      </c>
      <c r="B1936">
        <v>18.8</v>
      </c>
      <c r="C1936" s="1">
        <v>44448</v>
      </c>
      <c r="D1936">
        <v>21.21</v>
      </c>
      <c r="E1936" s="1">
        <v>44397</v>
      </c>
      <c r="F1936">
        <v>69.31</v>
      </c>
      <c r="G1936" s="1">
        <v>44442</v>
      </c>
      <c r="H1936">
        <v>36.909999999999997</v>
      </c>
      <c r="I1936" s="1">
        <v>44442</v>
      </c>
      <c r="J1936">
        <v>14.95</v>
      </c>
      <c r="K1936" s="1">
        <v>44350</v>
      </c>
      <c r="L1936">
        <v>90.512</v>
      </c>
    </row>
    <row r="1937" spans="1:12" x14ac:dyDescent="0.25">
      <c r="A1937" s="1">
        <v>44449</v>
      </c>
      <c r="B1937">
        <v>20.95</v>
      </c>
      <c r="C1937" s="1">
        <v>44449</v>
      </c>
      <c r="D1937">
        <v>21.8</v>
      </c>
      <c r="E1937" s="1">
        <v>44398</v>
      </c>
      <c r="F1937">
        <v>65.28</v>
      </c>
      <c r="G1937" s="1">
        <v>44446</v>
      </c>
      <c r="H1937">
        <v>32.909999999999997</v>
      </c>
      <c r="I1937" s="1">
        <v>44446</v>
      </c>
      <c r="J1937">
        <v>15.36</v>
      </c>
      <c r="K1937" s="1">
        <v>44351</v>
      </c>
      <c r="L1937">
        <v>90.135999999999996</v>
      </c>
    </row>
    <row r="1938" spans="1:12" x14ac:dyDescent="0.25">
      <c r="A1938" s="1">
        <v>44452</v>
      </c>
      <c r="B1938">
        <v>19.37</v>
      </c>
      <c r="C1938" s="1">
        <v>44452</v>
      </c>
      <c r="D1938">
        <v>21.69</v>
      </c>
      <c r="E1938" s="1">
        <v>44399</v>
      </c>
      <c r="F1938">
        <v>64.959999999999994</v>
      </c>
      <c r="G1938" s="1">
        <v>44447</v>
      </c>
      <c r="H1938">
        <v>31.91</v>
      </c>
      <c r="I1938" s="1">
        <v>44447</v>
      </c>
      <c r="J1938">
        <v>15.14</v>
      </c>
      <c r="K1938" s="1">
        <v>44354</v>
      </c>
      <c r="L1938">
        <v>89.95</v>
      </c>
    </row>
    <row r="1939" spans="1:12" x14ac:dyDescent="0.25">
      <c r="A1939" s="1">
        <v>44453</v>
      </c>
      <c r="B1939">
        <v>19.46</v>
      </c>
      <c r="C1939" s="1">
        <v>44453</v>
      </c>
      <c r="D1939">
        <v>22.37</v>
      </c>
      <c r="E1939" s="1">
        <v>44400</v>
      </c>
      <c r="F1939">
        <v>65.28</v>
      </c>
      <c r="G1939" s="1">
        <v>44448</v>
      </c>
      <c r="H1939">
        <v>33.869999999999997</v>
      </c>
      <c r="I1939" s="1">
        <v>44448</v>
      </c>
      <c r="J1939">
        <v>15.1</v>
      </c>
      <c r="K1939" s="1">
        <v>44355</v>
      </c>
      <c r="L1939">
        <v>90.075999999999993</v>
      </c>
    </row>
    <row r="1940" spans="1:12" x14ac:dyDescent="0.25">
      <c r="A1940" s="1">
        <v>44454</v>
      </c>
      <c r="B1940">
        <v>18.18</v>
      </c>
      <c r="C1940" s="1">
        <v>44454</v>
      </c>
      <c r="D1940">
        <v>21.11</v>
      </c>
      <c r="E1940" s="1">
        <v>44403</v>
      </c>
      <c r="F1940">
        <v>69.03</v>
      </c>
      <c r="G1940" s="1">
        <v>44449</v>
      </c>
      <c r="H1940">
        <v>33.54</v>
      </c>
      <c r="I1940" s="1">
        <v>44449</v>
      </c>
      <c r="J1940">
        <v>15.15</v>
      </c>
      <c r="K1940" s="1">
        <v>44356</v>
      </c>
      <c r="L1940">
        <v>90.12</v>
      </c>
    </row>
    <row r="1941" spans="1:12" x14ac:dyDescent="0.25">
      <c r="A1941" s="1">
        <v>44455</v>
      </c>
      <c r="B1941">
        <v>18.690000000000001</v>
      </c>
      <c r="C1941" s="1">
        <v>44455</v>
      </c>
      <c r="D1941">
        <v>21.85</v>
      </c>
      <c r="E1941" s="1">
        <v>44404</v>
      </c>
      <c r="F1941">
        <v>70.069999999999993</v>
      </c>
      <c r="G1941" s="1">
        <v>44452</v>
      </c>
      <c r="H1941">
        <v>32.74</v>
      </c>
      <c r="I1941" s="1">
        <v>44452</v>
      </c>
      <c r="J1941">
        <v>15.09</v>
      </c>
      <c r="K1941" s="1">
        <v>44357</v>
      </c>
      <c r="L1941">
        <v>90.075000000000003</v>
      </c>
    </row>
    <row r="1942" spans="1:12" x14ac:dyDescent="0.25">
      <c r="A1942" s="1">
        <v>44456</v>
      </c>
      <c r="B1942">
        <v>20.81</v>
      </c>
      <c r="C1942" s="1">
        <v>44456</v>
      </c>
      <c r="D1942">
        <v>22.46</v>
      </c>
      <c r="E1942" s="1">
        <v>44405</v>
      </c>
      <c r="F1942">
        <v>62.4</v>
      </c>
      <c r="G1942" s="1">
        <v>44453</v>
      </c>
      <c r="H1942">
        <v>33.630000000000003</v>
      </c>
      <c r="I1942" s="1">
        <v>44453</v>
      </c>
      <c r="J1942">
        <v>15.02</v>
      </c>
      <c r="K1942" s="1">
        <v>44358</v>
      </c>
      <c r="L1942">
        <v>90.555000000000007</v>
      </c>
    </row>
    <row r="1943" spans="1:12" x14ac:dyDescent="0.25">
      <c r="A1943" s="1">
        <v>44459</v>
      </c>
      <c r="B1943">
        <v>25.71</v>
      </c>
      <c r="C1943" s="1">
        <v>44459</v>
      </c>
      <c r="D1943">
        <v>28.85</v>
      </c>
      <c r="E1943" s="1">
        <v>44406</v>
      </c>
      <c r="F1943">
        <v>62.08</v>
      </c>
      <c r="G1943" s="1">
        <v>44454</v>
      </c>
      <c r="H1943">
        <v>32.380000000000003</v>
      </c>
      <c r="I1943" s="1">
        <v>44454</v>
      </c>
      <c r="J1943">
        <v>15.14</v>
      </c>
      <c r="K1943" s="1">
        <v>44361</v>
      </c>
      <c r="L1943">
        <v>90.522000000000006</v>
      </c>
    </row>
    <row r="1944" spans="1:12" x14ac:dyDescent="0.25">
      <c r="A1944" s="1">
        <v>44460</v>
      </c>
      <c r="B1944">
        <v>24.36</v>
      </c>
      <c r="C1944" s="1">
        <v>44460</v>
      </c>
      <c r="D1944">
        <v>28.16</v>
      </c>
      <c r="E1944" s="1">
        <v>44407</v>
      </c>
      <c r="F1944">
        <v>61.19</v>
      </c>
      <c r="G1944" s="1">
        <v>44455</v>
      </c>
      <c r="H1944">
        <v>33.159999999999997</v>
      </c>
      <c r="I1944" s="1">
        <v>44455</v>
      </c>
      <c r="J1944">
        <v>15.92</v>
      </c>
      <c r="K1944" s="1">
        <v>44362</v>
      </c>
      <c r="L1944">
        <v>90.536000000000001</v>
      </c>
    </row>
    <row r="1945" spans="1:12" x14ac:dyDescent="0.25">
      <c r="A1945" s="1">
        <v>44461</v>
      </c>
      <c r="B1945">
        <v>20.87</v>
      </c>
      <c r="C1945" s="1">
        <v>44461</v>
      </c>
      <c r="D1945">
        <v>25.85</v>
      </c>
      <c r="E1945" s="1">
        <v>44410</v>
      </c>
      <c r="F1945">
        <v>64.290000000000006</v>
      </c>
      <c r="G1945" s="1">
        <v>44456</v>
      </c>
      <c r="H1945">
        <v>32.32</v>
      </c>
      <c r="I1945" s="1">
        <v>44456</v>
      </c>
      <c r="J1945">
        <v>15.92</v>
      </c>
      <c r="K1945" s="1">
        <v>44363</v>
      </c>
      <c r="L1945">
        <v>91.129000000000005</v>
      </c>
    </row>
    <row r="1946" spans="1:12" x14ac:dyDescent="0.25">
      <c r="A1946" s="1">
        <v>44462</v>
      </c>
      <c r="B1946">
        <v>18.63</v>
      </c>
      <c r="C1946" s="1">
        <v>44462</v>
      </c>
      <c r="D1946">
        <v>24.21</v>
      </c>
      <c r="E1946" s="1">
        <v>44411</v>
      </c>
      <c r="F1946">
        <v>65.42</v>
      </c>
      <c r="G1946" s="1">
        <v>44459</v>
      </c>
      <c r="H1946">
        <v>35.229999999999997</v>
      </c>
      <c r="I1946" s="1">
        <v>44459</v>
      </c>
      <c r="J1946">
        <v>16.850000000000001</v>
      </c>
      <c r="K1946" s="1">
        <v>44364</v>
      </c>
      <c r="L1946">
        <v>91.888999999999996</v>
      </c>
    </row>
    <row r="1947" spans="1:12" x14ac:dyDescent="0.25">
      <c r="A1947" s="1">
        <v>44463</v>
      </c>
      <c r="B1947">
        <v>17.75</v>
      </c>
      <c r="C1947" s="1">
        <v>44463</v>
      </c>
      <c r="D1947">
        <v>23.93</v>
      </c>
      <c r="E1947" s="1">
        <v>44412</v>
      </c>
      <c r="F1947">
        <v>62.67</v>
      </c>
      <c r="G1947" s="1">
        <v>44460</v>
      </c>
      <c r="H1947">
        <v>34.450000000000003</v>
      </c>
      <c r="I1947" s="1">
        <v>44460</v>
      </c>
      <c r="J1947">
        <v>16.46</v>
      </c>
      <c r="K1947" s="1">
        <v>44365</v>
      </c>
      <c r="L1947">
        <v>92.224999999999994</v>
      </c>
    </row>
    <row r="1948" spans="1:12" x14ac:dyDescent="0.25">
      <c r="A1948" s="1">
        <v>44466</v>
      </c>
      <c r="B1948">
        <v>18.760000000000002</v>
      </c>
      <c r="C1948" s="1">
        <v>44466</v>
      </c>
      <c r="D1948">
        <v>23.85</v>
      </c>
      <c r="E1948" s="1">
        <v>44413</v>
      </c>
      <c r="F1948">
        <v>63.57</v>
      </c>
      <c r="G1948" s="1">
        <v>44461</v>
      </c>
      <c r="H1948">
        <v>32.43</v>
      </c>
      <c r="I1948" s="1">
        <v>44461</v>
      </c>
      <c r="J1948">
        <v>16.41</v>
      </c>
      <c r="K1948" s="1">
        <v>44368</v>
      </c>
      <c r="L1948">
        <v>91.899000000000001</v>
      </c>
    </row>
    <row r="1949" spans="1:12" x14ac:dyDescent="0.25">
      <c r="A1949" s="1">
        <v>44467</v>
      </c>
      <c r="B1949">
        <v>23.25</v>
      </c>
      <c r="C1949" s="1">
        <v>44467</v>
      </c>
      <c r="D1949">
        <v>28.1</v>
      </c>
      <c r="E1949" s="1">
        <v>44414</v>
      </c>
      <c r="F1949">
        <v>62.64</v>
      </c>
      <c r="G1949" s="1">
        <v>44462</v>
      </c>
      <c r="H1949">
        <v>32.299999999999997</v>
      </c>
      <c r="I1949" s="1">
        <v>44462</v>
      </c>
      <c r="J1949">
        <v>16.82</v>
      </c>
      <c r="K1949" s="1">
        <v>44369</v>
      </c>
      <c r="L1949">
        <v>91.756</v>
      </c>
    </row>
    <row r="1950" spans="1:12" x14ac:dyDescent="0.25">
      <c r="A1950" s="1">
        <v>44468</v>
      </c>
      <c r="B1950">
        <v>22.56</v>
      </c>
      <c r="C1950" s="1">
        <v>44468</v>
      </c>
      <c r="D1950">
        <v>27.6</v>
      </c>
      <c r="E1950" s="1">
        <v>44417</v>
      </c>
      <c r="F1950">
        <v>65.72</v>
      </c>
      <c r="G1950" s="1">
        <v>44463</v>
      </c>
      <c r="H1950">
        <v>34.01</v>
      </c>
      <c r="I1950" s="1">
        <v>44463</v>
      </c>
      <c r="J1950">
        <v>16.440000000000001</v>
      </c>
      <c r="K1950" s="1">
        <v>44370</v>
      </c>
      <c r="L1950">
        <v>91.802000000000007</v>
      </c>
    </row>
    <row r="1951" spans="1:12" x14ac:dyDescent="0.25">
      <c r="A1951" s="1">
        <v>44469</v>
      </c>
      <c r="B1951">
        <v>23.14</v>
      </c>
      <c r="C1951" s="1">
        <v>44469</v>
      </c>
      <c r="D1951">
        <v>28.89</v>
      </c>
      <c r="E1951" s="1">
        <v>44418</v>
      </c>
      <c r="F1951">
        <v>66.55</v>
      </c>
      <c r="G1951" s="1">
        <v>44466</v>
      </c>
      <c r="H1951">
        <v>34.979999999999997</v>
      </c>
      <c r="I1951" s="1">
        <v>44466</v>
      </c>
      <c r="J1951">
        <v>16.2</v>
      </c>
      <c r="K1951" s="1">
        <v>44371</v>
      </c>
      <c r="L1951">
        <v>91.813999999999993</v>
      </c>
    </row>
    <row r="1952" spans="1:12" x14ac:dyDescent="0.25">
      <c r="A1952" s="1">
        <v>44470</v>
      </c>
      <c r="B1952">
        <v>21.15</v>
      </c>
      <c r="C1952" s="1">
        <v>44470</v>
      </c>
      <c r="D1952">
        <v>25.73</v>
      </c>
      <c r="E1952" s="1">
        <v>44419</v>
      </c>
      <c r="F1952">
        <v>60.66</v>
      </c>
      <c r="G1952" s="1">
        <v>44467</v>
      </c>
      <c r="H1952">
        <v>36.1</v>
      </c>
      <c r="I1952" s="1">
        <v>44467</v>
      </c>
      <c r="J1952">
        <v>16.78</v>
      </c>
      <c r="K1952" s="1">
        <v>44372</v>
      </c>
      <c r="L1952">
        <v>91.850999999999999</v>
      </c>
    </row>
    <row r="1953" spans="1:12" x14ac:dyDescent="0.25">
      <c r="A1953" s="1">
        <v>44473</v>
      </c>
      <c r="B1953">
        <v>22.96</v>
      </c>
      <c r="C1953" s="1">
        <v>44473</v>
      </c>
      <c r="D1953">
        <v>28.83</v>
      </c>
      <c r="E1953" s="1">
        <v>44420</v>
      </c>
      <c r="F1953">
        <v>57.39</v>
      </c>
      <c r="G1953" s="1">
        <v>44468</v>
      </c>
      <c r="H1953">
        <v>35.26</v>
      </c>
      <c r="I1953" s="1">
        <v>44468</v>
      </c>
      <c r="J1953">
        <v>17.39</v>
      </c>
      <c r="K1953" s="1">
        <v>44375</v>
      </c>
      <c r="L1953">
        <v>91.887</v>
      </c>
    </row>
    <row r="1954" spans="1:12" x14ac:dyDescent="0.25">
      <c r="A1954" s="1">
        <v>44474</v>
      </c>
      <c r="B1954">
        <v>21.3</v>
      </c>
      <c r="C1954" s="1">
        <v>44474</v>
      </c>
      <c r="D1954">
        <v>25.61</v>
      </c>
      <c r="E1954" s="1">
        <v>44421</v>
      </c>
      <c r="F1954">
        <v>55.45</v>
      </c>
      <c r="G1954" s="1">
        <v>44469</v>
      </c>
      <c r="H1954">
        <v>38.68</v>
      </c>
      <c r="I1954" s="1">
        <v>44469</v>
      </c>
      <c r="J1954">
        <v>17.16</v>
      </c>
      <c r="K1954" s="1">
        <v>44376</v>
      </c>
      <c r="L1954">
        <v>92.049000000000007</v>
      </c>
    </row>
    <row r="1955" spans="1:12" x14ac:dyDescent="0.25">
      <c r="A1955" s="1">
        <v>44475</v>
      </c>
      <c r="B1955">
        <v>21</v>
      </c>
      <c r="C1955" s="1">
        <v>44475</v>
      </c>
      <c r="D1955">
        <v>26.26</v>
      </c>
      <c r="E1955" s="1">
        <v>44424</v>
      </c>
      <c r="F1955">
        <v>59.4</v>
      </c>
      <c r="G1955" s="1">
        <v>44470</v>
      </c>
      <c r="H1955">
        <v>37.380000000000003</v>
      </c>
      <c r="I1955" s="1">
        <v>44470</v>
      </c>
      <c r="J1955">
        <v>16.32</v>
      </c>
      <c r="K1955" s="1">
        <v>44377</v>
      </c>
      <c r="L1955">
        <v>92.436000000000007</v>
      </c>
    </row>
    <row r="1956" spans="1:12" x14ac:dyDescent="0.25">
      <c r="A1956" s="1">
        <v>44476</v>
      </c>
      <c r="B1956">
        <v>19.54</v>
      </c>
      <c r="C1956" s="1">
        <v>44476</v>
      </c>
      <c r="D1956">
        <v>23.66</v>
      </c>
      <c r="E1956" s="1">
        <v>44425</v>
      </c>
      <c r="F1956">
        <v>60.28</v>
      </c>
      <c r="G1956" s="1">
        <v>44473</v>
      </c>
      <c r="H1956">
        <v>37.270000000000003</v>
      </c>
      <c r="I1956" s="1">
        <v>44473</v>
      </c>
      <c r="J1956">
        <v>16.77</v>
      </c>
      <c r="K1956" s="1">
        <v>44378</v>
      </c>
      <c r="L1956">
        <v>92.596999999999994</v>
      </c>
    </row>
    <row r="1957" spans="1:12" x14ac:dyDescent="0.25">
      <c r="A1957" s="1">
        <v>44477</v>
      </c>
      <c r="B1957">
        <v>18.77</v>
      </c>
      <c r="C1957" s="1">
        <v>44477</v>
      </c>
      <c r="D1957">
        <v>22.91</v>
      </c>
      <c r="E1957" s="1">
        <v>44426</v>
      </c>
      <c r="F1957">
        <v>58.05</v>
      </c>
      <c r="G1957" s="1">
        <v>44474</v>
      </c>
      <c r="H1957">
        <v>37.200000000000003</v>
      </c>
      <c r="I1957" s="1">
        <v>44474</v>
      </c>
      <c r="J1957">
        <v>16.559999999999999</v>
      </c>
      <c r="K1957" s="1">
        <v>44379</v>
      </c>
      <c r="L1957">
        <v>92.225999999999999</v>
      </c>
    </row>
    <row r="1958" spans="1:12" x14ac:dyDescent="0.25">
      <c r="A1958" s="1">
        <v>44480</v>
      </c>
      <c r="B1958">
        <v>20</v>
      </c>
      <c r="C1958" s="1">
        <v>44480</v>
      </c>
      <c r="D1958">
        <v>22.4</v>
      </c>
      <c r="E1958" s="1">
        <v>44427</v>
      </c>
      <c r="F1958">
        <v>59.38</v>
      </c>
      <c r="G1958" s="1">
        <v>44475</v>
      </c>
      <c r="H1958">
        <v>41.02</v>
      </c>
      <c r="I1958" s="1">
        <v>44475</v>
      </c>
      <c r="J1958">
        <v>16.579999999999998</v>
      </c>
      <c r="K1958" s="1">
        <v>44382</v>
      </c>
      <c r="L1958">
        <v>92.212000000000003</v>
      </c>
    </row>
    <row r="1959" spans="1:12" x14ac:dyDescent="0.25">
      <c r="A1959" s="1">
        <v>44481</v>
      </c>
      <c r="B1959">
        <v>19.850000000000001</v>
      </c>
      <c r="C1959" s="1">
        <v>44481</v>
      </c>
      <c r="D1959">
        <v>21.81</v>
      </c>
      <c r="E1959" s="1">
        <v>44428</v>
      </c>
      <c r="F1959">
        <v>59.95</v>
      </c>
      <c r="G1959" s="1">
        <v>44476</v>
      </c>
      <c r="H1959">
        <v>46.15</v>
      </c>
      <c r="I1959" s="1">
        <v>44476</v>
      </c>
      <c r="J1959">
        <v>16.29</v>
      </c>
      <c r="K1959" s="1">
        <v>44383</v>
      </c>
      <c r="L1959">
        <v>92.546000000000006</v>
      </c>
    </row>
    <row r="1960" spans="1:12" x14ac:dyDescent="0.25">
      <c r="A1960" s="1">
        <v>44482</v>
      </c>
      <c r="B1960">
        <v>18.64</v>
      </c>
      <c r="C1960" s="1">
        <v>44482</v>
      </c>
      <c r="D1960">
        <v>20.420000000000002</v>
      </c>
      <c r="E1960" s="1">
        <v>44431</v>
      </c>
      <c r="F1960">
        <v>62.23</v>
      </c>
      <c r="G1960" s="1">
        <v>44477</v>
      </c>
      <c r="H1960">
        <v>38</v>
      </c>
      <c r="I1960" s="1">
        <v>44477</v>
      </c>
      <c r="J1960">
        <v>15.67</v>
      </c>
      <c r="K1960" s="1">
        <v>44384</v>
      </c>
      <c r="L1960">
        <v>92.644000000000005</v>
      </c>
    </row>
    <row r="1961" spans="1:12" x14ac:dyDescent="0.25">
      <c r="A1961" s="1">
        <v>44483</v>
      </c>
      <c r="B1961">
        <v>16.86</v>
      </c>
      <c r="C1961" s="1">
        <v>44483</v>
      </c>
      <c r="D1961">
        <v>17.98</v>
      </c>
      <c r="E1961" s="1">
        <v>44432</v>
      </c>
      <c r="F1961">
        <v>63.03</v>
      </c>
      <c r="G1961" s="1">
        <v>44480</v>
      </c>
      <c r="H1961">
        <v>38.51</v>
      </c>
      <c r="I1961" s="1">
        <v>44480</v>
      </c>
      <c r="J1961">
        <v>15.56</v>
      </c>
      <c r="K1961" s="1">
        <v>44385</v>
      </c>
      <c r="L1961">
        <v>92.417000000000002</v>
      </c>
    </row>
    <row r="1962" spans="1:12" x14ac:dyDescent="0.25">
      <c r="A1962" s="1">
        <v>44484</v>
      </c>
      <c r="B1962">
        <v>16.3</v>
      </c>
      <c r="C1962" s="1">
        <v>44484</v>
      </c>
      <c r="D1962">
        <v>17.309999999999999</v>
      </c>
      <c r="E1962" s="1">
        <v>44433</v>
      </c>
      <c r="F1962">
        <v>64.510000000000005</v>
      </c>
      <c r="G1962" s="1">
        <v>44481</v>
      </c>
      <c r="H1962">
        <v>37.1</v>
      </c>
      <c r="I1962" s="1">
        <v>44481</v>
      </c>
      <c r="J1962">
        <v>15.1</v>
      </c>
      <c r="K1962" s="1">
        <v>44386</v>
      </c>
      <c r="L1962">
        <v>92.13</v>
      </c>
    </row>
    <row r="1963" spans="1:12" x14ac:dyDescent="0.25">
      <c r="A1963" s="1">
        <v>44487</v>
      </c>
      <c r="B1963">
        <v>16.309999999999999</v>
      </c>
      <c r="C1963" s="1">
        <v>44487</v>
      </c>
      <c r="D1963">
        <v>18.420000000000002</v>
      </c>
      <c r="E1963" s="1">
        <v>44434</v>
      </c>
      <c r="F1963">
        <v>63.41</v>
      </c>
      <c r="G1963" s="1">
        <v>44482</v>
      </c>
      <c r="H1963">
        <v>36.049999999999997</v>
      </c>
      <c r="I1963" s="1">
        <v>44482</v>
      </c>
      <c r="J1963">
        <v>15.51</v>
      </c>
      <c r="K1963" s="1">
        <v>44389</v>
      </c>
      <c r="L1963">
        <v>92.260999999999996</v>
      </c>
    </row>
    <row r="1964" spans="1:12" x14ac:dyDescent="0.25">
      <c r="A1964" s="1">
        <v>44488</v>
      </c>
      <c r="B1964">
        <v>15.7</v>
      </c>
      <c r="C1964" s="1">
        <v>44488</v>
      </c>
      <c r="D1964">
        <v>18.45</v>
      </c>
      <c r="E1964" s="1">
        <v>44435</v>
      </c>
      <c r="F1964">
        <v>57.98</v>
      </c>
      <c r="G1964" s="1">
        <v>44483</v>
      </c>
      <c r="H1964">
        <v>36.979999999999997</v>
      </c>
      <c r="I1964" s="1">
        <v>44483</v>
      </c>
      <c r="J1964">
        <v>15.34</v>
      </c>
      <c r="K1964" s="1">
        <v>44390</v>
      </c>
      <c r="L1964">
        <v>92.751999999999995</v>
      </c>
    </row>
    <row r="1965" spans="1:12" x14ac:dyDescent="0.25">
      <c r="A1965" s="1">
        <v>44489</v>
      </c>
      <c r="B1965">
        <v>15.49</v>
      </c>
      <c r="C1965" s="1">
        <v>44489</v>
      </c>
      <c r="D1965">
        <v>19.04</v>
      </c>
      <c r="E1965" s="1">
        <v>44438</v>
      </c>
      <c r="F1965">
        <v>60.14</v>
      </c>
      <c r="G1965" s="1">
        <v>44484</v>
      </c>
      <c r="H1965">
        <v>34.049999999999997</v>
      </c>
      <c r="I1965" s="1">
        <v>44484</v>
      </c>
      <c r="J1965">
        <v>15.06</v>
      </c>
      <c r="K1965" s="1">
        <v>44391</v>
      </c>
      <c r="L1965">
        <v>92.41</v>
      </c>
    </row>
    <row r="1966" spans="1:12" x14ac:dyDescent="0.25">
      <c r="A1966" s="1">
        <v>44490</v>
      </c>
      <c r="B1966">
        <v>15.01</v>
      </c>
      <c r="C1966" s="1">
        <v>44490</v>
      </c>
      <c r="D1966">
        <v>19.11</v>
      </c>
      <c r="E1966" s="1">
        <v>44439</v>
      </c>
      <c r="F1966">
        <v>59.54</v>
      </c>
      <c r="G1966" s="1">
        <v>44487</v>
      </c>
      <c r="H1966">
        <v>35.020000000000003</v>
      </c>
      <c r="I1966" s="1">
        <v>44487</v>
      </c>
      <c r="J1966">
        <v>15.53</v>
      </c>
      <c r="K1966" s="1">
        <v>44392</v>
      </c>
      <c r="L1966">
        <v>92.623999999999995</v>
      </c>
    </row>
    <row r="1967" spans="1:12" x14ac:dyDescent="0.25">
      <c r="A1967" s="1">
        <v>44491</v>
      </c>
      <c r="B1967">
        <v>15.43</v>
      </c>
      <c r="C1967" s="1">
        <v>44491</v>
      </c>
      <c r="D1967">
        <v>19.22</v>
      </c>
      <c r="E1967" s="1">
        <v>44440</v>
      </c>
      <c r="F1967">
        <v>58.09</v>
      </c>
      <c r="G1967" s="1">
        <v>44488</v>
      </c>
      <c r="H1967">
        <v>35.14</v>
      </c>
      <c r="I1967" s="1">
        <v>44488</v>
      </c>
      <c r="J1967">
        <v>15.32</v>
      </c>
      <c r="K1967" s="1">
        <v>44393</v>
      </c>
      <c r="L1967">
        <v>92.686999999999998</v>
      </c>
    </row>
    <row r="1968" spans="1:12" x14ac:dyDescent="0.25">
      <c r="A1968" s="1">
        <v>44494</v>
      </c>
      <c r="B1968">
        <v>15.24</v>
      </c>
      <c r="C1968" s="1">
        <v>44494</v>
      </c>
      <c r="D1968">
        <v>19.43</v>
      </c>
      <c r="E1968" s="1">
        <v>44441</v>
      </c>
      <c r="F1968">
        <v>55.8</v>
      </c>
      <c r="G1968" s="1">
        <v>44489</v>
      </c>
      <c r="H1968">
        <v>35.159999999999997</v>
      </c>
      <c r="I1968" s="1">
        <v>44489</v>
      </c>
      <c r="J1968">
        <v>15.27</v>
      </c>
      <c r="K1968" s="1">
        <v>44396</v>
      </c>
      <c r="L1968">
        <v>92.891000000000005</v>
      </c>
    </row>
    <row r="1969" spans="1:12" x14ac:dyDescent="0.25">
      <c r="A1969" s="1">
        <v>44495</v>
      </c>
      <c r="B1969">
        <v>15.98</v>
      </c>
      <c r="C1969" s="1">
        <v>44495</v>
      </c>
      <c r="D1969">
        <v>19.600000000000001</v>
      </c>
      <c r="E1969" s="1">
        <v>44442</v>
      </c>
      <c r="F1969">
        <v>53.26</v>
      </c>
      <c r="G1969" s="1">
        <v>44490</v>
      </c>
      <c r="H1969">
        <v>36.549999999999997</v>
      </c>
      <c r="I1969" s="1">
        <v>44490</v>
      </c>
      <c r="J1969">
        <v>15.15</v>
      </c>
      <c r="K1969" s="1">
        <v>44397</v>
      </c>
      <c r="L1969">
        <v>92.972999999999999</v>
      </c>
    </row>
    <row r="1970" spans="1:12" x14ac:dyDescent="0.25">
      <c r="A1970" s="1">
        <v>44496</v>
      </c>
      <c r="B1970">
        <v>16.98</v>
      </c>
      <c r="C1970" s="1">
        <v>44496</v>
      </c>
      <c r="D1970">
        <v>20.51</v>
      </c>
      <c r="E1970" s="1">
        <v>44446</v>
      </c>
      <c r="F1970">
        <v>57.05</v>
      </c>
      <c r="G1970" s="1">
        <v>44491</v>
      </c>
      <c r="H1970">
        <v>36.869999999999997</v>
      </c>
      <c r="I1970" s="1">
        <v>44491</v>
      </c>
      <c r="J1970">
        <v>15.74</v>
      </c>
      <c r="K1970" s="1">
        <v>44398</v>
      </c>
      <c r="L1970">
        <v>92.754000000000005</v>
      </c>
    </row>
    <row r="1971" spans="1:12" x14ac:dyDescent="0.25">
      <c r="A1971" s="1">
        <v>44497</v>
      </c>
      <c r="B1971">
        <v>16.53</v>
      </c>
      <c r="C1971" s="1">
        <v>44497</v>
      </c>
      <c r="D1971">
        <v>20.49</v>
      </c>
      <c r="E1971" s="1">
        <v>44447</v>
      </c>
      <c r="F1971">
        <v>57.02</v>
      </c>
      <c r="G1971" s="1">
        <v>44494</v>
      </c>
      <c r="H1971">
        <v>36.07</v>
      </c>
      <c r="I1971" s="1">
        <v>44494</v>
      </c>
      <c r="J1971">
        <v>16.73</v>
      </c>
      <c r="K1971" s="1">
        <v>44399</v>
      </c>
      <c r="L1971">
        <v>92.822000000000003</v>
      </c>
    </row>
    <row r="1972" spans="1:12" x14ac:dyDescent="0.25">
      <c r="A1972" s="1">
        <v>44498</v>
      </c>
      <c r="B1972">
        <v>16.260000000000002</v>
      </c>
      <c r="C1972" s="1">
        <v>44498</v>
      </c>
      <c r="D1972">
        <v>20.190000000000001</v>
      </c>
      <c r="E1972" s="1">
        <v>44448</v>
      </c>
      <c r="F1972">
        <v>52.61</v>
      </c>
      <c r="G1972" s="1">
        <v>44495</v>
      </c>
      <c r="H1972">
        <v>35.5</v>
      </c>
      <c r="I1972" s="1">
        <v>44495</v>
      </c>
      <c r="J1972">
        <v>15.96</v>
      </c>
      <c r="K1972" s="1">
        <v>44400</v>
      </c>
      <c r="L1972">
        <v>92.912000000000006</v>
      </c>
    </row>
    <row r="1973" spans="1:12" x14ac:dyDescent="0.25">
      <c r="A1973" s="1">
        <v>44501</v>
      </c>
      <c r="B1973">
        <v>16.41</v>
      </c>
      <c r="C1973" s="1">
        <v>44501</v>
      </c>
      <c r="D1973">
        <v>21.51</v>
      </c>
      <c r="E1973" s="1">
        <v>44449</v>
      </c>
      <c r="F1973">
        <v>51.73</v>
      </c>
      <c r="G1973" s="1">
        <v>44496</v>
      </c>
      <c r="H1973">
        <v>37.630000000000003</v>
      </c>
      <c r="I1973" s="1">
        <v>44496</v>
      </c>
      <c r="J1973">
        <v>16.079999999999998</v>
      </c>
      <c r="K1973" s="1">
        <v>44403</v>
      </c>
      <c r="L1973">
        <v>92.649000000000001</v>
      </c>
    </row>
    <row r="1974" spans="1:12" x14ac:dyDescent="0.25">
      <c r="A1974" s="1">
        <v>44502</v>
      </c>
      <c r="B1974">
        <v>16.03</v>
      </c>
      <c r="C1974" s="1">
        <v>44502</v>
      </c>
      <c r="D1974">
        <v>21.65</v>
      </c>
      <c r="E1974" s="1">
        <v>44452</v>
      </c>
      <c r="F1974">
        <v>53.1</v>
      </c>
      <c r="G1974" s="1">
        <v>44497</v>
      </c>
      <c r="H1974">
        <v>37.229999999999997</v>
      </c>
      <c r="I1974" s="1">
        <v>44497</v>
      </c>
      <c r="J1974">
        <v>15.8</v>
      </c>
      <c r="K1974" s="1">
        <v>44404</v>
      </c>
      <c r="L1974">
        <v>92.432000000000002</v>
      </c>
    </row>
    <row r="1975" spans="1:12" x14ac:dyDescent="0.25">
      <c r="A1975" s="1">
        <v>44503</v>
      </c>
      <c r="B1975">
        <v>15.1</v>
      </c>
      <c r="C1975" s="1">
        <v>44503</v>
      </c>
      <c r="D1975">
        <v>20.98</v>
      </c>
      <c r="E1975" s="1">
        <v>44453</v>
      </c>
      <c r="F1975">
        <v>51.73</v>
      </c>
      <c r="G1975" s="1">
        <v>44498</v>
      </c>
      <c r="H1975">
        <v>37.92</v>
      </c>
      <c r="I1975" s="1">
        <v>44498</v>
      </c>
      <c r="J1975">
        <v>16.07</v>
      </c>
      <c r="K1975" s="1">
        <v>44405</v>
      </c>
      <c r="L1975">
        <v>92.322000000000003</v>
      </c>
    </row>
    <row r="1976" spans="1:12" x14ac:dyDescent="0.25">
      <c r="A1976" s="1">
        <v>44504</v>
      </c>
      <c r="B1976">
        <v>15.44</v>
      </c>
      <c r="C1976" s="1">
        <v>44504</v>
      </c>
      <c r="D1976">
        <v>20.62</v>
      </c>
      <c r="E1976" s="1">
        <v>44454</v>
      </c>
      <c r="F1976">
        <v>53.93</v>
      </c>
      <c r="G1976" s="1">
        <v>44501</v>
      </c>
      <c r="H1976">
        <v>36.74</v>
      </c>
      <c r="I1976" s="1">
        <v>44501</v>
      </c>
      <c r="J1976">
        <v>16.309999999999999</v>
      </c>
      <c r="K1976" s="1">
        <v>44406</v>
      </c>
      <c r="L1976">
        <v>91.864000000000004</v>
      </c>
    </row>
    <row r="1977" spans="1:12" x14ac:dyDescent="0.25">
      <c r="A1977" s="1">
        <v>44505</v>
      </c>
      <c r="B1977">
        <v>16.48</v>
      </c>
      <c r="C1977" s="1">
        <v>44505</v>
      </c>
      <c r="D1977">
        <v>20.45</v>
      </c>
      <c r="E1977" s="1">
        <v>44455</v>
      </c>
      <c r="F1977">
        <v>53.7</v>
      </c>
      <c r="G1977" s="1">
        <v>44502</v>
      </c>
      <c r="H1977">
        <v>35.56</v>
      </c>
      <c r="I1977" s="1">
        <v>44502</v>
      </c>
      <c r="J1977">
        <v>16.47</v>
      </c>
      <c r="K1977" s="1">
        <v>44407</v>
      </c>
      <c r="L1977">
        <v>92.174000000000007</v>
      </c>
    </row>
    <row r="1978" spans="1:12" x14ac:dyDescent="0.25">
      <c r="A1978" s="1">
        <v>44508</v>
      </c>
      <c r="B1978">
        <v>17.22</v>
      </c>
      <c r="C1978" s="1">
        <v>44508</v>
      </c>
      <c r="D1978">
        <v>21.11</v>
      </c>
      <c r="E1978" s="1">
        <v>44456</v>
      </c>
      <c r="F1978">
        <v>56.06</v>
      </c>
      <c r="G1978" s="1">
        <v>44503</v>
      </c>
      <c r="H1978">
        <v>39.44</v>
      </c>
      <c r="I1978" s="1">
        <v>44503</v>
      </c>
      <c r="J1978">
        <v>16.28</v>
      </c>
      <c r="K1978" s="1">
        <v>44410</v>
      </c>
      <c r="L1978">
        <v>92.048000000000002</v>
      </c>
    </row>
    <row r="1979" spans="1:12" x14ac:dyDescent="0.25">
      <c r="A1979" s="1">
        <v>44509</v>
      </c>
      <c r="B1979">
        <v>17.78</v>
      </c>
      <c r="C1979" s="1">
        <v>44509</v>
      </c>
      <c r="D1979">
        <v>21.76</v>
      </c>
      <c r="E1979" s="1">
        <v>44459</v>
      </c>
      <c r="F1979">
        <v>59.58</v>
      </c>
      <c r="G1979" s="1">
        <v>44504</v>
      </c>
      <c r="H1979">
        <v>38.56</v>
      </c>
      <c r="I1979" s="1">
        <v>44504</v>
      </c>
      <c r="J1979">
        <v>15.87</v>
      </c>
      <c r="K1979" s="1">
        <v>44411</v>
      </c>
      <c r="L1979">
        <v>92.081000000000003</v>
      </c>
    </row>
    <row r="1980" spans="1:12" x14ac:dyDescent="0.25">
      <c r="A1980" s="1">
        <v>44510</v>
      </c>
      <c r="B1980">
        <v>18.73</v>
      </c>
      <c r="C1980" s="1">
        <v>44510</v>
      </c>
      <c r="D1980">
        <v>21.95</v>
      </c>
      <c r="E1980" s="1">
        <v>44460</v>
      </c>
      <c r="F1980">
        <v>59.2</v>
      </c>
      <c r="G1980" s="1">
        <v>44505</v>
      </c>
      <c r="H1980">
        <v>37.840000000000003</v>
      </c>
      <c r="I1980" s="1">
        <v>44505</v>
      </c>
      <c r="J1980">
        <v>16.64</v>
      </c>
      <c r="K1980" s="1">
        <v>44412</v>
      </c>
      <c r="L1980">
        <v>92.27</v>
      </c>
    </row>
    <row r="1981" spans="1:12" x14ac:dyDescent="0.25">
      <c r="A1981" s="1">
        <v>44511</v>
      </c>
      <c r="B1981">
        <v>17.66</v>
      </c>
      <c r="C1981" s="1">
        <v>44511</v>
      </c>
      <c r="D1981">
        <v>20.75</v>
      </c>
      <c r="E1981" s="1">
        <v>44461</v>
      </c>
      <c r="F1981">
        <v>55.92</v>
      </c>
      <c r="G1981" s="1">
        <v>44508</v>
      </c>
      <c r="H1981">
        <v>37.71</v>
      </c>
      <c r="I1981" s="1">
        <v>44508</v>
      </c>
      <c r="J1981">
        <v>16.66</v>
      </c>
      <c r="K1981" s="1">
        <v>44413</v>
      </c>
      <c r="L1981">
        <v>92.244</v>
      </c>
    </row>
    <row r="1982" spans="1:12" x14ac:dyDescent="0.25">
      <c r="A1982" s="1">
        <v>44512</v>
      </c>
      <c r="B1982">
        <v>16.29</v>
      </c>
      <c r="C1982" s="1">
        <v>44512</v>
      </c>
      <c r="D1982">
        <v>21</v>
      </c>
      <c r="E1982" s="1">
        <v>44462</v>
      </c>
      <c r="F1982">
        <v>56.79</v>
      </c>
      <c r="G1982" s="1">
        <v>44509</v>
      </c>
      <c r="H1982">
        <v>36.33</v>
      </c>
      <c r="I1982" s="1">
        <v>44509</v>
      </c>
      <c r="J1982">
        <v>16.760000000000002</v>
      </c>
      <c r="K1982" s="1">
        <v>44414</v>
      </c>
      <c r="L1982">
        <v>92.8</v>
      </c>
    </row>
    <row r="1983" spans="1:12" x14ac:dyDescent="0.25">
      <c r="A1983" s="1">
        <v>44515</v>
      </c>
      <c r="B1983">
        <v>16.489999999999998</v>
      </c>
      <c r="C1983" s="1">
        <v>44515</v>
      </c>
      <c r="D1983">
        <v>21.07</v>
      </c>
      <c r="E1983" s="1">
        <v>44463</v>
      </c>
      <c r="F1983">
        <v>58.46</v>
      </c>
      <c r="G1983" s="1">
        <v>44510</v>
      </c>
      <c r="H1983">
        <v>37.090000000000003</v>
      </c>
      <c r="I1983" s="1">
        <v>44510</v>
      </c>
      <c r="J1983">
        <v>16.8</v>
      </c>
      <c r="K1983" s="1">
        <v>44417</v>
      </c>
      <c r="L1983">
        <v>92.944999999999993</v>
      </c>
    </row>
    <row r="1984" spans="1:12" x14ac:dyDescent="0.25">
      <c r="A1984" s="1">
        <v>44516</v>
      </c>
      <c r="B1984">
        <v>16.37</v>
      </c>
      <c r="C1984" s="1">
        <v>44516</v>
      </c>
      <c r="D1984">
        <v>20.64</v>
      </c>
      <c r="E1984" s="1">
        <v>44466</v>
      </c>
      <c r="F1984">
        <v>60.5</v>
      </c>
      <c r="G1984" s="1">
        <v>44511</v>
      </c>
      <c r="H1984">
        <v>36.200000000000003</v>
      </c>
      <c r="I1984" s="1">
        <v>44511</v>
      </c>
      <c r="J1984">
        <v>16.95</v>
      </c>
      <c r="K1984" s="1">
        <v>44418</v>
      </c>
      <c r="L1984">
        <v>93.055000000000007</v>
      </c>
    </row>
    <row r="1985" spans="1:12" x14ac:dyDescent="0.25">
      <c r="A1985" s="1">
        <v>44517</v>
      </c>
      <c r="B1985">
        <v>17.11</v>
      </c>
      <c r="C1985" s="1">
        <v>44517</v>
      </c>
      <c r="D1985">
        <v>20.56</v>
      </c>
      <c r="E1985" s="1">
        <v>44467</v>
      </c>
      <c r="F1985">
        <v>62.71</v>
      </c>
      <c r="G1985" s="1">
        <v>44512</v>
      </c>
      <c r="H1985">
        <v>36.1</v>
      </c>
      <c r="I1985" s="1">
        <v>44512</v>
      </c>
      <c r="J1985">
        <v>16.850000000000001</v>
      </c>
      <c r="K1985" s="1">
        <v>44419</v>
      </c>
      <c r="L1985">
        <v>92.921999999999997</v>
      </c>
    </row>
    <row r="1986" spans="1:12" x14ac:dyDescent="0.25">
      <c r="A1986" s="1">
        <v>44518</v>
      </c>
      <c r="B1986">
        <v>17.59</v>
      </c>
      <c r="C1986" s="1">
        <v>44518</v>
      </c>
      <c r="D1986">
        <v>21.36</v>
      </c>
      <c r="E1986" s="1">
        <v>44468</v>
      </c>
      <c r="F1986">
        <v>61.21</v>
      </c>
      <c r="G1986" s="1">
        <v>44515</v>
      </c>
      <c r="H1986">
        <v>36.42</v>
      </c>
      <c r="I1986" s="1">
        <v>44515</v>
      </c>
      <c r="J1986">
        <v>17</v>
      </c>
      <c r="K1986" s="1">
        <v>44420</v>
      </c>
      <c r="L1986">
        <v>93.034999999999997</v>
      </c>
    </row>
    <row r="1987" spans="1:12" x14ac:dyDescent="0.25">
      <c r="A1987" s="1">
        <v>44519</v>
      </c>
      <c r="B1987">
        <v>17.91</v>
      </c>
      <c r="C1987" s="1">
        <v>44519</v>
      </c>
      <c r="D1987">
        <v>21.6</v>
      </c>
      <c r="E1987" s="1">
        <v>44469</v>
      </c>
      <c r="F1987">
        <v>61.07</v>
      </c>
      <c r="G1987" s="1">
        <v>44516</v>
      </c>
      <c r="H1987">
        <v>34.69</v>
      </c>
      <c r="I1987" s="1">
        <v>44516</v>
      </c>
      <c r="J1987">
        <v>16.670000000000002</v>
      </c>
      <c r="K1987" s="1">
        <v>44421</v>
      </c>
      <c r="L1987">
        <v>92.518000000000001</v>
      </c>
    </row>
    <row r="1988" spans="1:12" x14ac:dyDescent="0.25">
      <c r="A1988" s="1">
        <v>44522</v>
      </c>
      <c r="B1988">
        <v>19.170000000000002</v>
      </c>
      <c r="C1988" s="1">
        <v>44522</v>
      </c>
      <c r="D1988">
        <v>22.11</v>
      </c>
      <c r="E1988" s="1">
        <v>44470</v>
      </c>
      <c r="F1988">
        <v>57.38</v>
      </c>
      <c r="G1988" s="1">
        <v>44517</v>
      </c>
      <c r="H1988">
        <v>33.75</v>
      </c>
      <c r="I1988" s="1">
        <v>44517</v>
      </c>
      <c r="J1988">
        <v>16.690000000000001</v>
      </c>
      <c r="K1988" s="1">
        <v>44424</v>
      </c>
      <c r="L1988">
        <v>92.628</v>
      </c>
    </row>
    <row r="1989" spans="1:12" x14ac:dyDescent="0.25">
      <c r="A1989" s="1">
        <v>44523</v>
      </c>
      <c r="B1989">
        <v>19.38</v>
      </c>
      <c r="C1989" s="1">
        <v>44523</v>
      </c>
      <c r="D1989">
        <v>23.32</v>
      </c>
      <c r="E1989" s="1">
        <v>44473</v>
      </c>
      <c r="F1989">
        <v>60.61</v>
      </c>
      <c r="G1989" s="1">
        <v>44518</v>
      </c>
      <c r="H1989">
        <v>37.68</v>
      </c>
      <c r="I1989" s="1">
        <v>44518</v>
      </c>
      <c r="J1989">
        <v>16.25</v>
      </c>
      <c r="K1989" s="1">
        <v>44425</v>
      </c>
      <c r="L1989">
        <v>93.13</v>
      </c>
    </row>
    <row r="1990" spans="1:12" x14ac:dyDescent="0.25">
      <c r="A1990" s="1">
        <v>44524</v>
      </c>
      <c r="B1990">
        <v>18.579999999999998</v>
      </c>
      <c r="C1990" s="1">
        <v>44524</v>
      </c>
      <c r="D1990">
        <v>22.3</v>
      </c>
      <c r="E1990" s="1">
        <v>44474</v>
      </c>
      <c r="F1990">
        <v>62.83</v>
      </c>
      <c r="G1990" s="1">
        <v>44519</v>
      </c>
      <c r="H1990">
        <v>37.130000000000003</v>
      </c>
      <c r="I1990" s="1">
        <v>44519</v>
      </c>
      <c r="J1990">
        <v>15.99</v>
      </c>
      <c r="K1990" s="1">
        <v>44426</v>
      </c>
      <c r="L1990">
        <v>93.135999999999996</v>
      </c>
    </row>
    <row r="1991" spans="1:12" x14ac:dyDescent="0.25">
      <c r="A1991" s="1">
        <v>44526</v>
      </c>
      <c r="B1991">
        <v>28.62</v>
      </c>
      <c r="C1991" s="1">
        <v>44526</v>
      </c>
      <c r="D1991">
        <v>28.6</v>
      </c>
      <c r="E1991" s="1">
        <v>44475</v>
      </c>
      <c r="F1991">
        <v>60.65</v>
      </c>
      <c r="G1991" s="1">
        <v>44522</v>
      </c>
      <c r="H1991">
        <v>36.61</v>
      </c>
      <c r="I1991" s="1">
        <v>44522</v>
      </c>
      <c r="J1991">
        <v>16.59</v>
      </c>
      <c r="K1991" s="1">
        <v>44427</v>
      </c>
      <c r="L1991">
        <v>93.567999999999998</v>
      </c>
    </row>
    <row r="1992" spans="1:12" x14ac:dyDescent="0.25">
      <c r="A1992" s="1">
        <v>44529</v>
      </c>
      <c r="B1992">
        <v>22.96</v>
      </c>
      <c r="C1992" s="1">
        <v>44529</v>
      </c>
      <c r="D1992">
        <v>26.56</v>
      </c>
      <c r="E1992" s="1">
        <v>44476</v>
      </c>
      <c r="F1992">
        <v>60.91</v>
      </c>
      <c r="G1992" s="1">
        <v>44523</v>
      </c>
      <c r="H1992">
        <v>35.1</v>
      </c>
      <c r="I1992" s="1">
        <v>44523</v>
      </c>
      <c r="J1992">
        <v>16.809999999999999</v>
      </c>
      <c r="K1992" s="1">
        <v>44428</v>
      </c>
      <c r="L1992">
        <v>93.495999999999995</v>
      </c>
    </row>
    <row r="1993" spans="1:12" x14ac:dyDescent="0.25">
      <c r="A1993" s="1">
        <v>44530</v>
      </c>
      <c r="B1993">
        <v>27.19</v>
      </c>
      <c r="C1993" s="1">
        <v>44530</v>
      </c>
      <c r="D1993">
        <v>28.82</v>
      </c>
      <c r="E1993" s="1">
        <v>44477</v>
      </c>
      <c r="F1993">
        <v>59.65</v>
      </c>
      <c r="G1993" s="1">
        <v>44524</v>
      </c>
      <c r="H1993">
        <v>34.79</v>
      </c>
      <c r="I1993" s="1">
        <v>44524</v>
      </c>
      <c r="J1993">
        <v>16.75</v>
      </c>
      <c r="K1993" s="1">
        <v>44431</v>
      </c>
      <c r="L1993">
        <v>92.957999999999998</v>
      </c>
    </row>
    <row r="1994" spans="1:12" x14ac:dyDescent="0.25">
      <c r="A1994" s="1">
        <v>44531</v>
      </c>
      <c r="B1994">
        <v>31.12</v>
      </c>
      <c r="C1994" s="1">
        <v>44531</v>
      </c>
      <c r="D1994">
        <v>30.1</v>
      </c>
      <c r="E1994" s="1">
        <v>44481</v>
      </c>
      <c r="F1994">
        <v>62.95</v>
      </c>
      <c r="G1994" s="1">
        <v>44526</v>
      </c>
      <c r="H1994">
        <v>65.72</v>
      </c>
      <c r="I1994" s="1">
        <v>44526</v>
      </c>
      <c r="J1994">
        <v>17.989999999999998</v>
      </c>
      <c r="K1994" s="1">
        <v>44432</v>
      </c>
      <c r="L1994">
        <v>92.893000000000001</v>
      </c>
    </row>
    <row r="1995" spans="1:12" x14ac:dyDescent="0.25">
      <c r="A1995" s="1">
        <v>44532</v>
      </c>
      <c r="B1995">
        <v>27.95</v>
      </c>
      <c r="C1995" s="1">
        <v>44532</v>
      </c>
      <c r="D1995">
        <v>28.01</v>
      </c>
      <c r="E1995" s="1">
        <v>44482</v>
      </c>
      <c r="F1995">
        <v>60.84</v>
      </c>
      <c r="G1995" s="1">
        <v>44529</v>
      </c>
      <c r="H1995">
        <v>63.34</v>
      </c>
      <c r="I1995" s="1">
        <v>44529</v>
      </c>
      <c r="J1995">
        <v>17.55</v>
      </c>
      <c r="K1995" s="1">
        <v>44433</v>
      </c>
      <c r="L1995">
        <v>92.825000000000003</v>
      </c>
    </row>
    <row r="1996" spans="1:12" x14ac:dyDescent="0.25">
      <c r="A1996" s="1">
        <v>44533</v>
      </c>
      <c r="B1996">
        <v>30.67</v>
      </c>
      <c r="C1996" s="1">
        <v>44533</v>
      </c>
      <c r="D1996">
        <v>31.61</v>
      </c>
      <c r="E1996" s="1">
        <v>44483</v>
      </c>
      <c r="F1996">
        <v>59.35</v>
      </c>
      <c r="G1996" s="1">
        <v>44530</v>
      </c>
      <c r="H1996">
        <v>75.23</v>
      </c>
      <c r="I1996" s="1">
        <v>44530</v>
      </c>
      <c r="J1996">
        <v>17.989999999999998</v>
      </c>
      <c r="K1996" s="1">
        <v>44434</v>
      </c>
      <c r="L1996">
        <v>93.061999999999998</v>
      </c>
    </row>
    <row r="1997" spans="1:12" x14ac:dyDescent="0.25">
      <c r="A1997" s="1">
        <v>44536</v>
      </c>
      <c r="B1997">
        <v>27.18</v>
      </c>
      <c r="C1997" s="1">
        <v>44536</v>
      </c>
      <c r="D1997">
        <v>28.38</v>
      </c>
      <c r="E1997" s="1">
        <v>44484</v>
      </c>
      <c r="F1997">
        <v>62.7</v>
      </c>
      <c r="G1997" s="1">
        <v>44531</v>
      </c>
      <c r="H1997">
        <v>78.180000000000007</v>
      </c>
      <c r="I1997" s="1">
        <v>44531</v>
      </c>
      <c r="J1997">
        <v>18.39</v>
      </c>
      <c r="K1997" s="1">
        <v>44435</v>
      </c>
      <c r="L1997">
        <v>92.686000000000007</v>
      </c>
    </row>
    <row r="1998" spans="1:12" x14ac:dyDescent="0.25">
      <c r="A1998" s="1">
        <v>44537</v>
      </c>
      <c r="B1998">
        <v>21.89</v>
      </c>
      <c r="C1998" s="1">
        <v>44537</v>
      </c>
      <c r="D1998">
        <v>24.96</v>
      </c>
      <c r="E1998" s="1">
        <v>44487</v>
      </c>
      <c r="F1998">
        <v>70.77</v>
      </c>
      <c r="G1998" s="1">
        <v>44532</v>
      </c>
      <c r="H1998">
        <v>57.27</v>
      </c>
      <c r="I1998" s="1">
        <v>44532</v>
      </c>
      <c r="J1998">
        <v>18.45</v>
      </c>
      <c r="K1998" s="1">
        <v>44438</v>
      </c>
      <c r="L1998">
        <v>92.653000000000006</v>
      </c>
    </row>
    <row r="1999" spans="1:12" x14ac:dyDescent="0.25">
      <c r="A1999" s="1">
        <v>44538</v>
      </c>
      <c r="B1999">
        <v>19.899999999999999</v>
      </c>
      <c r="C1999" s="1">
        <v>44538</v>
      </c>
      <c r="D1999">
        <v>23.29</v>
      </c>
      <c r="E1999" s="1">
        <v>44488</v>
      </c>
      <c r="F1999">
        <v>68.25</v>
      </c>
      <c r="G1999" s="1">
        <v>44533</v>
      </c>
      <c r="H1999">
        <v>64.55</v>
      </c>
      <c r="I1999" s="1">
        <v>44533</v>
      </c>
      <c r="J1999">
        <v>17.920000000000002</v>
      </c>
      <c r="K1999" s="1">
        <v>44439</v>
      </c>
      <c r="L1999">
        <v>92.626000000000005</v>
      </c>
    </row>
    <row r="2000" spans="1:12" x14ac:dyDescent="0.25">
      <c r="A2000" s="1">
        <v>44539</v>
      </c>
      <c r="B2000">
        <v>21.58</v>
      </c>
      <c r="C2000" s="1">
        <v>44539</v>
      </c>
      <c r="D2000">
        <v>22.14</v>
      </c>
      <c r="E2000" s="1">
        <v>44489</v>
      </c>
      <c r="F2000">
        <v>65.47</v>
      </c>
      <c r="G2000" s="1">
        <v>44536</v>
      </c>
      <c r="H2000">
        <v>56.21</v>
      </c>
      <c r="I2000" s="1">
        <v>44536</v>
      </c>
      <c r="J2000">
        <v>17.440000000000001</v>
      </c>
      <c r="K2000" s="1">
        <v>44440</v>
      </c>
      <c r="L2000">
        <v>92.448999999999998</v>
      </c>
    </row>
    <row r="2001" spans="1:12" x14ac:dyDescent="0.25">
      <c r="A2001" s="1">
        <v>44540</v>
      </c>
      <c r="B2001">
        <v>18.690000000000001</v>
      </c>
      <c r="C2001" s="1">
        <v>44540</v>
      </c>
      <c r="D2001">
        <v>20.61</v>
      </c>
      <c r="E2001" s="1">
        <v>44490</v>
      </c>
      <c r="F2001">
        <v>69.42</v>
      </c>
      <c r="G2001" s="1">
        <v>44537</v>
      </c>
      <c r="H2001">
        <v>48.15</v>
      </c>
      <c r="I2001" s="1">
        <v>44537</v>
      </c>
      <c r="J2001">
        <v>17.02</v>
      </c>
      <c r="K2001" s="1">
        <v>44441</v>
      </c>
      <c r="L2001">
        <v>92.224999999999994</v>
      </c>
    </row>
    <row r="2002" spans="1:12" x14ac:dyDescent="0.25">
      <c r="A2002" s="1">
        <v>44543</v>
      </c>
      <c r="B2002">
        <v>20.309999999999999</v>
      </c>
      <c r="C2002" s="1">
        <v>44543</v>
      </c>
      <c r="D2002">
        <v>21.2</v>
      </c>
      <c r="E2002" s="1">
        <v>44491</v>
      </c>
      <c r="F2002">
        <v>72.040000000000006</v>
      </c>
      <c r="G2002" s="1">
        <v>44538</v>
      </c>
      <c r="H2002">
        <v>45.22</v>
      </c>
      <c r="I2002" s="1">
        <v>44538</v>
      </c>
      <c r="J2002">
        <v>16.48</v>
      </c>
      <c r="K2002" s="1">
        <v>44442</v>
      </c>
      <c r="L2002">
        <v>92.034999999999997</v>
      </c>
    </row>
    <row r="2003" spans="1:12" x14ac:dyDescent="0.25">
      <c r="A2003" s="1">
        <v>44544</v>
      </c>
      <c r="B2003">
        <v>21.89</v>
      </c>
      <c r="C2003" s="1">
        <v>44544</v>
      </c>
      <c r="D2003">
        <v>22.3</v>
      </c>
      <c r="E2003" s="1">
        <v>44494</v>
      </c>
      <c r="F2003">
        <v>68.959999999999994</v>
      </c>
      <c r="G2003" s="1">
        <v>44539</v>
      </c>
      <c r="H2003">
        <v>47.43</v>
      </c>
      <c r="I2003" s="1">
        <v>44539</v>
      </c>
      <c r="J2003">
        <v>16.7</v>
      </c>
      <c r="K2003" s="1">
        <v>44445</v>
      </c>
      <c r="L2003">
        <v>92.034999999999997</v>
      </c>
    </row>
    <row r="2004" spans="1:12" x14ac:dyDescent="0.25">
      <c r="A2004" s="1">
        <v>44545</v>
      </c>
      <c r="B2004">
        <v>19.29</v>
      </c>
      <c r="C2004" s="1">
        <v>44545</v>
      </c>
      <c r="D2004">
        <v>24.04</v>
      </c>
      <c r="E2004" s="1">
        <v>44495</v>
      </c>
      <c r="F2004">
        <v>66.7</v>
      </c>
      <c r="G2004" s="1">
        <v>44540</v>
      </c>
      <c r="H2004">
        <v>46.23</v>
      </c>
      <c r="I2004" s="1">
        <v>44540</v>
      </c>
      <c r="J2004">
        <v>15.35</v>
      </c>
      <c r="K2004" s="1">
        <v>44446</v>
      </c>
      <c r="L2004">
        <v>92.512</v>
      </c>
    </row>
    <row r="2005" spans="1:12" x14ac:dyDescent="0.25">
      <c r="A2005" s="1">
        <v>44546</v>
      </c>
      <c r="B2005">
        <v>20.57</v>
      </c>
      <c r="C2005" s="1">
        <v>44546</v>
      </c>
      <c r="D2005">
        <v>22.57</v>
      </c>
      <c r="E2005" s="1">
        <v>44496</v>
      </c>
      <c r="F2005">
        <v>70.06</v>
      </c>
      <c r="G2005" s="1">
        <v>44543</v>
      </c>
      <c r="H2005">
        <v>45.88</v>
      </c>
      <c r="I2005" s="1">
        <v>44543</v>
      </c>
      <c r="J2005">
        <v>15.97</v>
      </c>
      <c r="K2005" s="1">
        <v>44447</v>
      </c>
      <c r="L2005">
        <v>92.653000000000006</v>
      </c>
    </row>
    <row r="2006" spans="1:12" x14ac:dyDescent="0.25">
      <c r="A2006" s="1">
        <v>44547</v>
      </c>
      <c r="B2006">
        <v>21.57</v>
      </c>
      <c r="C2006" s="1">
        <v>44547</v>
      </c>
      <c r="D2006">
        <v>21.78</v>
      </c>
      <c r="E2006" s="1">
        <v>44497</v>
      </c>
      <c r="F2006">
        <v>71.959999999999994</v>
      </c>
      <c r="G2006" s="1">
        <v>44544</v>
      </c>
      <c r="H2006">
        <v>54.76</v>
      </c>
      <c r="I2006" s="1">
        <v>44544</v>
      </c>
      <c r="J2006">
        <v>16.41</v>
      </c>
      <c r="K2006" s="1">
        <v>44448</v>
      </c>
      <c r="L2006">
        <v>92.478999999999999</v>
      </c>
    </row>
    <row r="2007" spans="1:12" x14ac:dyDescent="0.25">
      <c r="A2007" s="1">
        <v>44550</v>
      </c>
      <c r="B2007">
        <v>22.87</v>
      </c>
      <c r="C2007" s="1">
        <v>44550</v>
      </c>
      <c r="D2007">
        <v>24.82</v>
      </c>
      <c r="E2007" s="1">
        <v>44498</v>
      </c>
      <c r="F2007">
        <v>75.45</v>
      </c>
      <c r="G2007" s="1">
        <v>44545</v>
      </c>
      <c r="H2007">
        <v>56.53</v>
      </c>
      <c r="I2007" s="1">
        <v>44545</v>
      </c>
      <c r="J2007">
        <v>15.54</v>
      </c>
      <c r="K2007" s="1">
        <v>44449</v>
      </c>
      <c r="L2007">
        <v>92.581999999999994</v>
      </c>
    </row>
    <row r="2008" spans="1:12" x14ac:dyDescent="0.25">
      <c r="A2008" s="1">
        <v>44551</v>
      </c>
      <c r="B2008">
        <v>21.01</v>
      </c>
      <c r="C2008" s="1">
        <v>44551</v>
      </c>
      <c r="D2008">
        <v>21.84</v>
      </c>
      <c r="E2008" s="1">
        <v>44501</v>
      </c>
      <c r="F2008">
        <v>78.34</v>
      </c>
      <c r="G2008" s="1">
        <v>44546</v>
      </c>
      <c r="H2008">
        <v>49.97</v>
      </c>
      <c r="I2008" s="1">
        <v>44546</v>
      </c>
      <c r="J2008">
        <v>15.22</v>
      </c>
      <c r="K2008" s="1">
        <v>44452</v>
      </c>
      <c r="L2008">
        <v>92.674999999999997</v>
      </c>
    </row>
    <row r="2009" spans="1:12" x14ac:dyDescent="0.25">
      <c r="A2009" s="1">
        <v>44552</v>
      </c>
      <c r="B2009">
        <v>18.63</v>
      </c>
      <c r="C2009" s="1">
        <v>44552</v>
      </c>
      <c r="D2009">
        <v>20.07</v>
      </c>
      <c r="E2009" s="1">
        <v>44502</v>
      </c>
      <c r="F2009">
        <v>71.040000000000006</v>
      </c>
      <c r="G2009" s="1">
        <v>44547</v>
      </c>
      <c r="H2009">
        <v>48.31</v>
      </c>
      <c r="I2009" s="1">
        <v>44547</v>
      </c>
      <c r="J2009">
        <v>15.07</v>
      </c>
      <c r="K2009" s="1">
        <v>44453</v>
      </c>
      <c r="L2009">
        <v>92.623000000000005</v>
      </c>
    </row>
    <row r="2010" spans="1:12" x14ac:dyDescent="0.25">
      <c r="A2010" s="1">
        <v>44553</v>
      </c>
      <c r="B2010">
        <v>17.96</v>
      </c>
      <c r="C2010" s="1">
        <v>44553</v>
      </c>
      <c r="D2010">
        <v>19.18</v>
      </c>
      <c r="E2010" s="1">
        <v>44503</v>
      </c>
      <c r="F2010">
        <v>71.22</v>
      </c>
      <c r="G2010" s="1">
        <v>44550</v>
      </c>
      <c r="H2010">
        <v>60.24</v>
      </c>
      <c r="I2010" s="1">
        <v>44550</v>
      </c>
      <c r="J2010">
        <v>15.77</v>
      </c>
      <c r="K2010" s="1">
        <v>44454</v>
      </c>
      <c r="L2010">
        <v>92.548000000000002</v>
      </c>
    </row>
    <row r="2011" spans="1:12" x14ac:dyDescent="0.25">
      <c r="A2011" s="1">
        <v>44557</v>
      </c>
      <c r="B2011">
        <v>17.68</v>
      </c>
      <c r="C2011" s="1">
        <v>44557</v>
      </c>
      <c r="D2011">
        <v>19.239999999999998</v>
      </c>
      <c r="E2011" s="1">
        <v>44504</v>
      </c>
      <c r="F2011">
        <v>64.61</v>
      </c>
      <c r="G2011" s="1">
        <v>44551</v>
      </c>
      <c r="H2011">
        <v>52.31</v>
      </c>
      <c r="I2011" s="1">
        <v>44551</v>
      </c>
      <c r="J2011">
        <v>15.42</v>
      </c>
      <c r="K2011" s="1">
        <v>44455</v>
      </c>
      <c r="L2011">
        <v>92.932000000000002</v>
      </c>
    </row>
    <row r="2012" spans="1:12" x14ac:dyDescent="0.25">
      <c r="A2012" s="1">
        <v>44558</v>
      </c>
      <c r="B2012">
        <v>17.54</v>
      </c>
      <c r="C2012" s="1">
        <v>44558</v>
      </c>
      <c r="D2012">
        <v>19.7</v>
      </c>
      <c r="E2012" s="1">
        <v>44505</v>
      </c>
      <c r="F2012">
        <v>66.900000000000006</v>
      </c>
      <c r="G2012" s="1">
        <v>44552</v>
      </c>
      <c r="H2012">
        <v>46</v>
      </c>
      <c r="I2012" s="1">
        <v>44552</v>
      </c>
      <c r="J2012">
        <v>14.94</v>
      </c>
      <c r="K2012" s="1">
        <v>44456</v>
      </c>
      <c r="L2012">
        <v>93.194999999999993</v>
      </c>
    </row>
    <row r="2013" spans="1:12" x14ac:dyDescent="0.25">
      <c r="A2013" s="1">
        <v>44559</v>
      </c>
      <c r="B2013">
        <v>16.95</v>
      </c>
      <c r="C2013" s="1">
        <v>44559</v>
      </c>
      <c r="D2013">
        <v>19.649999999999999</v>
      </c>
      <c r="E2013" s="1">
        <v>44508</v>
      </c>
      <c r="F2013">
        <v>70.97</v>
      </c>
      <c r="G2013" s="1">
        <v>44553</v>
      </c>
      <c r="H2013">
        <v>43.71</v>
      </c>
      <c r="I2013" s="1">
        <v>44553</v>
      </c>
      <c r="J2013">
        <v>14.62</v>
      </c>
      <c r="K2013" s="1">
        <v>44459</v>
      </c>
      <c r="L2013">
        <v>93.275999999999996</v>
      </c>
    </row>
    <row r="2014" spans="1:12" x14ac:dyDescent="0.25">
      <c r="A2014" s="1">
        <v>44560</v>
      </c>
      <c r="B2014">
        <v>17.329999999999998</v>
      </c>
      <c r="C2014" s="1">
        <v>44560</v>
      </c>
      <c r="D2014">
        <v>19.62</v>
      </c>
      <c r="E2014" s="1">
        <v>44509</v>
      </c>
      <c r="F2014">
        <v>73.02</v>
      </c>
      <c r="G2014" s="1">
        <v>44554</v>
      </c>
      <c r="H2014">
        <v>43.71</v>
      </c>
      <c r="I2014" s="1">
        <v>44554</v>
      </c>
      <c r="J2014">
        <v>14.62</v>
      </c>
      <c r="K2014" s="1">
        <v>44460</v>
      </c>
      <c r="L2014">
        <v>93.203999999999994</v>
      </c>
    </row>
    <row r="2015" spans="1:12" x14ac:dyDescent="0.25">
      <c r="A2015" s="1">
        <v>44561</v>
      </c>
      <c r="B2015">
        <v>17.22</v>
      </c>
      <c r="C2015" s="1">
        <v>44561</v>
      </c>
      <c r="D2015">
        <v>19.32</v>
      </c>
      <c r="E2015" s="1">
        <v>44510</v>
      </c>
      <c r="F2015">
        <v>78.31</v>
      </c>
      <c r="G2015" s="1">
        <v>44557</v>
      </c>
      <c r="H2015">
        <v>43.58</v>
      </c>
      <c r="I2015" s="1">
        <v>44557</v>
      </c>
      <c r="J2015">
        <v>15.44</v>
      </c>
      <c r="K2015" s="1">
        <v>44461</v>
      </c>
      <c r="L2015">
        <v>93.462000000000003</v>
      </c>
    </row>
    <row r="2016" spans="1:12" x14ac:dyDescent="0.25">
      <c r="A2016" s="1">
        <v>44564</v>
      </c>
      <c r="B2016">
        <v>16.600000000000001</v>
      </c>
      <c r="C2016" s="1">
        <v>44564</v>
      </c>
      <c r="D2016">
        <v>19.46</v>
      </c>
      <c r="E2016" s="1">
        <v>44512</v>
      </c>
      <c r="F2016">
        <v>78.61</v>
      </c>
      <c r="G2016" s="1">
        <v>44558</v>
      </c>
      <c r="H2016">
        <v>41.23</v>
      </c>
      <c r="I2016" s="1">
        <v>44558</v>
      </c>
      <c r="J2016">
        <v>15.06</v>
      </c>
      <c r="K2016" s="1">
        <v>44462</v>
      </c>
      <c r="L2016">
        <v>93.084999999999994</v>
      </c>
    </row>
    <row r="2017" spans="1:12" x14ac:dyDescent="0.25">
      <c r="A2017" s="1">
        <v>44565</v>
      </c>
      <c r="B2017">
        <v>16.91</v>
      </c>
      <c r="C2017" s="1">
        <v>44565</v>
      </c>
      <c r="D2017">
        <v>19.04</v>
      </c>
      <c r="E2017" s="1">
        <v>44515</v>
      </c>
      <c r="F2017">
        <v>81.59</v>
      </c>
      <c r="G2017" s="1">
        <v>44559</v>
      </c>
      <c r="H2017">
        <v>40.24</v>
      </c>
      <c r="I2017" s="1">
        <v>44559</v>
      </c>
      <c r="J2017">
        <v>15.13</v>
      </c>
      <c r="K2017" s="1">
        <v>44463</v>
      </c>
      <c r="L2017">
        <v>93.326999999999998</v>
      </c>
    </row>
    <row r="2018" spans="1:12" x14ac:dyDescent="0.25">
      <c r="A2018" s="1">
        <v>44566</v>
      </c>
      <c r="B2018">
        <v>19.73</v>
      </c>
      <c r="C2018" s="1">
        <v>44566</v>
      </c>
      <c r="D2018">
        <v>21.66</v>
      </c>
      <c r="E2018" s="1">
        <v>44516</v>
      </c>
      <c r="F2018">
        <v>81.58</v>
      </c>
      <c r="G2018" s="1">
        <v>44560</v>
      </c>
      <c r="H2018">
        <v>40.200000000000003</v>
      </c>
      <c r="I2018" s="1">
        <v>44560</v>
      </c>
      <c r="J2018">
        <v>14.77</v>
      </c>
      <c r="K2018" s="1">
        <v>44466</v>
      </c>
      <c r="L2018">
        <v>93.382999999999996</v>
      </c>
    </row>
    <row r="2019" spans="1:12" x14ac:dyDescent="0.25">
      <c r="A2019" s="1">
        <v>44567</v>
      </c>
      <c r="B2019">
        <v>19.61</v>
      </c>
      <c r="C2019" s="1">
        <v>44567</v>
      </c>
      <c r="D2019">
        <v>20.82</v>
      </c>
      <c r="E2019" s="1">
        <v>44517</v>
      </c>
      <c r="F2019">
        <v>81.58</v>
      </c>
      <c r="G2019" s="1">
        <v>44561</v>
      </c>
      <c r="H2019">
        <v>42.62</v>
      </c>
      <c r="I2019" s="1">
        <v>44561</v>
      </c>
      <c r="J2019">
        <v>14.61</v>
      </c>
      <c r="K2019" s="1">
        <v>44467</v>
      </c>
      <c r="L2019">
        <v>93.766000000000005</v>
      </c>
    </row>
    <row r="2020" spans="1:12" x14ac:dyDescent="0.25">
      <c r="A2020" s="1">
        <v>44568</v>
      </c>
      <c r="B2020">
        <v>18.760000000000002</v>
      </c>
      <c r="C2020" s="1">
        <v>44568</v>
      </c>
      <c r="D2020">
        <v>20.21</v>
      </c>
      <c r="E2020" s="1">
        <v>44518</v>
      </c>
      <c r="F2020">
        <v>74.510000000000005</v>
      </c>
      <c r="G2020" s="1">
        <v>44564</v>
      </c>
      <c r="H2020">
        <v>37.57</v>
      </c>
      <c r="I2020" s="1">
        <v>44564</v>
      </c>
      <c r="J2020">
        <v>15.34</v>
      </c>
      <c r="K2020" s="1">
        <v>44468</v>
      </c>
      <c r="L2020">
        <v>94.337999999999994</v>
      </c>
    </row>
    <row r="2021" spans="1:12" x14ac:dyDescent="0.25">
      <c r="A2021" s="1">
        <v>44571</v>
      </c>
      <c r="B2021">
        <v>19.399999999999999</v>
      </c>
      <c r="C2021" s="1">
        <v>44571</v>
      </c>
      <c r="D2021">
        <v>20.64</v>
      </c>
      <c r="E2021" s="1">
        <v>44519</v>
      </c>
      <c r="F2021">
        <v>73.39</v>
      </c>
      <c r="G2021" s="1">
        <v>44565</v>
      </c>
      <c r="H2021">
        <v>39.479999999999997</v>
      </c>
      <c r="I2021" s="1">
        <v>44565</v>
      </c>
      <c r="J2021">
        <v>15.33</v>
      </c>
      <c r="K2021" s="1">
        <v>44469</v>
      </c>
      <c r="L2021">
        <v>94.23</v>
      </c>
    </row>
    <row r="2022" spans="1:12" x14ac:dyDescent="0.25">
      <c r="A2022" s="1">
        <v>44572</v>
      </c>
      <c r="B2022">
        <v>18.41</v>
      </c>
      <c r="C2022" s="1">
        <v>44572</v>
      </c>
      <c r="D2022">
        <v>18.920000000000002</v>
      </c>
      <c r="E2022" s="1">
        <v>44522</v>
      </c>
      <c r="F2022">
        <v>79.209999999999994</v>
      </c>
      <c r="G2022" s="1">
        <v>44566</v>
      </c>
      <c r="H2022">
        <v>44.49</v>
      </c>
      <c r="I2022" s="1">
        <v>44566</v>
      </c>
      <c r="J2022">
        <v>16.21</v>
      </c>
      <c r="K2022" s="1">
        <v>44470</v>
      </c>
      <c r="L2022">
        <v>94.034999999999997</v>
      </c>
    </row>
    <row r="2023" spans="1:12" x14ac:dyDescent="0.25">
      <c r="A2023" s="1">
        <v>44573</v>
      </c>
      <c r="B2023">
        <v>17.62</v>
      </c>
      <c r="C2023" s="1">
        <v>44573</v>
      </c>
      <c r="D2023">
        <v>20.53</v>
      </c>
      <c r="E2023" s="1">
        <v>44523</v>
      </c>
      <c r="F2023">
        <v>80.569999999999993</v>
      </c>
      <c r="G2023" s="1">
        <v>44567</v>
      </c>
      <c r="H2023">
        <v>36.86</v>
      </c>
      <c r="I2023" s="1">
        <v>44567</v>
      </c>
      <c r="J2023">
        <v>15.87</v>
      </c>
      <c r="K2023" s="1">
        <v>44473</v>
      </c>
      <c r="L2023">
        <v>93.775999999999996</v>
      </c>
    </row>
    <row r="2024" spans="1:12" x14ac:dyDescent="0.25">
      <c r="A2024" s="1">
        <v>44574</v>
      </c>
      <c r="B2024">
        <v>20.309999999999999</v>
      </c>
      <c r="C2024" s="1">
        <v>44574</v>
      </c>
      <c r="D2024">
        <v>23.35</v>
      </c>
      <c r="E2024" s="1">
        <v>44524</v>
      </c>
      <c r="F2024">
        <v>83.15</v>
      </c>
      <c r="G2024" s="1">
        <v>44568</v>
      </c>
      <c r="H2024">
        <v>37</v>
      </c>
      <c r="I2024" s="1">
        <v>44568</v>
      </c>
      <c r="J2024">
        <v>15.04</v>
      </c>
      <c r="K2024" s="1">
        <v>44474</v>
      </c>
      <c r="L2024">
        <v>93.974999999999994</v>
      </c>
    </row>
    <row r="2025" spans="1:12" x14ac:dyDescent="0.25">
      <c r="A2025" s="1">
        <v>44575</v>
      </c>
      <c r="B2025">
        <v>19.190000000000001</v>
      </c>
      <c r="C2025" s="1">
        <v>44575</v>
      </c>
      <c r="D2025">
        <v>23.35</v>
      </c>
      <c r="E2025" s="1">
        <v>44526</v>
      </c>
      <c r="F2025">
        <v>89.45</v>
      </c>
      <c r="G2025" s="1">
        <v>44571</v>
      </c>
      <c r="H2025">
        <v>37.65</v>
      </c>
      <c r="I2025" s="1">
        <v>44571</v>
      </c>
      <c r="J2025">
        <v>15.56</v>
      </c>
      <c r="K2025" s="1">
        <v>44475</v>
      </c>
      <c r="L2025">
        <v>94.266000000000005</v>
      </c>
    </row>
    <row r="2026" spans="1:12" x14ac:dyDescent="0.25">
      <c r="A2026" s="1">
        <v>44579</v>
      </c>
      <c r="B2026">
        <v>22.79</v>
      </c>
      <c r="C2026" s="1">
        <v>44579</v>
      </c>
      <c r="D2026">
        <v>24.26</v>
      </c>
      <c r="E2026" s="1">
        <v>44529</v>
      </c>
      <c r="F2026">
        <v>89.41</v>
      </c>
      <c r="G2026" s="1">
        <v>44572</v>
      </c>
      <c r="H2026">
        <v>34.31</v>
      </c>
      <c r="I2026" s="1">
        <v>44572</v>
      </c>
      <c r="J2026">
        <v>15.21</v>
      </c>
      <c r="K2026" s="1">
        <v>44476</v>
      </c>
      <c r="L2026">
        <v>94.216999999999999</v>
      </c>
    </row>
    <row r="2027" spans="1:12" x14ac:dyDescent="0.25">
      <c r="A2027" s="1">
        <v>44580</v>
      </c>
      <c r="B2027">
        <v>23.85</v>
      </c>
      <c r="C2027" s="1">
        <v>44580</v>
      </c>
      <c r="D2027">
        <v>24.28</v>
      </c>
      <c r="E2027" s="1">
        <v>44530</v>
      </c>
      <c r="F2027">
        <v>84.04</v>
      </c>
      <c r="G2027" s="1">
        <v>44573</v>
      </c>
      <c r="H2027">
        <v>34.39</v>
      </c>
      <c r="I2027" s="1">
        <v>44573</v>
      </c>
      <c r="J2027">
        <v>15.32</v>
      </c>
      <c r="K2027" s="1">
        <v>44477</v>
      </c>
      <c r="L2027">
        <v>94.066999999999993</v>
      </c>
    </row>
    <row r="2028" spans="1:12" x14ac:dyDescent="0.25">
      <c r="A2028" s="1">
        <v>44581</v>
      </c>
      <c r="B2028">
        <v>25.59</v>
      </c>
      <c r="C2028" s="1">
        <v>44581</v>
      </c>
      <c r="D2028">
        <v>26.11</v>
      </c>
      <c r="E2028" s="1">
        <v>44531</v>
      </c>
      <c r="F2028">
        <v>82.97</v>
      </c>
      <c r="G2028" s="1">
        <v>44574</v>
      </c>
      <c r="H2028">
        <v>37.11</v>
      </c>
      <c r="I2028" s="1">
        <v>44574</v>
      </c>
      <c r="J2028">
        <v>15.17</v>
      </c>
      <c r="K2028" s="1">
        <v>44480</v>
      </c>
      <c r="L2028">
        <v>94.316000000000003</v>
      </c>
    </row>
    <row r="2029" spans="1:12" x14ac:dyDescent="0.25">
      <c r="A2029" s="1">
        <v>44582</v>
      </c>
      <c r="B2029">
        <v>28.85</v>
      </c>
      <c r="C2029" s="1">
        <v>44582</v>
      </c>
      <c r="D2029">
        <v>27.6</v>
      </c>
      <c r="E2029" s="1">
        <v>44532</v>
      </c>
      <c r="F2029">
        <v>82.55</v>
      </c>
      <c r="G2029" s="1">
        <v>44575</v>
      </c>
      <c r="H2029">
        <v>41.18</v>
      </c>
      <c r="I2029" s="1">
        <v>44575</v>
      </c>
      <c r="J2029">
        <v>14.73</v>
      </c>
      <c r="K2029" s="1">
        <v>44481</v>
      </c>
      <c r="L2029">
        <v>94.516000000000005</v>
      </c>
    </row>
    <row r="2030" spans="1:12" x14ac:dyDescent="0.25">
      <c r="A2030" s="1">
        <v>44585</v>
      </c>
      <c r="B2030">
        <v>29.9</v>
      </c>
      <c r="C2030" s="1">
        <v>44585</v>
      </c>
      <c r="D2030">
        <v>32.44</v>
      </c>
      <c r="E2030" s="1">
        <v>44533</v>
      </c>
      <c r="F2030">
        <v>79.14</v>
      </c>
      <c r="G2030" s="1">
        <v>44579</v>
      </c>
      <c r="H2030">
        <v>42.28</v>
      </c>
      <c r="I2030" s="1">
        <v>44579</v>
      </c>
      <c r="J2030">
        <v>15.09</v>
      </c>
      <c r="K2030" s="1">
        <v>44482</v>
      </c>
      <c r="L2030">
        <v>94.08</v>
      </c>
    </row>
    <row r="2031" spans="1:12" x14ac:dyDescent="0.25">
      <c r="A2031" s="1">
        <v>44586</v>
      </c>
      <c r="B2031">
        <v>31.16</v>
      </c>
      <c r="C2031" s="1">
        <v>44586</v>
      </c>
      <c r="D2031">
        <v>27.69</v>
      </c>
      <c r="E2031" s="1">
        <v>44536</v>
      </c>
      <c r="F2031">
        <v>87.89</v>
      </c>
      <c r="G2031" s="1">
        <v>44580</v>
      </c>
      <c r="H2031">
        <v>42.75</v>
      </c>
      <c r="I2031" s="1">
        <v>44580</v>
      </c>
      <c r="J2031">
        <v>15.64</v>
      </c>
      <c r="K2031" s="1">
        <v>44483</v>
      </c>
      <c r="L2031">
        <v>93.956000000000003</v>
      </c>
    </row>
    <row r="2032" spans="1:12" x14ac:dyDescent="0.25">
      <c r="A2032" s="1">
        <v>44587</v>
      </c>
      <c r="B2032">
        <v>31.96</v>
      </c>
      <c r="C2032" s="1">
        <v>44587</v>
      </c>
      <c r="D2032">
        <v>27.78</v>
      </c>
      <c r="E2032" s="1">
        <v>44537</v>
      </c>
      <c r="F2032">
        <v>88.14</v>
      </c>
      <c r="G2032" s="1">
        <v>44581</v>
      </c>
      <c r="H2032">
        <v>41.15</v>
      </c>
      <c r="I2032" s="1">
        <v>44581</v>
      </c>
      <c r="J2032">
        <v>15.09</v>
      </c>
      <c r="K2032" s="1">
        <v>44484</v>
      </c>
      <c r="L2032">
        <v>93.936999999999998</v>
      </c>
    </row>
    <row r="2033" spans="1:12" x14ac:dyDescent="0.25">
      <c r="A2033" s="1">
        <v>44588</v>
      </c>
      <c r="B2033">
        <v>30.49</v>
      </c>
      <c r="C2033" s="1">
        <v>44588</v>
      </c>
      <c r="D2033">
        <v>27.44</v>
      </c>
      <c r="E2033" s="1">
        <v>44538</v>
      </c>
      <c r="F2033">
        <v>80.290000000000006</v>
      </c>
      <c r="G2033" s="1">
        <v>44582</v>
      </c>
      <c r="H2033">
        <v>42.57</v>
      </c>
      <c r="I2033" s="1">
        <v>44582</v>
      </c>
      <c r="J2033">
        <v>15.2</v>
      </c>
      <c r="K2033" s="1">
        <v>44487</v>
      </c>
      <c r="L2033">
        <v>93.953000000000003</v>
      </c>
    </row>
    <row r="2034" spans="1:12" x14ac:dyDescent="0.25">
      <c r="A2034" s="1">
        <v>44589</v>
      </c>
      <c r="B2034">
        <v>27.66</v>
      </c>
      <c r="C2034" s="1">
        <v>44589</v>
      </c>
      <c r="D2034">
        <v>25.51</v>
      </c>
      <c r="E2034" s="1">
        <v>44539</v>
      </c>
      <c r="F2034">
        <v>79.540000000000006</v>
      </c>
      <c r="G2034" s="1">
        <v>44585</v>
      </c>
      <c r="H2034">
        <v>47.84</v>
      </c>
      <c r="I2034" s="1">
        <v>44585</v>
      </c>
      <c r="J2034">
        <v>16.3</v>
      </c>
      <c r="K2034" s="1">
        <v>44488</v>
      </c>
      <c r="L2034">
        <v>93.733999999999995</v>
      </c>
    </row>
    <row r="2035" spans="1:12" x14ac:dyDescent="0.25">
      <c r="A2035" s="1">
        <v>44592</v>
      </c>
      <c r="B2035">
        <v>24.83</v>
      </c>
      <c r="C2035" s="1">
        <v>44592</v>
      </c>
      <c r="D2035">
        <v>22.41</v>
      </c>
      <c r="E2035" s="1">
        <v>44540</v>
      </c>
      <c r="F2035">
        <v>74.36</v>
      </c>
      <c r="G2035" s="1">
        <v>44586</v>
      </c>
      <c r="H2035">
        <v>47.63</v>
      </c>
      <c r="I2035" s="1">
        <v>44586</v>
      </c>
      <c r="J2035">
        <v>16.47</v>
      </c>
      <c r="K2035" s="1">
        <v>44489</v>
      </c>
      <c r="L2035">
        <v>93.558000000000007</v>
      </c>
    </row>
    <row r="2036" spans="1:12" x14ac:dyDescent="0.25">
      <c r="A2036" s="1">
        <v>44593</v>
      </c>
      <c r="B2036">
        <v>21.96</v>
      </c>
      <c r="C2036" s="1">
        <v>44593</v>
      </c>
      <c r="D2036">
        <v>22.6</v>
      </c>
      <c r="E2036" s="1">
        <v>44543</v>
      </c>
      <c r="F2036">
        <v>76.41</v>
      </c>
      <c r="G2036" s="1">
        <v>44587</v>
      </c>
      <c r="H2036">
        <v>45.67</v>
      </c>
      <c r="I2036" s="1">
        <v>44587</v>
      </c>
      <c r="J2036">
        <v>16.420000000000002</v>
      </c>
      <c r="K2036" s="1">
        <v>44490</v>
      </c>
      <c r="L2036">
        <v>93.77</v>
      </c>
    </row>
    <row r="2037" spans="1:12" x14ac:dyDescent="0.25">
      <c r="A2037" s="1">
        <v>44594</v>
      </c>
      <c r="B2037">
        <v>22.09</v>
      </c>
      <c r="C2037" s="1">
        <v>44594</v>
      </c>
      <c r="D2037">
        <v>22.33</v>
      </c>
      <c r="E2037" s="1">
        <v>44544</v>
      </c>
      <c r="F2037">
        <v>78.98</v>
      </c>
      <c r="G2037" s="1">
        <v>44588</v>
      </c>
      <c r="H2037">
        <v>46.9</v>
      </c>
      <c r="I2037" s="1">
        <v>44588</v>
      </c>
      <c r="J2037">
        <v>17.149999999999999</v>
      </c>
      <c r="K2037" s="1">
        <v>44491</v>
      </c>
      <c r="L2037">
        <v>93.641999999999996</v>
      </c>
    </row>
    <row r="2038" spans="1:12" x14ac:dyDescent="0.25">
      <c r="A2038" s="1">
        <v>44595</v>
      </c>
      <c r="B2038">
        <v>24.35</v>
      </c>
      <c r="C2038" s="1">
        <v>44595</v>
      </c>
      <c r="D2038">
        <v>25.29</v>
      </c>
      <c r="E2038" s="1">
        <v>44545</v>
      </c>
      <c r="F2038">
        <v>74.06</v>
      </c>
      <c r="G2038" s="1">
        <v>44589</v>
      </c>
      <c r="H2038">
        <v>47.74</v>
      </c>
      <c r="I2038" s="1">
        <v>44589</v>
      </c>
      <c r="J2038">
        <v>17.12</v>
      </c>
      <c r="K2038" s="1">
        <v>44494</v>
      </c>
      <c r="L2038">
        <v>93.813000000000002</v>
      </c>
    </row>
    <row r="2039" spans="1:12" x14ac:dyDescent="0.25">
      <c r="A2039" s="1">
        <v>44596</v>
      </c>
      <c r="B2039">
        <v>23.22</v>
      </c>
      <c r="C2039" s="1">
        <v>44596</v>
      </c>
      <c r="D2039">
        <v>23.24</v>
      </c>
      <c r="E2039" s="1">
        <v>44546</v>
      </c>
      <c r="F2039">
        <v>69.099999999999994</v>
      </c>
      <c r="G2039" s="1">
        <v>44592</v>
      </c>
      <c r="H2039">
        <v>42.35</v>
      </c>
      <c r="I2039" s="1">
        <v>44592</v>
      </c>
      <c r="J2039">
        <v>16.7</v>
      </c>
      <c r="K2039" s="1">
        <v>44495</v>
      </c>
      <c r="L2039">
        <v>93.948999999999998</v>
      </c>
    </row>
    <row r="2040" spans="1:12" x14ac:dyDescent="0.25">
      <c r="A2040" s="1">
        <v>44599</v>
      </c>
      <c r="B2040">
        <v>22.86</v>
      </c>
      <c r="C2040" s="1">
        <v>44599</v>
      </c>
      <c r="D2040">
        <v>23.05</v>
      </c>
      <c r="E2040" s="1">
        <v>44547</v>
      </c>
      <c r="F2040">
        <v>72.459999999999994</v>
      </c>
      <c r="G2040" s="1">
        <v>44593</v>
      </c>
      <c r="H2040">
        <v>41.31</v>
      </c>
      <c r="I2040" s="1">
        <v>44593</v>
      </c>
      <c r="J2040">
        <v>16.5</v>
      </c>
      <c r="K2040" s="1">
        <v>44496</v>
      </c>
      <c r="L2040">
        <v>93.802000000000007</v>
      </c>
    </row>
    <row r="2041" spans="1:12" x14ac:dyDescent="0.25">
      <c r="A2041" s="1">
        <v>44600</v>
      </c>
      <c r="B2041">
        <v>21.44</v>
      </c>
      <c r="C2041" s="1">
        <v>44600</v>
      </c>
      <c r="D2041">
        <v>20.77</v>
      </c>
      <c r="E2041" s="1">
        <v>44550</v>
      </c>
      <c r="F2041">
        <v>77.02</v>
      </c>
      <c r="G2041" s="1">
        <v>44594</v>
      </c>
      <c r="H2041">
        <v>41.86</v>
      </c>
      <c r="I2041" s="1">
        <v>44594</v>
      </c>
      <c r="J2041">
        <v>15.66</v>
      </c>
      <c r="K2041" s="1">
        <v>44497</v>
      </c>
      <c r="L2041">
        <v>93.344999999999999</v>
      </c>
    </row>
    <row r="2042" spans="1:12" x14ac:dyDescent="0.25">
      <c r="A2042" s="1">
        <v>44601</v>
      </c>
      <c r="B2042">
        <v>19.96</v>
      </c>
      <c r="C2042" s="1">
        <v>44601</v>
      </c>
      <c r="D2042">
        <v>19.940000000000001</v>
      </c>
      <c r="E2042" s="1">
        <v>44551</v>
      </c>
      <c r="F2042">
        <v>79.52</v>
      </c>
      <c r="G2042" s="1">
        <v>44595</v>
      </c>
      <c r="H2042">
        <v>42.15</v>
      </c>
      <c r="I2042" s="1">
        <v>44595</v>
      </c>
      <c r="J2042">
        <v>16.010000000000002</v>
      </c>
      <c r="K2042" s="1">
        <v>44498</v>
      </c>
      <c r="L2042">
        <v>94.123000000000005</v>
      </c>
    </row>
    <row r="2043" spans="1:12" x14ac:dyDescent="0.25">
      <c r="A2043" s="1">
        <v>44602</v>
      </c>
      <c r="B2043">
        <v>23.91</v>
      </c>
      <c r="C2043" s="1">
        <v>44602</v>
      </c>
      <c r="D2043">
        <v>21.79</v>
      </c>
      <c r="E2043" s="1">
        <v>44552</v>
      </c>
      <c r="F2043">
        <v>76.849999999999994</v>
      </c>
      <c r="G2043" s="1">
        <v>44596</v>
      </c>
      <c r="H2043">
        <v>43.88</v>
      </c>
      <c r="I2043" s="1">
        <v>44596</v>
      </c>
      <c r="J2043">
        <v>15.53</v>
      </c>
      <c r="K2043" s="1">
        <v>44501</v>
      </c>
      <c r="L2043">
        <v>93.879000000000005</v>
      </c>
    </row>
    <row r="2044" spans="1:12" x14ac:dyDescent="0.25">
      <c r="A2044" s="1">
        <v>44603</v>
      </c>
      <c r="B2044">
        <v>27.36</v>
      </c>
      <c r="C2044" s="1">
        <v>44603</v>
      </c>
      <c r="D2044">
        <v>25.77</v>
      </c>
      <c r="E2044" s="1">
        <v>44553</v>
      </c>
      <c r="F2044">
        <v>77.290000000000006</v>
      </c>
      <c r="G2044" s="1">
        <v>44599</v>
      </c>
      <c r="H2044">
        <v>43.34</v>
      </c>
      <c r="I2044" s="1">
        <v>44599</v>
      </c>
      <c r="J2044">
        <v>16.149999999999999</v>
      </c>
      <c r="K2044" s="1">
        <v>44502</v>
      </c>
      <c r="L2044">
        <v>94.09</v>
      </c>
    </row>
    <row r="2045" spans="1:12" x14ac:dyDescent="0.25">
      <c r="A2045" s="1">
        <v>44606</v>
      </c>
      <c r="B2045">
        <v>28.33</v>
      </c>
      <c r="C2045" s="1">
        <v>44606</v>
      </c>
      <c r="D2045">
        <v>26.01</v>
      </c>
      <c r="E2045" s="1">
        <v>44557</v>
      </c>
      <c r="F2045">
        <v>80.12</v>
      </c>
      <c r="G2045" s="1">
        <v>44600</v>
      </c>
      <c r="H2045">
        <v>41.26</v>
      </c>
      <c r="I2045" s="1">
        <v>44600</v>
      </c>
      <c r="J2045">
        <v>15.86</v>
      </c>
      <c r="K2045" s="1">
        <v>44503</v>
      </c>
      <c r="L2045">
        <v>93.864000000000004</v>
      </c>
    </row>
    <row r="2046" spans="1:12" x14ac:dyDescent="0.25">
      <c r="A2046" s="1">
        <v>44607</v>
      </c>
      <c r="B2046">
        <v>25.7</v>
      </c>
      <c r="C2046" s="1">
        <v>44607</v>
      </c>
      <c r="D2046">
        <v>24.59</v>
      </c>
      <c r="E2046" s="1">
        <v>44558</v>
      </c>
      <c r="F2046">
        <v>77.52</v>
      </c>
      <c r="G2046" s="1">
        <v>44601</v>
      </c>
      <c r="H2046">
        <v>39.4</v>
      </c>
      <c r="I2046" s="1">
        <v>44601</v>
      </c>
      <c r="J2046">
        <v>15.63</v>
      </c>
      <c r="K2046" s="1">
        <v>44504</v>
      </c>
      <c r="L2046">
        <v>94.346999999999994</v>
      </c>
    </row>
    <row r="2047" spans="1:12" x14ac:dyDescent="0.25">
      <c r="A2047" s="1">
        <v>44608</v>
      </c>
      <c r="B2047">
        <v>24.29</v>
      </c>
      <c r="C2047" s="1">
        <v>44608</v>
      </c>
      <c r="D2047">
        <v>23.34</v>
      </c>
      <c r="E2047" s="1">
        <v>44559</v>
      </c>
      <c r="F2047">
        <v>78</v>
      </c>
      <c r="G2047" s="1">
        <v>44602</v>
      </c>
      <c r="H2047">
        <v>43.81</v>
      </c>
      <c r="I2047" s="1">
        <v>44602</v>
      </c>
      <c r="J2047">
        <v>15.92</v>
      </c>
      <c r="K2047" s="1">
        <v>44505</v>
      </c>
      <c r="L2047">
        <v>94.32</v>
      </c>
    </row>
    <row r="2048" spans="1:12" x14ac:dyDescent="0.25">
      <c r="A2048" s="1">
        <v>44609</v>
      </c>
      <c r="B2048">
        <v>28.11</v>
      </c>
      <c r="C2048" s="1">
        <v>44609</v>
      </c>
      <c r="D2048">
        <v>25.15</v>
      </c>
      <c r="E2048" s="1">
        <v>44560</v>
      </c>
      <c r="F2048">
        <v>77.62</v>
      </c>
      <c r="G2048" s="1">
        <v>44603</v>
      </c>
      <c r="H2048">
        <v>47.44</v>
      </c>
      <c r="I2048" s="1">
        <v>44603</v>
      </c>
      <c r="J2048">
        <v>17.809999999999999</v>
      </c>
      <c r="K2048" s="1">
        <v>44508</v>
      </c>
      <c r="L2048">
        <v>94.049000000000007</v>
      </c>
    </row>
    <row r="2049" spans="1:12" x14ac:dyDescent="0.25">
      <c r="A2049" s="1">
        <v>44610</v>
      </c>
      <c r="B2049">
        <v>27.75</v>
      </c>
      <c r="C2049" s="1">
        <v>44610</v>
      </c>
      <c r="D2049">
        <v>26.78</v>
      </c>
      <c r="E2049" s="1">
        <v>44561</v>
      </c>
      <c r="F2049">
        <v>77.099999999999994</v>
      </c>
      <c r="G2049" s="1">
        <v>44606</v>
      </c>
      <c r="H2049">
        <v>48.83</v>
      </c>
      <c r="I2049" s="1">
        <v>44606</v>
      </c>
      <c r="J2049">
        <v>18.95</v>
      </c>
      <c r="K2049" s="1">
        <v>44509</v>
      </c>
      <c r="L2049">
        <v>93.954999999999998</v>
      </c>
    </row>
    <row r="2050" spans="1:12" x14ac:dyDescent="0.25">
      <c r="A2050" s="1">
        <v>44614</v>
      </c>
      <c r="B2050">
        <v>28.81</v>
      </c>
      <c r="C2050" s="1">
        <v>44614</v>
      </c>
      <c r="D2050">
        <v>28.46</v>
      </c>
      <c r="E2050" s="1">
        <v>44564</v>
      </c>
      <c r="F2050">
        <v>84.08</v>
      </c>
      <c r="G2050" s="1">
        <v>44607</v>
      </c>
      <c r="H2050">
        <v>48.36</v>
      </c>
      <c r="I2050" s="1">
        <v>44607</v>
      </c>
      <c r="J2050">
        <v>17.7</v>
      </c>
      <c r="K2050" s="1">
        <v>44510</v>
      </c>
      <c r="L2050">
        <v>94.85</v>
      </c>
    </row>
    <row r="2051" spans="1:12" x14ac:dyDescent="0.25">
      <c r="A2051" s="1">
        <v>44615</v>
      </c>
      <c r="B2051">
        <v>31.02</v>
      </c>
      <c r="C2051" s="1">
        <v>44615</v>
      </c>
      <c r="D2051">
        <v>31.19</v>
      </c>
      <c r="E2051" s="1">
        <v>44565</v>
      </c>
      <c r="F2051">
        <v>83.11</v>
      </c>
      <c r="G2051" s="1">
        <v>44608</v>
      </c>
      <c r="H2051">
        <v>49.38</v>
      </c>
      <c r="I2051" s="1">
        <v>44608</v>
      </c>
      <c r="J2051">
        <v>18.07</v>
      </c>
      <c r="K2051" s="1">
        <v>44511</v>
      </c>
      <c r="L2051">
        <v>95.177999999999997</v>
      </c>
    </row>
    <row r="2052" spans="1:12" x14ac:dyDescent="0.25">
      <c r="A2052" s="1">
        <v>44616</v>
      </c>
      <c r="B2052">
        <v>30.32</v>
      </c>
      <c r="C2052" s="1">
        <v>44616</v>
      </c>
      <c r="D2052">
        <v>35.51</v>
      </c>
      <c r="E2052" s="1">
        <v>44566</v>
      </c>
      <c r="F2052">
        <v>78.680000000000007</v>
      </c>
      <c r="G2052" s="1">
        <v>44609</v>
      </c>
      <c r="H2052">
        <v>53.14</v>
      </c>
      <c r="I2052" s="1">
        <v>44609</v>
      </c>
      <c r="J2052">
        <v>19.79</v>
      </c>
      <c r="K2052" s="1">
        <v>44512</v>
      </c>
      <c r="L2052">
        <v>95.128</v>
      </c>
    </row>
    <row r="2053" spans="1:12" x14ac:dyDescent="0.25">
      <c r="A2053" s="1">
        <v>44617</v>
      </c>
      <c r="B2053">
        <v>27.59</v>
      </c>
      <c r="C2053" s="1">
        <v>44617</v>
      </c>
      <c r="D2053">
        <v>28.17</v>
      </c>
      <c r="E2053" s="1">
        <v>44567</v>
      </c>
      <c r="F2053">
        <v>77.73</v>
      </c>
      <c r="G2053" s="1">
        <v>44610</v>
      </c>
      <c r="H2053">
        <v>52.01</v>
      </c>
      <c r="I2053" s="1">
        <v>44610</v>
      </c>
      <c r="J2053">
        <v>18.54</v>
      </c>
      <c r="K2053" s="1">
        <v>44515</v>
      </c>
      <c r="L2053">
        <v>95.406999999999996</v>
      </c>
    </row>
    <row r="2054" spans="1:12" x14ac:dyDescent="0.25">
      <c r="A2054" s="1">
        <v>44620</v>
      </c>
      <c r="B2054">
        <v>30.15</v>
      </c>
      <c r="C2054" s="1">
        <v>44620</v>
      </c>
      <c r="D2054">
        <v>33.44</v>
      </c>
      <c r="E2054" s="1">
        <v>44568</v>
      </c>
      <c r="F2054">
        <v>74.69</v>
      </c>
      <c r="G2054" s="1">
        <v>44614</v>
      </c>
      <c r="H2054">
        <v>50.11</v>
      </c>
      <c r="I2054" s="1">
        <v>44614</v>
      </c>
      <c r="J2054">
        <v>17.93</v>
      </c>
      <c r="K2054" s="1">
        <v>44516</v>
      </c>
      <c r="L2054">
        <v>95.915000000000006</v>
      </c>
    </row>
    <row r="2055" spans="1:12" x14ac:dyDescent="0.25">
      <c r="A2055" s="1">
        <v>44621</v>
      </c>
      <c r="B2055">
        <v>33.32</v>
      </c>
      <c r="C2055" s="1">
        <v>44621</v>
      </c>
      <c r="D2055">
        <v>35.93</v>
      </c>
      <c r="E2055" s="1">
        <v>44571</v>
      </c>
      <c r="F2055">
        <v>78.12</v>
      </c>
      <c r="G2055" s="1">
        <v>44615</v>
      </c>
      <c r="H2055">
        <v>50.51</v>
      </c>
      <c r="I2055" s="1">
        <v>44615</v>
      </c>
      <c r="J2055">
        <v>17.690000000000001</v>
      </c>
      <c r="K2055" s="1">
        <v>44517</v>
      </c>
      <c r="L2055">
        <v>95.828000000000003</v>
      </c>
    </row>
    <row r="2056" spans="1:12" x14ac:dyDescent="0.25">
      <c r="A2056" s="1">
        <v>44622</v>
      </c>
      <c r="B2056">
        <v>30.74</v>
      </c>
      <c r="C2056" s="1">
        <v>44622</v>
      </c>
      <c r="D2056">
        <v>32.590000000000003</v>
      </c>
      <c r="E2056" s="1">
        <v>44572</v>
      </c>
      <c r="F2056">
        <v>77.849999999999994</v>
      </c>
      <c r="G2056" s="1">
        <v>44616</v>
      </c>
      <c r="H2056">
        <v>49.04</v>
      </c>
      <c r="I2056" s="1">
        <v>44616</v>
      </c>
      <c r="J2056">
        <v>18.12</v>
      </c>
      <c r="K2056" s="1">
        <v>44518</v>
      </c>
      <c r="L2056">
        <v>95.543999999999997</v>
      </c>
    </row>
    <row r="2057" spans="1:12" x14ac:dyDescent="0.25">
      <c r="A2057" s="1">
        <v>44623</v>
      </c>
      <c r="B2057">
        <v>30.48</v>
      </c>
      <c r="C2057" s="1">
        <v>44623</v>
      </c>
      <c r="D2057">
        <v>36.33</v>
      </c>
      <c r="E2057" s="1">
        <v>44573</v>
      </c>
      <c r="F2057">
        <v>74.55</v>
      </c>
      <c r="G2057" s="1">
        <v>44617</v>
      </c>
      <c r="H2057">
        <v>49.5</v>
      </c>
      <c r="I2057" s="1">
        <v>44617</v>
      </c>
      <c r="J2057">
        <v>18.399999999999999</v>
      </c>
      <c r="K2057" s="1">
        <v>44519</v>
      </c>
      <c r="L2057">
        <v>96.031000000000006</v>
      </c>
    </row>
    <row r="2058" spans="1:12" x14ac:dyDescent="0.25">
      <c r="A2058" s="1">
        <v>44624</v>
      </c>
      <c r="B2058">
        <v>31.98</v>
      </c>
      <c r="C2058" s="1">
        <v>44624</v>
      </c>
      <c r="D2058">
        <v>39.92</v>
      </c>
      <c r="E2058" s="1">
        <v>44574</v>
      </c>
      <c r="F2058">
        <v>72.569999999999993</v>
      </c>
      <c r="G2058" s="1">
        <v>44620</v>
      </c>
      <c r="H2058">
        <v>52.5</v>
      </c>
      <c r="I2058" s="1">
        <v>44620</v>
      </c>
      <c r="J2058">
        <v>20.97</v>
      </c>
      <c r="K2058" s="1">
        <v>44522</v>
      </c>
      <c r="L2058">
        <v>96.548000000000002</v>
      </c>
    </row>
    <row r="2059" spans="1:12" x14ac:dyDescent="0.25">
      <c r="A2059" s="1">
        <v>44627</v>
      </c>
      <c r="B2059">
        <v>36.450000000000003</v>
      </c>
      <c r="C2059" s="1">
        <v>44627</v>
      </c>
      <c r="D2059">
        <v>40.44</v>
      </c>
      <c r="E2059" s="1">
        <v>44575</v>
      </c>
      <c r="F2059">
        <v>76.59</v>
      </c>
      <c r="G2059" s="1">
        <v>44621</v>
      </c>
      <c r="H2059">
        <v>61.43</v>
      </c>
      <c r="I2059" s="1">
        <v>44621</v>
      </c>
      <c r="J2059">
        <v>22.7</v>
      </c>
      <c r="K2059" s="1">
        <v>44523</v>
      </c>
      <c r="L2059">
        <v>96.491</v>
      </c>
    </row>
    <row r="2060" spans="1:12" x14ac:dyDescent="0.25">
      <c r="A2060" s="1">
        <v>44628</v>
      </c>
      <c r="B2060">
        <v>35.130000000000003</v>
      </c>
      <c r="C2060" s="1">
        <v>44628</v>
      </c>
      <c r="D2060">
        <v>43.99</v>
      </c>
      <c r="E2060" s="1">
        <v>44579</v>
      </c>
      <c r="F2060">
        <v>84.63</v>
      </c>
      <c r="G2060" s="1">
        <v>44622</v>
      </c>
      <c r="H2060">
        <v>61.53</v>
      </c>
      <c r="I2060" s="1">
        <v>44622</v>
      </c>
      <c r="J2060">
        <v>21.85</v>
      </c>
      <c r="K2060" s="1">
        <v>44524</v>
      </c>
      <c r="L2060">
        <v>96.875</v>
      </c>
    </row>
    <row r="2061" spans="1:12" x14ac:dyDescent="0.25">
      <c r="A2061" s="1">
        <v>44629</v>
      </c>
      <c r="B2061">
        <v>32.450000000000003</v>
      </c>
      <c r="C2061" s="1">
        <v>44629</v>
      </c>
      <c r="D2061">
        <v>35.159999999999997</v>
      </c>
      <c r="E2061" s="1">
        <v>44580</v>
      </c>
      <c r="F2061">
        <v>80.14</v>
      </c>
      <c r="G2061" s="1">
        <v>44623</v>
      </c>
      <c r="H2061">
        <v>64.37</v>
      </c>
      <c r="I2061" s="1">
        <v>44623</v>
      </c>
      <c r="J2061">
        <v>22.94</v>
      </c>
      <c r="K2061" s="1">
        <v>44525</v>
      </c>
      <c r="L2061">
        <v>96.774000000000001</v>
      </c>
    </row>
    <row r="2062" spans="1:12" x14ac:dyDescent="0.25">
      <c r="A2062" s="1">
        <v>44630</v>
      </c>
      <c r="B2062">
        <v>30.23</v>
      </c>
      <c r="C2062" s="1">
        <v>44630</v>
      </c>
      <c r="D2062">
        <v>35.04</v>
      </c>
      <c r="E2062" s="1">
        <v>44581</v>
      </c>
      <c r="F2062">
        <v>80.959999999999994</v>
      </c>
      <c r="G2062" s="1">
        <v>44624</v>
      </c>
      <c r="H2062">
        <v>77.290000000000006</v>
      </c>
      <c r="I2062" s="1">
        <v>44624</v>
      </c>
      <c r="J2062">
        <v>26.29</v>
      </c>
      <c r="K2062" s="1">
        <v>44526</v>
      </c>
      <c r="L2062">
        <v>96.088999999999999</v>
      </c>
    </row>
    <row r="2063" spans="1:12" x14ac:dyDescent="0.25">
      <c r="A2063" s="1">
        <v>44631</v>
      </c>
      <c r="B2063">
        <v>30.75</v>
      </c>
      <c r="C2063" s="1">
        <v>44631</v>
      </c>
      <c r="D2063">
        <v>37.08</v>
      </c>
      <c r="E2063" s="1">
        <v>44582</v>
      </c>
      <c r="F2063">
        <v>81.03</v>
      </c>
      <c r="G2063" s="1">
        <v>44627</v>
      </c>
      <c r="H2063">
        <v>78.91</v>
      </c>
      <c r="I2063" s="1">
        <v>44627</v>
      </c>
      <c r="J2063">
        <v>29.67</v>
      </c>
      <c r="K2063" s="1">
        <v>44529</v>
      </c>
      <c r="L2063">
        <v>96.340999999999994</v>
      </c>
    </row>
    <row r="2064" spans="1:12" x14ac:dyDescent="0.25">
      <c r="A2064" s="1">
        <v>44634</v>
      </c>
      <c r="B2064">
        <v>31.77</v>
      </c>
      <c r="C2064" s="1">
        <v>44634</v>
      </c>
      <c r="D2064">
        <v>41.66</v>
      </c>
      <c r="E2064" s="1">
        <v>44585</v>
      </c>
      <c r="F2064">
        <v>83.77</v>
      </c>
      <c r="G2064" s="1">
        <v>44628</v>
      </c>
      <c r="H2064">
        <v>75.819999999999993</v>
      </c>
      <c r="I2064" s="1">
        <v>44628</v>
      </c>
      <c r="J2064">
        <v>31.7</v>
      </c>
      <c r="K2064" s="1">
        <v>44530</v>
      </c>
      <c r="L2064">
        <v>95.994</v>
      </c>
    </row>
    <row r="2065" spans="1:12" x14ac:dyDescent="0.25">
      <c r="A2065" s="1">
        <v>44635</v>
      </c>
      <c r="B2065">
        <v>29.83</v>
      </c>
      <c r="C2065" s="1">
        <v>44635</v>
      </c>
      <c r="D2065">
        <v>40.020000000000003</v>
      </c>
      <c r="E2065" s="1">
        <v>44586</v>
      </c>
      <c r="F2065">
        <v>84.57</v>
      </c>
      <c r="G2065" s="1">
        <v>44629</v>
      </c>
      <c r="H2065">
        <v>73.25</v>
      </c>
      <c r="I2065" s="1">
        <v>44629</v>
      </c>
      <c r="J2065">
        <v>28.01</v>
      </c>
      <c r="K2065" s="1">
        <v>44531</v>
      </c>
      <c r="L2065">
        <v>96.028000000000006</v>
      </c>
    </row>
    <row r="2066" spans="1:12" x14ac:dyDescent="0.25">
      <c r="A2066" s="1">
        <v>44636</v>
      </c>
      <c r="B2066">
        <v>26.67</v>
      </c>
      <c r="C2066" s="1">
        <v>44636</v>
      </c>
      <c r="D2066">
        <v>34.22</v>
      </c>
      <c r="E2066" s="1">
        <v>44587</v>
      </c>
      <c r="F2066">
        <v>85.75</v>
      </c>
      <c r="G2066" s="1">
        <v>44630</v>
      </c>
      <c r="H2066">
        <v>67.34</v>
      </c>
      <c r="I2066" s="1">
        <v>44630</v>
      </c>
      <c r="J2066">
        <v>26.08</v>
      </c>
      <c r="K2066" s="1">
        <v>44532</v>
      </c>
      <c r="L2066">
        <v>96.156000000000006</v>
      </c>
    </row>
    <row r="2067" spans="1:12" x14ac:dyDescent="0.25">
      <c r="A2067" s="1">
        <v>44637</v>
      </c>
      <c r="B2067">
        <v>25.67</v>
      </c>
      <c r="C2067" s="1">
        <v>44637</v>
      </c>
      <c r="D2067">
        <v>33.24</v>
      </c>
      <c r="E2067" s="1">
        <v>44588</v>
      </c>
      <c r="F2067">
        <v>85.62</v>
      </c>
      <c r="G2067" s="1">
        <v>44631</v>
      </c>
      <c r="H2067">
        <v>68.010000000000005</v>
      </c>
      <c r="I2067" s="1">
        <v>44631</v>
      </c>
      <c r="J2067">
        <v>24.73</v>
      </c>
      <c r="K2067" s="1">
        <v>44533</v>
      </c>
      <c r="L2067">
        <v>96.117000000000004</v>
      </c>
    </row>
    <row r="2068" spans="1:12" x14ac:dyDescent="0.25">
      <c r="A2068" s="1">
        <v>44638</v>
      </c>
      <c r="B2068">
        <v>23.87</v>
      </c>
      <c r="C2068" s="1">
        <v>44638</v>
      </c>
      <c r="D2068">
        <v>30.07</v>
      </c>
      <c r="E2068" s="1">
        <v>44589</v>
      </c>
      <c r="F2068">
        <v>85.29</v>
      </c>
      <c r="G2068" s="1">
        <v>44634</v>
      </c>
      <c r="H2068">
        <v>65.42</v>
      </c>
      <c r="I2068" s="1">
        <v>44634</v>
      </c>
      <c r="J2068">
        <v>24.08</v>
      </c>
      <c r="K2068" s="1">
        <v>44536</v>
      </c>
      <c r="L2068">
        <v>96.328000000000003</v>
      </c>
    </row>
    <row r="2069" spans="1:12" x14ac:dyDescent="0.25">
      <c r="A2069" s="1">
        <v>44641</v>
      </c>
      <c r="B2069">
        <v>23.53</v>
      </c>
      <c r="C2069" s="1">
        <v>44641</v>
      </c>
      <c r="D2069">
        <v>29.58</v>
      </c>
      <c r="E2069" s="1">
        <v>44592</v>
      </c>
      <c r="F2069">
        <v>85.14</v>
      </c>
      <c r="G2069" s="1">
        <v>44635</v>
      </c>
      <c r="H2069">
        <v>63.62</v>
      </c>
      <c r="I2069" s="1">
        <v>44635</v>
      </c>
      <c r="J2069">
        <v>23.8</v>
      </c>
      <c r="K2069" s="1">
        <v>44537</v>
      </c>
      <c r="L2069">
        <v>96.369</v>
      </c>
    </row>
    <row r="2070" spans="1:12" x14ac:dyDescent="0.25">
      <c r="A2070" s="1">
        <v>44642</v>
      </c>
      <c r="B2070">
        <v>22.94</v>
      </c>
      <c r="C2070" s="1">
        <v>44642</v>
      </c>
      <c r="D2070">
        <v>27.91</v>
      </c>
      <c r="E2070" s="1">
        <v>44593</v>
      </c>
      <c r="F2070">
        <v>85.22</v>
      </c>
      <c r="G2070" s="1">
        <v>44636</v>
      </c>
      <c r="H2070">
        <v>59.35</v>
      </c>
      <c r="I2070" s="1">
        <v>44636</v>
      </c>
      <c r="J2070">
        <v>22.51</v>
      </c>
      <c r="K2070" s="1">
        <v>44538</v>
      </c>
      <c r="L2070">
        <v>95.894000000000005</v>
      </c>
    </row>
    <row r="2071" spans="1:12" x14ac:dyDescent="0.25">
      <c r="A2071" s="1">
        <v>44643</v>
      </c>
      <c r="B2071">
        <v>23.57</v>
      </c>
      <c r="C2071" s="1">
        <v>44643</v>
      </c>
      <c r="D2071">
        <v>27.92</v>
      </c>
      <c r="E2071" s="1">
        <v>44594</v>
      </c>
      <c r="F2071">
        <v>84.85</v>
      </c>
      <c r="G2071" s="1">
        <v>44637</v>
      </c>
      <c r="H2071">
        <v>67.78</v>
      </c>
      <c r="I2071" s="1">
        <v>44637</v>
      </c>
      <c r="J2071">
        <v>22.23</v>
      </c>
      <c r="K2071" s="1">
        <v>44539</v>
      </c>
      <c r="L2071">
        <v>96.271000000000001</v>
      </c>
    </row>
    <row r="2072" spans="1:12" x14ac:dyDescent="0.25">
      <c r="A2072" s="1">
        <v>44644</v>
      </c>
      <c r="B2072">
        <v>21.67</v>
      </c>
      <c r="C2072" s="1">
        <v>44644</v>
      </c>
      <c r="D2072">
        <v>27.02</v>
      </c>
      <c r="E2072" s="1">
        <v>44595</v>
      </c>
      <c r="F2072">
        <v>85.74</v>
      </c>
      <c r="G2072" s="1">
        <v>44638</v>
      </c>
      <c r="H2072">
        <v>69.09</v>
      </c>
      <c r="I2072" s="1">
        <v>44638</v>
      </c>
      <c r="J2072">
        <v>22</v>
      </c>
      <c r="K2072" s="1">
        <v>44540</v>
      </c>
      <c r="L2072">
        <v>96.096999999999994</v>
      </c>
    </row>
    <row r="2073" spans="1:12" x14ac:dyDescent="0.25">
      <c r="A2073" s="1">
        <v>44645</v>
      </c>
      <c r="B2073">
        <v>20.81</v>
      </c>
      <c r="C2073" s="1">
        <v>44645</v>
      </c>
      <c r="D2073">
        <v>26.2</v>
      </c>
      <c r="E2073" s="1">
        <v>44596</v>
      </c>
      <c r="F2073">
        <v>87.68</v>
      </c>
      <c r="G2073" s="1">
        <v>44641</v>
      </c>
      <c r="H2073">
        <v>70.78</v>
      </c>
      <c r="I2073" s="1">
        <v>44641</v>
      </c>
      <c r="J2073">
        <v>21.89</v>
      </c>
      <c r="K2073" s="1">
        <v>44543</v>
      </c>
      <c r="L2073">
        <v>96.316999999999993</v>
      </c>
    </row>
    <row r="2074" spans="1:12" x14ac:dyDescent="0.25">
      <c r="A2074" s="1">
        <v>44648</v>
      </c>
      <c r="B2074">
        <v>19.63</v>
      </c>
      <c r="C2074" s="1">
        <v>44648</v>
      </c>
      <c r="D2074">
        <v>45.31</v>
      </c>
      <c r="E2074" s="1">
        <v>44599</v>
      </c>
      <c r="F2074">
        <v>87.44</v>
      </c>
      <c r="G2074" s="1">
        <v>44642</v>
      </c>
      <c r="H2074">
        <v>69.56</v>
      </c>
      <c r="I2074" s="1">
        <v>44642</v>
      </c>
      <c r="J2074">
        <v>20.58</v>
      </c>
      <c r="K2074" s="1">
        <v>44544</v>
      </c>
      <c r="L2074">
        <v>96.570999999999998</v>
      </c>
    </row>
    <row r="2075" spans="1:12" x14ac:dyDescent="0.25">
      <c r="A2075" s="1">
        <v>44649</v>
      </c>
      <c r="B2075">
        <v>18.899999999999999</v>
      </c>
      <c r="C2075" s="1">
        <v>44649</v>
      </c>
      <c r="D2075">
        <v>23.81</v>
      </c>
      <c r="E2075" s="1">
        <v>44600</v>
      </c>
      <c r="F2075">
        <v>82.72</v>
      </c>
      <c r="G2075" s="1">
        <v>44643</v>
      </c>
      <c r="H2075">
        <v>72.59</v>
      </c>
      <c r="I2075" s="1">
        <v>44643</v>
      </c>
      <c r="J2075">
        <v>23.41</v>
      </c>
      <c r="K2075" s="1">
        <v>44545</v>
      </c>
      <c r="L2075">
        <v>96.510999999999996</v>
      </c>
    </row>
    <row r="2076" spans="1:12" x14ac:dyDescent="0.25">
      <c r="A2076" s="1">
        <v>44650</v>
      </c>
      <c r="B2076">
        <v>19.329999999999998</v>
      </c>
      <c r="C2076" s="1">
        <v>44650</v>
      </c>
      <c r="D2076">
        <v>23.9</v>
      </c>
      <c r="E2076" s="1">
        <v>44601</v>
      </c>
      <c r="F2076">
        <v>81.760000000000005</v>
      </c>
      <c r="G2076" s="1">
        <v>44644</v>
      </c>
      <c r="H2076">
        <v>69.14</v>
      </c>
      <c r="I2076" s="1">
        <v>44644</v>
      </c>
      <c r="J2076">
        <v>24.07</v>
      </c>
      <c r="K2076" s="1">
        <v>44546</v>
      </c>
      <c r="L2076">
        <v>96.042000000000002</v>
      </c>
    </row>
    <row r="2077" spans="1:12" x14ac:dyDescent="0.25">
      <c r="A2077" s="1">
        <v>44651</v>
      </c>
      <c r="B2077">
        <v>20.56</v>
      </c>
      <c r="C2077" s="1">
        <v>44651</v>
      </c>
      <c r="D2077">
        <v>24.5</v>
      </c>
      <c r="E2077" s="1">
        <v>44602</v>
      </c>
      <c r="F2077">
        <v>88.52</v>
      </c>
      <c r="G2077" s="1">
        <v>44645</v>
      </c>
      <c r="H2077">
        <v>68.91</v>
      </c>
      <c r="I2077" s="1">
        <v>44645</v>
      </c>
      <c r="J2077">
        <v>24.68</v>
      </c>
      <c r="K2077" s="1">
        <v>44547</v>
      </c>
      <c r="L2077">
        <v>96.564999999999998</v>
      </c>
    </row>
    <row r="2078" spans="1:12" x14ac:dyDescent="0.25">
      <c r="A2078" s="1">
        <v>44652</v>
      </c>
      <c r="B2078">
        <v>19.63</v>
      </c>
      <c r="C2078" s="1">
        <v>44652</v>
      </c>
      <c r="D2078">
        <v>22.04</v>
      </c>
      <c r="E2078" s="1">
        <v>44603</v>
      </c>
      <c r="F2078">
        <v>94.03</v>
      </c>
      <c r="G2078" s="1">
        <v>44648</v>
      </c>
      <c r="H2078">
        <v>67.040000000000006</v>
      </c>
      <c r="I2078" s="1">
        <v>44648</v>
      </c>
      <c r="J2078">
        <v>23.2</v>
      </c>
      <c r="K2078" s="1">
        <v>44550</v>
      </c>
      <c r="L2078">
        <v>96.551000000000002</v>
      </c>
    </row>
    <row r="2079" spans="1:12" x14ac:dyDescent="0.25">
      <c r="A2079" s="1">
        <v>44655</v>
      </c>
      <c r="B2079">
        <v>18.57</v>
      </c>
      <c r="C2079" s="1">
        <v>44655</v>
      </c>
      <c r="D2079">
        <v>21.63</v>
      </c>
      <c r="E2079" s="1">
        <v>44606</v>
      </c>
      <c r="F2079">
        <v>102.28</v>
      </c>
      <c r="G2079" s="1">
        <v>44649</v>
      </c>
      <c r="H2079">
        <v>62.46</v>
      </c>
      <c r="I2079" s="1">
        <v>44649</v>
      </c>
      <c r="J2079">
        <v>21.28</v>
      </c>
      <c r="K2079" s="1">
        <v>44551</v>
      </c>
      <c r="L2079">
        <v>96.491</v>
      </c>
    </row>
    <row r="2080" spans="1:12" x14ac:dyDescent="0.25">
      <c r="A2080" s="1">
        <v>44656</v>
      </c>
      <c r="B2080">
        <v>21.03</v>
      </c>
      <c r="C2080" s="1">
        <v>44656</v>
      </c>
      <c r="D2080">
        <v>23.47</v>
      </c>
      <c r="E2080" s="1">
        <v>44607</v>
      </c>
      <c r="F2080">
        <v>94</v>
      </c>
      <c r="G2080" s="1">
        <v>44650</v>
      </c>
      <c r="H2080">
        <v>61.04</v>
      </c>
      <c r="I2080" s="1">
        <v>44650</v>
      </c>
      <c r="J2080">
        <v>21.08</v>
      </c>
      <c r="K2080" s="1">
        <v>44552</v>
      </c>
      <c r="L2080">
        <v>96.075999999999993</v>
      </c>
    </row>
    <row r="2081" spans="1:12" x14ac:dyDescent="0.25">
      <c r="A2081" s="1">
        <v>44657</v>
      </c>
      <c r="B2081">
        <v>22.1</v>
      </c>
      <c r="C2081" s="1">
        <v>44657</v>
      </c>
      <c r="D2081">
        <v>24.69</v>
      </c>
      <c r="E2081" s="1">
        <v>44608</v>
      </c>
      <c r="F2081">
        <v>92.74</v>
      </c>
      <c r="G2081" s="1">
        <v>44651</v>
      </c>
      <c r="H2081">
        <v>57.66</v>
      </c>
      <c r="I2081" s="1">
        <v>44651</v>
      </c>
      <c r="J2081">
        <v>20.25</v>
      </c>
      <c r="K2081" s="1">
        <v>44553</v>
      </c>
      <c r="L2081">
        <v>96.019000000000005</v>
      </c>
    </row>
    <row r="2082" spans="1:12" x14ac:dyDescent="0.25">
      <c r="A2082" s="1">
        <v>44658</v>
      </c>
      <c r="B2082">
        <v>21.55</v>
      </c>
      <c r="C2082" s="1">
        <v>44658</v>
      </c>
      <c r="D2082">
        <v>25.48</v>
      </c>
      <c r="E2082" s="1">
        <v>44609</v>
      </c>
      <c r="F2082">
        <v>96.17</v>
      </c>
      <c r="G2082" s="1">
        <v>44652</v>
      </c>
      <c r="H2082">
        <v>54.36</v>
      </c>
      <c r="I2082" s="1">
        <v>44652</v>
      </c>
      <c r="J2082">
        <v>19.079999999999998</v>
      </c>
      <c r="K2082" s="1">
        <v>44557</v>
      </c>
      <c r="L2082">
        <v>96.093000000000004</v>
      </c>
    </row>
    <row r="2083" spans="1:12" x14ac:dyDescent="0.25">
      <c r="A2083" s="1">
        <v>44659</v>
      </c>
      <c r="B2083">
        <v>21.16</v>
      </c>
      <c r="C2083" s="1">
        <v>44659</v>
      </c>
      <c r="D2083">
        <v>24.08</v>
      </c>
      <c r="E2083" s="1">
        <v>44610</v>
      </c>
      <c r="F2083">
        <v>94.36</v>
      </c>
      <c r="G2083" s="1">
        <v>44655</v>
      </c>
      <c r="H2083">
        <v>54.31</v>
      </c>
      <c r="I2083" s="1">
        <v>44655</v>
      </c>
      <c r="J2083">
        <v>19.22</v>
      </c>
      <c r="K2083" s="1">
        <v>44558</v>
      </c>
      <c r="L2083">
        <v>96.201999999999998</v>
      </c>
    </row>
    <row r="2084" spans="1:12" x14ac:dyDescent="0.25">
      <c r="A2084" s="1">
        <v>44662</v>
      </c>
      <c r="B2084">
        <v>24.37</v>
      </c>
      <c r="C2084" s="1">
        <v>44662</v>
      </c>
      <c r="D2084">
        <v>24.33</v>
      </c>
      <c r="E2084" s="1">
        <v>44614</v>
      </c>
      <c r="F2084">
        <v>95.54</v>
      </c>
      <c r="G2084" s="1">
        <v>44656</v>
      </c>
      <c r="H2084">
        <v>53.8</v>
      </c>
      <c r="I2084" s="1">
        <v>44656</v>
      </c>
      <c r="J2084">
        <v>18.47</v>
      </c>
      <c r="K2084" s="1">
        <v>44559</v>
      </c>
      <c r="L2084">
        <v>95.929000000000002</v>
      </c>
    </row>
    <row r="2085" spans="1:12" x14ac:dyDescent="0.25">
      <c r="A2085" s="1">
        <v>44663</v>
      </c>
      <c r="B2085">
        <v>24.26</v>
      </c>
      <c r="C2085" s="1">
        <v>44663</v>
      </c>
      <c r="D2085">
        <v>23.53</v>
      </c>
      <c r="E2085" s="1">
        <v>44615</v>
      </c>
      <c r="F2085">
        <v>95.15</v>
      </c>
      <c r="G2085" s="1">
        <v>44657</v>
      </c>
      <c r="H2085">
        <v>53.15</v>
      </c>
      <c r="I2085" s="1">
        <v>44657</v>
      </c>
      <c r="J2085">
        <v>18.88</v>
      </c>
      <c r="K2085" s="1">
        <v>44560</v>
      </c>
      <c r="L2085">
        <v>95.968000000000004</v>
      </c>
    </row>
    <row r="2086" spans="1:12" x14ac:dyDescent="0.25">
      <c r="A2086" s="1">
        <v>44664</v>
      </c>
      <c r="B2086">
        <v>21.82</v>
      </c>
      <c r="C2086" s="1">
        <v>44664</v>
      </c>
      <c r="D2086">
        <v>28.1</v>
      </c>
      <c r="E2086" s="1">
        <v>44616</v>
      </c>
      <c r="F2086">
        <v>100.75</v>
      </c>
      <c r="G2086" s="1">
        <v>44658</v>
      </c>
      <c r="H2086">
        <v>54.23</v>
      </c>
      <c r="I2086" s="1">
        <v>44658</v>
      </c>
      <c r="J2086">
        <v>18.43</v>
      </c>
      <c r="K2086" s="1">
        <v>44561</v>
      </c>
      <c r="L2086">
        <v>95.67</v>
      </c>
    </row>
    <row r="2087" spans="1:12" x14ac:dyDescent="0.25">
      <c r="A2087" s="1">
        <v>44665</v>
      </c>
      <c r="B2087">
        <v>22.7</v>
      </c>
      <c r="C2087" s="1">
        <v>44665</v>
      </c>
      <c r="D2087">
        <v>23.03</v>
      </c>
      <c r="E2087" s="1">
        <v>44617</v>
      </c>
      <c r="F2087">
        <v>93.34</v>
      </c>
      <c r="G2087" s="1">
        <v>44659</v>
      </c>
      <c r="H2087">
        <v>53.14</v>
      </c>
      <c r="I2087" s="1">
        <v>44659</v>
      </c>
      <c r="J2087">
        <v>18.37</v>
      </c>
      <c r="K2087" s="1">
        <v>44564</v>
      </c>
      <c r="L2087">
        <v>96.212999999999994</v>
      </c>
    </row>
    <row r="2088" spans="1:12" x14ac:dyDescent="0.25">
      <c r="A2088" s="1">
        <v>44669</v>
      </c>
      <c r="B2088">
        <v>22.17</v>
      </c>
      <c r="C2088" s="1">
        <v>44669</v>
      </c>
      <c r="D2088">
        <v>25.29</v>
      </c>
      <c r="E2088" s="1">
        <v>44620</v>
      </c>
      <c r="F2088">
        <v>100.4</v>
      </c>
      <c r="G2088" s="1">
        <v>44662</v>
      </c>
      <c r="H2088">
        <v>54.81</v>
      </c>
      <c r="I2088" s="1">
        <v>44662</v>
      </c>
      <c r="J2088">
        <v>19.25</v>
      </c>
      <c r="K2088" s="1">
        <v>44565</v>
      </c>
      <c r="L2088">
        <v>96.262</v>
      </c>
    </row>
    <row r="2089" spans="1:12" x14ac:dyDescent="0.25">
      <c r="A2089" s="1">
        <v>44670</v>
      </c>
      <c r="B2089">
        <v>21.37</v>
      </c>
      <c r="C2089" s="1">
        <v>44670</v>
      </c>
      <c r="D2089">
        <v>23.24</v>
      </c>
      <c r="E2089" s="1">
        <v>44621</v>
      </c>
      <c r="F2089">
        <v>118.26</v>
      </c>
      <c r="G2089" s="1">
        <v>44663</v>
      </c>
      <c r="H2089">
        <v>55.25</v>
      </c>
      <c r="I2089" s="1">
        <v>44663</v>
      </c>
      <c r="J2089">
        <v>19.37</v>
      </c>
      <c r="K2089" s="1">
        <v>44566</v>
      </c>
      <c r="L2089">
        <v>96.171000000000006</v>
      </c>
    </row>
    <row r="2090" spans="1:12" x14ac:dyDescent="0.25">
      <c r="A2090" s="1">
        <v>44671</v>
      </c>
      <c r="B2090">
        <v>20.32</v>
      </c>
      <c r="C2090" s="1">
        <v>44671</v>
      </c>
      <c r="D2090">
        <v>22.93</v>
      </c>
      <c r="E2090" s="1">
        <v>44622</v>
      </c>
      <c r="F2090">
        <v>110.28</v>
      </c>
      <c r="G2090" s="1">
        <v>44664</v>
      </c>
      <c r="H2090">
        <v>51.2</v>
      </c>
      <c r="I2090" s="1">
        <v>44664</v>
      </c>
      <c r="J2090">
        <v>18.7</v>
      </c>
      <c r="K2090" s="1">
        <v>44567</v>
      </c>
      <c r="L2090">
        <v>96.32</v>
      </c>
    </row>
    <row r="2091" spans="1:12" x14ac:dyDescent="0.25">
      <c r="A2091" s="1">
        <v>44672</v>
      </c>
      <c r="B2091">
        <v>22.68</v>
      </c>
      <c r="C2091" s="1">
        <v>44672</v>
      </c>
      <c r="D2091">
        <v>26.95</v>
      </c>
      <c r="E2091" s="1">
        <v>44623</v>
      </c>
      <c r="F2091">
        <v>115.18</v>
      </c>
      <c r="G2091" s="1">
        <v>44665</v>
      </c>
      <c r="H2091">
        <v>53.38</v>
      </c>
      <c r="I2091" s="1">
        <v>44665</v>
      </c>
      <c r="J2091">
        <v>17.71</v>
      </c>
      <c r="K2091" s="1">
        <v>44568</v>
      </c>
      <c r="L2091">
        <v>95.718999999999994</v>
      </c>
    </row>
    <row r="2092" spans="1:12" x14ac:dyDescent="0.25">
      <c r="A2092" s="1">
        <v>44673</v>
      </c>
      <c r="B2092">
        <v>28.21</v>
      </c>
      <c r="C2092" s="1">
        <v>44673</v>
      </c>
      <c r="D2092">
        <v>29.45</v>
      </c>
      <c r="E2092" s="1">
        <v>44624</v>
      </c>
      <c r="F2092">
        <v>131.82</v>
      </c>
      <c r="G2092" s="1">
        <v>44669</v>
      </c>
      <c r="H2092">
        <v>50.94</v>
      </c>
      <c r="I2092" s="1">
        <v>44669</v>
      </c>
      <c r="J2092">
        <v>19.07</v>
      </c>
      <c r="K2092" s="1">
        <v>44571</v>
      </c>
      <c r="L2092">
        <v>95.991</v>
      </c>
    </row>
    <row r="2093" spans="1:12" x14ac:dyDescent="0.25">
      <c r="A2093" s="1">
        <v>44676</v>
      </c>
      <c r="B2093">
        <v>27.02</v>
      </c>
      <c r="C2093" s="1">
        <v>44676</v>
      </c>
      <c r="D2093">
        <v>30.4</v>
      </c>
      <c r="E2093" s="1">
        <v>44627</v>
      </c>
      <c r="F2093">
        <v>140.03</v>
      </c>
      <c r="G2093" s="1">
        <v>44670</v>
      </c>
      <c r="H2093">
        <v>50.34</v>
      </c>
      <c r="I2093" s="1">
        <v>44670</v>
      </c>
      <c r="J2093">
        <v>18.190000000000001</v>
      </c>
      <c r="K2093" s="1">
        <v>44572</v>
      </c>
      <c r="L2093">
        <v>95.623999999999995</v>
      </c>
    </row>
    <row r="2094" spans="1:12" x14ac:dyDescent="0.25">
      <c r="A2094" s="1">
        <v>44677</v>
      </c>
      <c r="B2094">
        <v>33.520000000000003</v>
      </c>
      <c r="C2094" s="1">
        <v>44677</v>
      </c>
      <c r="D2094">
        <v>31.39</v>
      </c>
      <c r="E2094" s="1">
        <v>44628</v>
      </c>
      <c r="F2094">
        <v>133.37</v>
      </c>
      <c r="G2094" s="1">
        <v>44671</v>
      </c>
      <c r="H2094">
        <v>52.23</v>
      </c>
      <c r="I2094" s="1">
        <v>44671</v>
      </c>
      <c r="J2094">
        <v>18.149999999999999</v>
      </c>
      <c r="K2094" s="1">
        <v>44573</v>
      </c>
      <c r="L2094">
        <v>94.915000000000006</v>
      </c>
    </row>
    <row r="2095" spans="1:12" x14ac:dyDescent="0.25">
      <c r="A2095" s="1">
        <v>44678</v>
      </c>
      <c r="B2095">
        <v>31.6</v>
      </c>
      <c r="C2095" s="1">
        <v>44678</v>
      </c>
      <c r="D2095">
        <v>29.68</v>
      </c>
      <c r="E2095" s="1">
        <v>44629</v>
      </c>
      <c r="F2095">
        <v>110.9</v>
      </c>
      <c r="G2095" s="1">
        <v>44672</v>
      </c>
      <c r="H2095">
        <v>49.86</v>
      </c>
      <c r="I2095" s="1">
        <v>44672</v>
      </c>
      <c r="J2095">
        <v>18.22</v>
      </c>
      <c r="K2095" s="1">
        <v>44574</v>
      </c>
      <c r="L2095">
        <v>94.79</v>
      </c>
    </row>
    <row r="2096" spans="1:12" x14ac:dyDescent="0.25">
      <c r="A2096" s="1">
        <v>44679</v>
      </c>
      <c r="B2096">
        <v>29.99</v>
      </c>
      <c r="C2096" s="1">
        <v>44679</v>
      </c>
      <c r="D2096">
        <v>28.07</v>
      </c>
      <c r="E2096" s="1">
        <v>44630</v>
      </c>
      <c r="F2096">
        <v>105.31</v>
      </c>
      <c r="G2096" s="1">
        <v>44673</v>
      </c>
      <c r="H2096">
        <v>51.15</v>
      </c>
      <c r="I2096" s="1">
        <v>44673</v>
      </c>
      <c r="J2096">
        <v>18.97</v>
      </c>
      <c r="K2096" s="1">
        <v>44575</v>
      </c>
      <c r="L2096">
        <v>95.165000000000006</v>
      </c>
    </row>
    <row r="2097" spans="1:12" x14ac:dyDescent="0.25">
      <c r="A2097" s="1">
        <v>44680</v>
      </c>
      <c r="B2097">
        <v>33.4</v>
      </c>
      <c r="C2097" s="1">
        <v>44680</v>
      </c>
      <c r="D2097">
        <v>30.76</v>
      </c>
      <c r="E2097" s="1">
        <v>44631</v>
      </c>
      <c r="F2097">
        <v>99.03</v>
      </c>
      <c r="G2097" s="1">
        <v>44676</v>
      </c>
      <c r="H2097">
        <v>52.86</v>
      </c>
      <c r="I2097" s="1">
        <v>44676</v>
      </c>
      <c r="J2097">
        <v>19.47</v>
      </c>
      <c r="K2097" s="1">
        <v>44578</v>
      </c>
      <c r="L2097">
        <v>95.257999999999996</v>
      </c>
    </row>
    <row r="2098" spans="1:12" x14ac:dyDescent="0.25">
      <c r="A2098" s="1">
        <v>44683</v>
      </c>
      <c r="B2098">
        <v>32.340000000000003</v>
      </c>
      <c r="C2098" s="1">
        <v>44683</v>
      </c>
      <c r="D2098">
        <v>30.48</v>
      </c>
      <c r="E2098" s="1">
        <v>44634</v>
      </c>
      <c r="F2098">
        <v>105.08</v>
      </c>
      <c r="G2098" s="1">
        <v>44677</v>
      </c>
      <c r="H2098">
        <v>53.57</v>
      </c>
      <c r="I2098" s="1">
        <v>44677</v>
      </c>
      <c r="J2098">
        <v>19.23</v>
      </c>
      <c r="K2098" s="1">
        <v>44579</v>
      </c>
      <c r="L2098">
        <v>95.731999999999999</v>
      </c>
    </row>
    <row r="2099" spans="1:12" x14ac:dyDescent="0.25">
      <c r="A2099" s="1">
        <v>44684</v>
      </c>
      <c r="B2099">
        <v>29.25</v>
      </c>
      <c r="C2099" s="1">
        <v>44684</v>
      </c>
      <c r="D2099">
        <v>28.4</v>
      </c>
      <c r="E2099" s="1">
        <v>44635</v>
      </c>
      <c r="F2099">
        <v>101.03</v>
      </c>
      <c r="G2099" s="1">
        <v>44678</v>
      </c>
      <c r="H2099">
        <v>53.38</v>
      </c>
      <c r="I2099" s="1">
        <v>44678</v>
      </c>
      <c r="J2099">
        <v>19.16</v>
      </c>
      <c r="K2099" s="1">
        <v>44580</v>
      </c>
      <c r="L2099">
        <v>95.51</v>
      </c>
    </row>
    <row r="2100" spans="1:12" x14ac:dyDescent="0.25">
      <c r="A2100" s="1">
        <v>44685</v>
      </c>
      <c r="B2100">
        <v>25.42</v>
      </c>
      <c r="C2100" s="1">
        <v>44685</v>
      </c>
      <c r="D2100">
        <v>25.25</v>
      </c>
      <c r="E2100" s="1">
        <v>44636</v>
      </c>
      <c r="F2100">
        <v>100.57</v>
      </c>
      <c r="G2100" s="1">
        <v>44679</v>
      </c>
      <c r="H2100">
        <v>51.94</v>
      </c>
      <c r="I2100" s="1">
        <v>44679</v>
      </c>
      <c r="J2100">
        <v>19</v>
      </c>
      <c r="K2100" s="1">
        <v>44581</v>
      </c>
      <c r="L2100">
        <v>95.734999999999999</v>
      </c>
    </row>
    <row r="2101" spans="1:12" x14ac:dyDescent="0.25">
      <c r="A2101" s="1">
        <v>44686</v>
      </c>
      <c r="B2101">
        <v>31.2</v>
      </c>
      <c r="C2101" s="1">
        <v>44686</v>
      </c>
      <c r="D2101">
        <v>30.9</v>
      </c>
      <c r="E2101" s="1">
        <v>44637</v>
      </c>
      <c r="F2101">
        <v>91.76</v>
      </c>
      <c r="G2101" s="1">
        <v>44680</v>
      </c>
      <c r="H2101">
        <v>53.1</v>
      </c>
      <c r="I2101" s="1">
        <v>44680</v>
      </c>
      <c r="J2101">
        <v>19.829999999999998</v>
      </c>
      <c r="K2101" s="1">
        <v>44582</v>
      </c>
      <c r="L2101">
        <v>95.641999999999996</v>
      </c>
    </row>
    <row r="2102" spans="1:12" x14ac:dyDescent="0.25">
      <c r="A2102" s="1">
        <v>44687</v>
      </c>
      <c r="B2102">
        <v>30.19</v>
      </c>
      <c r="C2102" s="1">
        <v>44687</v>
      </c>
      <c r="D2102">
        <v>30.44</v>
      </c>
      <c r="E2102" s="1">
        <v>44638</v>
      </c>
      <c r="F2102">
        <v>91.77</v>
      </c>
      <c r="G2102" s="1">
        <v>44683</v>
      </c>
      <c r="H2102">
        <v>54.15</v>
      </c>
      <c r="I2102" s="1">
        <v>44683</v>
      </c>
      <c r="J2102">
        <v>20.059999999999999</v>
      </c>
      <c r="K2102" s="1">
        <v>44585</v>
      </c>
      <c r="L2102">
        <v>95.918000000000006</v>
      </c>
    </row>
    <row r="2103" spans="1:12" x14ac:dyDescent="0.25">
      <c r="A2103" s="1">
        <v>44690</v>
      </c>
      <c r="B2103">
        <v>34.75</v>
      </c>
      <c r="C2103" s="1">
        <v>44690</v>
      </c>
      <c r="D2103">
        <v>33.700000000000003</v>
      </c>
      <c r="E2103" s="1">
        <v>44641</v>
      </c>
      <c r="F2103">
        <v>101.94</v>
      </c>
      <c r="G2103" s="1">
        <v>44684</v>
      </c>
      <c r="H2103">
        <v>54.04</v>
      </c>
      <c r="I2103" s="1">
        <v>44684</v>
      </c>
      <c r="J2103">
        <v>19.71</v>
      </c>
      <c r="K2103" s="1">
        <v>44586</v>
      </c>
      <c r="L2103">
        <v>95.947999999999993</v>
      </c>
    </row>
    <row r="2104" spans="1:12" x14ac:dyDescent="0.25">
      <c r="A2104" s="1">
        <v>44691</v>
      </c>
      <c r="B2104">
        <v>32.99</v>
      </c>
      <c r="C2104" s="1">
        <v>44691</v>
      </c>
      <c r="D2104">
        <v>32.94</v>
      </c>
      <c r="E2104" s="1">
        <v>44642</v>
      </c>
      <c r="F2104">
        <v>105.38</v>
      </c>
      <c r="G2104" s="1">
        <v>44685</v>
      </c>
      <c r="H2104">
        <v>53.15</v>
      </c>
      <c r="I2104" s="1">
        <v>44685</v>
      </c>
      <c r="J2104">
        <v>18.809999999999999</v>
      </c>
      <c r="K2104" s="1">
        <v>44587</v>
      </c>
      <c r="L2104">
        <v>96.477999999999994</v>
      </c>
    </row>
    <row r="2105" spans="1:12" x14ac:dyDescent="0.25">
      <c r="A2105" s="1">
        <v>44692</v>
      </c>
      <c r="B2105">
        <v>32.56</v>
      </c>
      <c r="C2105" s="1">
        <v>44692</v>
      </c>
      <c r="D2105">
        <v>31.39</v>
      </c>
      <c r="E2105" s="1">
        <v>44643</v>
      </c>
      <c r="F2105">
        <v>105.72</v>
      </c>
      <c r="G2105" s="1">
        <v>44686</v>
      </c>
      <c r="H2105">
        <v>54.72</v>
      </c>
      <c r="I2105" s="1">
        <v>44686</v>
      </c>
      <c r="J2105">
        <v>19.36</v>
      </c>
      <c r="K2105" s="1">
        <v>44588</v>
      </c>
      <c r="L2105">
        <v>97.254999999999995</v>
      </c>
    </row>
    <row r="2106" spans="1:12" x14ac:dyDescent="0.25">
      <c r="A2106" s="1">
        <v>44693</v>
      </c>
      <c r="B2106">
        <v>31.77</v>
      </c>
      <c r="C2106" s="1">
        <v>44693</v>
      </c>
      <c r="D2106">
        <v>32.229999999999997</v>
      </c>
      <c r="E2106" s="1">
        <v>44644</v>
      </c>
      <c r="F2106">
        <v>113.14</v>
      </c>
      <c r="G2106" s="1">
        <v>44687</v>
      </c>
      <c r="H2106">
        <v>54.82</v>
      </c>
      <c r="I2106" s="1">
        <v>44687</v>
      </c>
      <c r="J2106">
        <v>18.71</v>
      </c>
      <c r="K2106" s="1">
        <v>44589</v>
      </c>
      <c r="L2106">
        <v>97.27</v>
      </c>
    </row>
    <row r="2107" spans="1:12" x14ac:dyDescent="0.25">
      <c r="A2107" s="1">
        <v>44694</v>
      </c>
      <c r="B2107">
        <v>28.87</v>
      </c>
      <c r="C2107" s="1">
        <v>44694</v>
      </c>
      <c r="D2107">
        <v>28.52</v>
      </c>
      <c r="E2107" s="1">
        <v>44645</v>
      </c>
      <c r="F2107">
        <v>125.27</v>
      </c>
      <c r="G2107" s="1">
        <v>44690</v>
      </c>
      <c r="H2107">
        <v>57.9</v>
      </c>
      <c r="I2107" s="1">
        <v>44690</v>
      </c>
      <c r="J2107">
        <v>20.49</v>
      </c>
      <c r="K2107" s="1">
        <v>44592</v>
      </c>
      <c r="L2107">
        <v>96.54</v>
      </c>
    </row>
    <row r="2108" spans="1:12" x14ac:dyDescent="0.25">
      <c r="A2108" s="1">
        <v>44697</v>
      </c>
      <c r="B2108">
        <v>27.47</v>
      </c>
      <c r="C2108" s="1">
        <v>44697</v>
      </c>
      <c r="D2108">
        <v>27.96</v>
      </c>
      <c r="E2108" s="1">
        <v>44648</v>
      </c>
      <c r="F2108">
        <v>129.28</v>
      </c>
      <c r="G2108" s="1">
        <v>44691</v>
      </c>
      <c r="H2108">
        <v>56.06</v>
      </c>
      <c r="I2108" s="1">
        <v>44691</v>
      </c>
      <c r="J2108">
        <v>20.02</v>
      </c>
      <c r="K2108" s="1">
        <v>44593</v>
      </c>
      <c r="L2108">
        <v>96.385000000000005</v>
      </c>
    </row>
    <row r="2109" spans="1:12" x14ac:dyDescent="0.25">
      <c r="A2109" s="1">
        <v>44698</v>
      </c>
      <c r="B2109">
        <v>26.1</v>
      </c>
      <c r="C2109" s="1">
        <v>44698</v>
      </c>
      <c r="D2109">
        <v>25.67</v>
      </c>
      <c r="E2109" s="1">
        <v>44649</v>
      </c>
      <c r="F2109">
        <v>117.92</v>
      </c>
      <c r="G2109" s="1">
        <v>44692</v>
      </c>
      <c r="H2109">
        <v>53.43</v>
      </c>
      <c r="I2109" s="1">
        <v>44692</v>
      </c>
      <c r="J2109">
        <v>20.260000000000002</v>
      </c>
      <c r="K2109" s="1">
        <v>44594</v>
      </c>
      <c r="L2109">
        <v>95.936000000000007</v>
      </c>
    </row>
    <row r="2110" spans="1:12" x14ac:dyDescent="0.25">
      <c r="A2110" s="1">
        <v>44699</v>
      </c>
      <c r="B2110">
        <v>30.96</v>
      </c>
      <c r="C2110" s="1">
        <v>44699</v>
      </c>
      <c r="D2110">
        <v>28.65</v>
      </c>
      <c r="E2110" s="1">
        <v>44650</v>
      </c>
      <c r="F2110">
        <v>112.98</v>
      </c>
      <c r="G2110" s="1">
        <v>44693</v>
      </c>
      <c r="H2110">
        <v>52.71</v>
      </c>
      <c r="I2110" s="1">
        <v>44693</v>
      </c>
      <c r="J2110">
        <v>21.51</v>
      </c>
      <c r="K2110" s="1">
        <v>44595</v>
      </c>
      <c r="L2110">
        <v>95.379000000000005</v>
      </c>
    </row>
    <row r="2111" spans="1:12" x14ac:dyDescent="0.25">
      <c r="A2111" s="1">
        <v>44700</v>
      </c>
      <c r="B2111">
        <v>29.35</v>
      </c>
      <c r="C2111" s="1">
        <v>44700</v>
      </c>
      <c r="D2111">
        <v>28.13</v>
      </c>
      <c r="E2111" s="1">
        <v>44651</v>
      </c>
      <c r="F2111">
        <v>106.88</v>
      </c>
      <c r="G2111" s="1">
        <v>44694</v>
      </c>
      <c r="H2111">
        <v>51.22</v>
      </c>
      <c r="I2111" s="1">
        <v>44694</v>
      </c>
      <c r="J2111">
        <v>21.2</v>
      </c>
      <c r="K2111" s="1">
        <v>44596</v>
      </c>
      <c r="L2111">
        <v>95.484999999999999</v>
      </c>
    </row>
    <row r="2112" spans="1:12" x14ac:dyDescent="0.25">
      <c r="A2112" s="1">
        <v>44701</v>
      </c>
      <c r="B2112">
        <v>29.43</v>
      </c>
      <c r="C2112" s="1">
        <v>44701</v>
      </c>
      <c r="D2112">
        <v>27.05</v>
      </c>
      <c r="E2112" s="1">
        <v>44652</v>
      </c>
      <c r="F2112">
        <v>108.34</v>
      </c>
      <c r="G2112" s="1">
        <v>44697</v>
      </c>
      <c r="H2112">
        <v>51.89</v>
      </c>
      <c r="I2112" s="1">
        <v>44697</v>
      </c>
      <c r="J2112">
        <v>21.16</v>
      </c>
      <c r="K2112" s="1">
        <v>44599</v>
      </c>
      <c r="L2112">
        <v>95.399000000000001</v>
      </c>
    </row>
    <row r="2113" spans="1:12" x14ac:dyDescent="0.25">
      <c r="A2113" s="1">
        <v>44704</v>
      </c>
      <c r="B2113">
        <v>28.48</v>
      </c>
      <c r="C2113" s="1">
        <v>44704</v>
      </c>
      <c r="D2113">
        <v>26.51</v>
      </c>
      <c r="E2113" s="1">
        <v>44655</v>
      </c>
      <c r="F2113">
        <v>108.37</v>
      </c>
      <c r="G2113" s="1">
        <v>44698</v>
      </c>
      <c r="H2113">
        <v>50.34</v>
      </c>
      <c r="I2113" s="1">
        <v>44698</v>
      </c>
      <c r="J2113">
        <v>20.05</v>
      </c>
      <c r="K2113" s="1">
        <v>44600</v>
      </c>
      <c r="L2113">
        <v>95.643000000000001</v>
      </c>
    </row>
    <row r="2114" spans="1:12" x14ac:dyDescent="0.25">
      <c r="A2114" s="1">
        <v>44705</v>
      </c>
      <c r="B2114">
        <v>29.45</v>
      </c>
      <c r="C2114" s="1">
        <v>44705</v>
      </c>
      <c r="D2114">
        <v>28.85</v>
      </c>
      <c r="E2114" s="1">
        <v>44656</v>
      </c>
      <c r="F2114">
        <v>116.37</v>
      </c>
      <c r="G2114" s="1">
        <v>44699</v>
      </c>
      <c r="H2114">
        <v>51.89</v>
      </c>
      <c r="I2114" s="1">
        <v>44699</v>
      </c>
      <c r="J2114">
        <v>19.690000000000001</v>
      </c>
      <c r="K2114" s="1">
        <v>44601</v>
      </c>
      <c r="L2114">
        <v>95.494</v>
      </c>
    </row>
    <row r="2115" spans="1:12" x14ac:dyDescent="0.25">
      <c r="A2115" s="1">
        <v>44706</v>
      </c>
      <c r="B2115">
        <v>28.37</v>
      </c>
      <c r="C2115" s="1">
        <v>44706</v>
      </c>
      <c r="D2115">
        <v>26.87</v>
      </c>
      <c r="E2115" s="1">
        <v>44657</v>
      </c>
      <c r="F2115">
        <v>123.92</v>
      </c>
      <c r="G2115" s="1">
        <v>44700</v>
      </c>
      <c r="H2115">
        <v>51.16</v>
      </c>
      <c r="I2115" s="1">
        <v>44700</v>
      </c>
      <c r="J2115">
        <v>20.25</v>
      </c>
      <c r="K2115" s="1">
        <v>44602</v>
      </c>
      <c r="L2115">
        <v>95.552999999999997</v>
      </c>
    </row>
    <row r="2116" spans="1:12" x14ac:dyDescent="0.25">
      <c r="A2116" s="1">
        <v>44707</v>
      </c>
      <c r="B2116">
        <v>27.5</v>
      </c>
      <c r="C2116" s="1">
        <v>44707</v>
      </c>
      <c r="D2116">
        <v>26</v>
      </c>
      <c r="E2116" s="1">
        <v>44658</v>
      </c>
      <c r="F2116">
        <v>122.67</v>
      </c>
      <c r="G2116" s="1">
        <v>44701</v>
      </c>
      <c r="H2116">
        <v>50.72</v>
      </c>
      <c r="I2116" s="1">
        <v>44701</v>
      </c>
      <c r="J2116">
        <v>19.309999999999999</v>
      </c>
      <c r="K2116" s="1">
        <v>44603</v>
      </c>
      <c r="L2116">
        <v>96.081999999999994</v>
      </c>
    </row>
    <row r="2117" spans="1:12" x14ac:dyDescent="0.25">
      <c r="A2117" s="1">
        <v>44708</v>
      </c>
      <c r="B2117">
        <v>25.72</v>
      </c>
      <c r="C2117" s="1">
        <v>44708</v>
      </c>
      <c r="D2117">
        <v>24.72</v>
      </c>
      <c r="E2117" s="1">
        <v>44659</v>
      </c>
      <c r="F2117">
        <v>124.86</v>
      </c>
      <c r="G2117" s="1">
        <v>44704</v>
      </c>
      <c r="H2117">
        <v>48.63</v>
      </c>
      <c r="I2117" s="1">
        <v>44704</v>
      </c>
      <c r="J2117">
        <v>19.63</v>
      </c>
      <c r="K2117" s="1">
        <v>44606</v>
      </c>
      <c r="L2117">
        <v>96.373999999999995</v>
      </c>
    </row>
    <row r="2118" spans="1:12" x14ac:dyDescent="0.25">
      <c r="A2118" s="1">
        <v>44711</v>
      </c>
      <c r="B2118">
        <v>26.54</v>
      </c>
      <c r="C2118" s="1">
        <v>44712</v>
      </c>
      <c r="D2118">
        <v>24.65</v>
      </c>
      <c r="E2118" s="1">
        <v>44662</v>
      </c>
      <c r="F2118">
        <v>129.87</v>
      </c>
      <c r="G2118" s="1">
        <v>44705</v>
      </c>
      <c r="H2118">
        <v>47.04</v>
      </c>
      <c r="I2118" s="1">
        <v>44705</v>
      </c>
      <c r="J2118">
        <v>19.13</v>
      </c>
      <c r="K2118" s="1">
        <v>44607</v>
      </c>
      <c r="L2118">
        <v>95.989000000000004</v>
      </c>
    </row>
    <row r="2119" spans="1:12" x14ac:dyDescent="0.25">
      <c r="A2119" s="1">
        <v>44712</v>
      </c>
      <c r="B2119">
        <v>26.19</v>
      </c>
      <c r="C2119" s="1">
        <v>44713</v>
      </c>
      <c r="D2119">
        <v>25.08</v>
      </c>
      <c r="E2119" s="1">
        <v>44663</v>
      </c>
      <c r="F2119">
        <v>117.79</v>
      </c>
      <c r="G2119" s="1">
        <v>44706</v>
      </c>
      <c r="H2119">
        <v>46.76</v>
      </c>
      <c r="I2119" s="1">
        <v>44706</v>
      </c>
      <c r="J2119">
        <v>18.27</v>
      </c>
      <c r="K2119" s="1">
        <v>44608</v>
      </c>
      <c r="L2119">
        <v>95.700999999999993</v>
      </c>
    </row>
    <row r="2120" spans="1:12" x14ac:dyDescent="0.25">
      <c r="A2120" s="1">
        <v>44713</v>
      </c>
      <c r="B2120">
        <v>25.69</v>
      </c>
      <c r="C2120" s="1">
        <v>44714</v>
      </c>
      <c r="D2120">
        <v>23.41</v>
      </c>
      <c r="E2120" s="1">
        <v>44664</v>
      </c>
      <c r="F2120">
        <v>116.33</v>
      </c>
      <c r="G2120" s="1">
        <v>44707</v>
      </c>
      <c r="H2120">
        <v>46.03</v>
      </c>
      <c r="I2120" s="1">
        <v>44707</v>
      </c>
      <c r="J2120">
        <v>17.809999999999999</v>
      </c>
      <c r="K2120" s="1">
        <v>44609</v>
      </c>
      <c r="L2120">
        <v>95.8</v>
      </c>
    </row>
    <row r="2121" spans="1:12" x14ac:dyDescent="0.25">
      <c r="A2121" s="1">
        <v>44714</v>
      </c>
      <c r="B2121">
        <v>24.72</v>
      </c>
      <c r="C2121" s="1">
        <v>44715</v>
      </c>
      <c r="D2121">
        <v>23.77</v>
      </c>
      <c r="E2121" s="1">
        <v>44665</v>
      </c>
      <c r="F2121">
        <v>119.66</v>
      </c>
      <c r="G2121" s="1">
        <v>44708</v>
      </c>
      <c r="H2121">
        <v>47.92</v>
      </c>
      <c r="I2121" s="1">
        <v>44708</v>
      </c>
      <c r="J2121">
        <v>17.5</v>
      </c>
      <c r="K2121" s="1">
        <v>44610</v>
      </c>
      <c r="L2121">
        <v>96.043000000000006</v>
      </c>
    </row>
    <row r="2122" spans="1:12" x14ac:dyDescent="0.25">
      <c r="A2122" s="1">
        <v>44715</v>
      </c>
      <c r="B2122">
        <v>24.79</v>
      </c>
      <c r="C2122" s="1">
        <v>44718</v>
      </c>
      <c r="D2122">
        <v>24.64</v>
      </c>
      <c r="E2122" s="1">
        <v>44669</v>
      </c>
      <c r="F2122">
        <v>122.32</v>
      </c>
      <c r="G2122" s="1">
        <v>44712</v>
      </c>
      <c r="H2122">
        <v>49.82</v>
      </c>
      <c r="I2122" s="1">
        <v>44712</v>
      </c>
      <c r="J2122">
        <v>17.190000000000001</v>
      </c>
      <c r="K2122" s="1">
        <v>44613</v>
      </c>
      <c r="L2122">
        <v>96.078000000000003</v>
      </c>
    </row>
    <row r="2123" spans="1:12" x14ac:dyDescent="0.25">
      <c r="A2123" s="1">
        <v>44718</v>
      </c>
      <c r="B2123">
        <v>25.07</v>
      </c>
      <c r="C2123" s="1">
        <v>44719</v>
      </c>
      <c r="D2123">
        <v>23.79</v>
      </c>
      <c r="E2123" s="1">
        <v>44670</v>
      </c>
      <c r="F2123">
        <v>122.74</v>
      </c>
      <c r="G2123" s="1">
        <v>44713</v>
      </c>
      <c r="H2123">
        <v>49.14</v>
      </c>
      <c r="I2123" s="1">
        <v>44713</v>
      </c>
      <c r="J2123">
        <v>16.940000000000001</v>
      </c>
      <c r="K2123" s="1">
        <v>44614</v>
      </c>
      <c r="L2123">
        <v>96.025000000000006</v>
      </c>
    </row>
    <row r="2124" spans="1:12" x14ac:dyDescent="0.25">
      <c r="A2124" s="1">
        <v>44719</v>
      </c>
      <c r="B2124">
        <v>24.02</v>
      </c>
      <c r="C2124" s="1">
        <v>44720</v>
      </c>
      <c r="D2124">
        <v>24.22</v>
      </c>
      <c r="E2124" s="1">
        <v>44671</v>
      </c>
      <c r="F2124">
        <v>125.12</v>
      </c>
      <c r="G2124" s="1">
        <v>44714</v>
      </c>
      <c r="H2124">
        <v>47.8</v>
      </c>
      <c r="I2124" s="1">
        <v>44714</v>
      </c>
      <c r="J2124">
        <v>17.13</v>
      </c>
      <c r="K2124" s="1">
        <v>44615</v>
      </c>
      <c r="L2124">
        <v>96.19</v>
      </c>
    </row>
    <row r="2125" spans="1:12" x14ac:dyDescent="0.25">
      <c r="A2125" s="1">
        <v>44720</v>
      </c>
      <c r="B2125">
        <v>23.96</v>
      </c>
      <c r="C2125" s="1">
        <v>44721</v>
      </c>
      <c r="D2125">
        <v>25.01</v>
      </c>
      <c r="E2125" s="1">
        <v>44672</v>
      </c>
      <c r="F2125">
        <v>130.69</v>
      </c>
      <c r="G2125" s="1">
        <v>44715</v>
      </c>
      <c r="H2125">
        <v>46.23</v>
      </c>
      <c r="I2125" s="1">
        <v>44715</v>
      </c>
      <c r="J2125">
        <v>16.510000000000002</v>
      </c>
      <c r="K2125" s="1">
        <v>44616</v>
      </c>
      <c r="L2125">
        <v>97.137</v>
      </c>
    </row>
    <row r="2126" spans="1:12" x14ac:dyDescent="0.25">
      <c r="A2126" s="1">
        <v>44721</v>
      </c>
      <c r="B2126">
        <v>26.09</v>
      </c>
      <c r="C2126" s="1">
        <v>44722</v>
      </c>
      <c r="D2126">
        <v>25.65</v>
      </c>
      <c r="E2126" s="1">
        <v>44673</v>
      </c>
      <c r="F2126">
        <v>128.12</v>
      </c>
      <c r="G2126" s="1">
        <v>44718</v>
      </c>
      <c r="H2126">
        <v>47.9</v>
      </c>
      <c r="I2126" s="1">
        <v>44718</v>
      </c>
      <c r="J2126">
        <v>16.809999999999999</v>
      </c>
      <c r="K2126" s="1">
        <v>44617</v>
      </c>
      <c r="L2126">
        <v>96.614999999999995</v>
      </c>
    </row>
    <row r="2127" spans="1:12" x14ac:dyDescent="0.25">
      <c r="A2127" s="1">
        <v>44722</v>
      </c>
      <c r="B2127">
        <v>27.75</v>
      </c>
      <c r="C2127" s="1">
        <v>44725</v>
      </c>
      <c r="D2127">
        <v>30.81</v>
      </c>
      <c r="E2127" s="1">
        <v>44676</v>
      </c>
      <c r="F2127">
        <v>131.63</v>
      </c>
      <c r="G2127" s="1">
        <v>44719</v>
      </c>
      <c r="H2127">
        <v>45.88</v>
      </c>
      <c r="I2127" s="1">
        <v>44719</v>
      </c>
      <c r="J2127">
        <v>16.64</v>
      </c>
      <c r="K2127" s="1">
        <v>44620</v>
      </c>
      <c r="L2127">
        <v>96.706999999999994</v>
      </c>
    </row>
    <row r="2128" spans="1:12" x14ac:dyDescent="0.25">
      <c r="A2128" s="1">
        <v>44725</v>
      </c>
      <c r="B2128">
        <v>34.020000000000003</v>
      </c>
      <c r="C2128" s="1">
        <v>44726</v>
      </c>
      <c r="D2128">
        <v>29.8</v>
      </c>
      <c r="E2128" s="1">
        <v>44677</v>
      </c>
      <c r="F2128">
        <v>129.27000000000001</v>
      </c>
      <c r="G2128" s="1">
        <v>44720</v>
      </c>
      <c r="H2128">
        <v>44.37</v>
      </c>
      <c r="I2128" s="1">
        <v>44720</v>
      </c>
      <c r="J2128">
        <v>16.04</v>
      </c>
      <c r="K2128" s="1">
        <v>44621</v>
      </c>
      <c r="L2128">
        <v>97.409000000000006</v>
      </c>
    </row>
    <row r="2129" spans="1:12" x14ac:dyDescent="0.25">
      <c r="A2129" s="1">
        <v>44726</v>
      </c>
      <c r="B2129">
        <v>32.69</v>
      </c>
      <c r="C2129" s="1">
        <v>44727</v>
      </c>
      <c r="D2129">
        <v>26.5</v>
      </c>
      <c r="E2129" s="1">
        <v>44678</v>
      </c>
      <c r="F2129">
        <v>130.11000000000001</v>
      </c>
      <c r="G2129" s="1">
        <v>44721</v>
      </c>
      <c r="H2129">
        <v>43.87</v>
      </c>
      <c r="I2129" s="1">
        <v>44721</v>
      </c>
      <c r="J2129">
        <v>16.29</v>
      </c>
      <c r="K2129" s="1">
        <v>44622</v>
      </c>
      <c r="L2129">
        <v>97.385000000000005</v>
      </c>
    </row>
    <row r="2130" spans="1:12" x14ac:dyDescent="0.25">
      <c r="A2130" s="1">
        <v>44727</v>
      </c>
      <c r="B2130">
        <v>29.62</v>
      </c>
      <c r="C2130" s="1">
        <v>44728</v>
      </c>
      <c r="D2130">
        <v>29.19</v>
      </c>
      <c r="E2130" s="1">
        <v>44679</v>
      </c>
      <c r="F2130">
        <v>128.74</v>
      </c>
      <c r="G2130" s="1">
        <v>44722</v>
      </c>
      <c r="H2130">
        <v>42.92</v>
      </c>
      <c r="I2130" s="1">
        <v>44722</v>
      </c>
      <c r="J2130">
        <v>17.579999999999998</v>
      </c>
      <c r="K2130" s="1">
        <v>44623</v>
      </c>
      <c r="L2130">
        <v>97.784999999999997</v>
      </c>
    </row>
    <row r="2131" spans="1:12" x14ac:dyDescent="0.25">
      <c r="A2131" s="1">
        <v>44728</v>
      </c>
      <c r="B2131">
        <v>32.950000000000003</v>
      </c>
      <c r="C2131" s="1">
        <v>44729</v>
      </c>
      <c r="D2131">
        <v>27.6</v>
      </c>
      <c r="E2131" s="1">
        <v>44680</v>
      </c>
      <c r="F2131">
        <v>128.4</v>
      </c>
      <c r="G2131" s="1">
        <v>44725</v>
      </c>
      <c r="H2131">
        <v>47.56</v>
      </c>
      <c r="I2131" s="1">
        <v>44725</v>
      </c>
      <c r="J2131">
        <v>20.84</v>
      </c>
      <c r="K2131" s="1">
        <v>44624</v>
      </c>
      <c r="L2131">
        <v>98.647999999999996</v>
      </c>
    </row>
    <row r="2132" spans="1:12" x14ac:dyDescent="0.25">
      <c r="A2132" s="1">
        <v>44729</v>
      </c>
      <c r="B2132">
        <v>31.13</v>
      </c>
      <c r="C2132" s="1">
        <v>44733</v>
      </c>
      <c r="D2132">
        <v>26.37</v>
      </c>
      <c r="E2132" s="1">
        <v>44683</v>
      </c>
      <c r="F2132">
        <v>135.16999999999999</v>
      </c>
      <c r="G2132" s="1">
        <v>44726</v>
      </c>
      <c r="H2132">
        <v>46.63</v>
      </c>
      <c r="I2132" s="1">
        <v>44726</v>
      </c>
      <c r="J2132">
        <v>21.99</v>
      </c>
      <c r="K2132" s="1">
        <v>44627</v>
      </c>
      <c r="L2132">
        <v>99.293000000000006</v>
      </c>
    </row>
    <row r="2133" spans="1:12" x14ac:dyDescent="0.25">
      <c r="A2133" s="1">
        <v>44732</v>
      </c>
      <c r="B2133">
        <v>31.03</v>
      </c>
      <c r="C2133" s="1">
        <v>44734</v>
      </c>
      <c r="D2133">
        <v>28.2</v>
      </c>
      <c r="E2133" s="1">
        <v>44684</v>
      </c>
      <c r="F2133">
        <v>126.46</v>
      </c>
      <c r="G2133" s="1">
        <v>44727</v>
      </c>
      <c r="H2133">
        <v>47.04</v>
      </c>
      <c r="I2133" s="1">
        <v>44727</v>
      </c>
      <c r="J2133">
        <v>19.399999999999999</v>
      </c>
      <c r="K2133" s="1">
        <v>44628</v>
      </c>
      <c r="L2133">
        <v>99.061999999999998</v>
      </c>
    </row>
    <row r="2134" spans="1:12" x14ac:dyDescent="0.25">
      <c r="A2134" s="1">
        <v>44733</v>
      </c>
      <c r="B2134">
        <v>30.19</v>
      </c>
      <c r="C2134" s="1">
        <v>44735</v>
      </c>
      <c r="D2134">
        <v>26.93</v>
      </c>
      <c r="E2134" s="1">
        <v>44685</v>
      </c>
      <c r="F2134">
        <v>121.99</v>
      </c>
      <c r="G2134" s="1">
        <v>44728</v>
      </c>
      <c r="H2134">
        <v>46.27</v>
      </c>
      <c r="I2134" s="1">
        <v>44728</v>
      </c>
      <c r="J2134">
        <v>20.65</v>
      </c>
      <c r="K2134" s="1">
        <v>44629</v>
      </c>
      <c r="L2134">
        <v>97.968000000000004</v>
      </c>
    </row>
    <row r="2135" spans="1:12" x14ac:dyDescent="0.25">
      <c r="A2135" s="1">
        <v>44734</v>
      </c>
      <c r="B2135">
        <v>28.95</v>
      </c>
      <c r="C2135" s="1">
        <v>44736</v>
      </c>
      <c r="D2135">
        <v>27.02</v>
      </c>
      <c r="E2135" s="1">
        <v>44686</v>
      </c>
      <c r="F2135">
        <v>122.72</v>
      </c>
      <c r="G2135" s="1">
        <v>44729</v>
      </c>
      <c r="H2135">
        <v>49.19</v>
      </c>
      <c r="I2135" s="1">
        <v>44729</v>
      </c>
      <c r="J2135">
        <v>20.28</v>
      </c>
      <c r="K2135" s="1">
        <v>44630</v>
      </c>
      <c r="L2135">
        <v>98.507000000000005</v>
      </c>
    </row>
    <row r="2136" spans="1:12" x14ac:dyDescent="0.25">
      <c r="A2136" s="1">
        <v>44735</v>
      </c>
      <c r="B2136">
        <v>29.05</v>
      </c>
      <c r="C2136" s="1">
        <v>44739</v>
      </c>
      <c r="D2136">
        <v>24.93</v>
      </c>
      <c r="E2136" s="1">
        <v>44687</v>
      </c>
      <c r="F2136">
        <v>121.42</v>
      </c>
      <c r="G2136" s="1">
        <v>44733</v>
      </c>
      <c r="H2136">
        <v>46.56</v>
      </c>
      <c r="I2136" s="1">
        <v>44733</v>
      </c>
      <c r="J2136">
        <v>18.239999999999998</v>
      </c>
      <c r="K2136" s="1">
        <v>44631</v>
      </c>
      <c r="L2136">
        <v>99.123999999999995</v>
      </c>
    </row>
    <row r="2137" spans="1:12" x14ac:dyDescent="0.25">
      <c r="A2137" s="1">
        <v>44736</v>
      </c>
      <c r="B2137">
        <v>27.23</v>
      </c>
      <c r="C2137" s="1">
        <v>44740</v>
      </c>
      <c r="D2137">
        <v>24.9</v>
      </c>
      <c r="E2137" s="1">
        <v>44690</v>
      </c>
      <c r="F2137">
        <v>125.22</v>
      </c>
      <c r="G2137" s="1">
        <v>44734</v>
      </c>
      <c r="H2137">
        <v>48.99</v>
      </c>
      <c r="I2137" s="1">
        <v>44734</v>
      </c>
      <c r="J2137">
        <v>18.29</v>
      </c>
      <c r="K2137" s="1">
        <v>44634</v>
      </c>
      <c r="L2137">
        <v>98.998999999999995</v>
      </c>
    </row>
    <row r="2138" spans="1:12" x14ac:dyDescent="0.25">
      <c r="A2138" s="1">
        <v>44739</v>
      </c>
      <c r="B2138">
        <v>26.95</v>
      </c>
      <c r="C2138" s="1">
        <v>44741</v>
      </c>
      <c r="D2138">
        <v>25.76</v>
      </c>
      <c r="E2138" s="1">
        <v>44691</v>
      </c>
      <c r="F2138">
        <v>126.76</v>
      </c>
      <c r="G2138" s="1">
        <v>44735</v>
      </c>
      <c r="H2138">
        <v>48.58</v>
      </c>
      <c r="I2138" s="1">
        <v>44735</v>
      </c>
      <c r="J2138">
        <v>18.649999999999999</v>
      </c>
      <c r="K2138" s="1">
        <v>44635</v>
      </c>
      <c r="L2138">
        <v>99.096999999999994</v>
      </c>
    </row>
    <row r="2139" spans="1:12" x14ac:dyDescent="0.25">
      <c r="A2139" s="1">
        <v>44740</v>
      </c>
      <c r="B2139">
        <v>28.36</v>
      </c>
      <c r="C2139" s="1">
        <v>44742</v>
      </c>
      <c r="D2139">
        <v>25.77</v>
      </c>
      <c r="E2139" s="1">
        <v>44692</v>
      </c>
      <c r="F2139">
        <v>118.05</v>
      </c>
      <c r="G2139" s="1">
        <v>44736</v>
      </c>
      <c r="H2139">
        <v>46.99</v>
      </c>
      <c r="I2139" s="1">
        <v>44736</v>
      </c>
      <c r="J2139">
        <v>17.920000000000002</v>
      </c>
      <c r="K2139" s="1">
        <v>44636</v>
      </c>
      <c r="L2139">
        <v>98.617999999999995</v>
      </c>
    </row>
    <row r="2140" spans="1:12" x14ac:dyDescent="0.25">
      <c r="A2140" s="1">
        <v>44741</v>
      </c>
      <c r="B2140">
        <v>28.16</v>
      </c>
      <c r="C2140" s="1">
        <v>44743</v>
      </c>
      <c r="D2140">
        <v>25.72</v>
      </c>
      <c r="E2140" s="1">
        <v>44693</v>
      </c>
      <c r="F2140">
        <v>118.73</v>
      </c>
      <c r="G2140" s="1">
        <v>44739</v>
      </c>
      <c r="H2140">
        <v>46.99</v>
      </c>
      <c r="I2140" s="1">
        <v>44739</v>
      </c>
      <c r="J2140">
        <v>17.88</v>
      </c>
      <c r="K2140" s="1">
        <v>44637</v>
      </c>
      <c r="L2140">
        <v>97.974000000000004</v>
      </c>
    </row>
    <row r="2141" spans="1:12" x14ac:dyDescent="0.25">
      <c r="A2141" s="1">
        <v>44742</v>
      </c>
      <c r="B2141">
        <v>28.71</v>
      </c>
      <c r="C2141" s="1">
        <v>44747</v>
      </c>
      <c r="D2141">
        <v>27.3</v>
      </c>
      <c r="E2141" s="1">
        <v>44694</v>
      </c>
      <c r="F2141">
        <v>114.61</v>
      </c>
      <c r="G2141" s="1">
        <v>44740</v>
      </c>
      <c r="H2141">
        <v>46.59</v>
      </c>
      <c r="I2141" s="1">
        <v>44740</v>
      </c>
      <c r="J2141">
        <v>17.95</v>
      </c>
      <c r="K2141" s="1">
        <v>44638</v>
      </c>
      <c r="L2141">
        <v>98.233000000000004</v>
      </c>
    </row>
    <row r="2142" spans="1:12" x14ac:dyDescent="0.25">
      <c r="A2142" s="1">
        <v>44743</v>
      </c>
      <c r="B2142">
        <v>26.7</v>
      </c>
      <c r="C2142" s="1">
        <v>44748</v>
      </c>
      <c r="D2142">
        <v>26.93</v>
      </c>
      <c r="E2142" s="1">
        <v>44697</v>
      </c>
      <c r="F2142">
        <v>117.95</v>
      </c>
      <c r="G2142" s="1">
        <v>44741</v>
      </c>
      <c r="H2142">
        <v>48.57</v>
      </c>
      <c r="I2142" s="1">
        <v>44741</v>
      </c>
      <c r="J2142">
        <v>18.079999999999998</v>
      </c>
      <c r="K2142" s="1">
        <v>44641</v>
      </c>
      <c r="L2142">
        <v>98.498000000000005</v>
      </c>
    </row>
    <row r="2143" spans="1:12" x14ac:dyDescent="0.25">
      <c r="A2143" s="1">
        <v>44746</v>
      </c>
      <c r="B2143">
        <v>27.53</v>
      </c>
      <c r="C2143" s="1">
        <v>44749</v>
      </c>
      <c r="D2143">
        <v>24.75</v>
      </c>
      <c r="E2143" s="1">
        <v>44698</v>
      </c>
      <c r="F2143">
        <v>119.46</v>
      </c>
      <c r="G2143" s="1">
        <v>44742</v>
      </c>
      <c r="H2143">
        <v>48.9</v>
      </c>
      <c r="I2143" s="1">
        <v>44742</v>
      </c>
      <c r="J2143">
        <v>19.61</v>
      </c>
      <c r="K2143" s="1">
        <v>44642</v>
      </c>
      <c r="L2143">
        <v>98.492999999999995</v>
      </c>
    </row>
    <row r="2144" spans="1:12" x14ac:dyDescent="0.25">
      <c r="A2144" s="1">
        <v>44747</v>
      </c>
      <c r="B2144">
        <v>27.54</v>
      </c>
      <c r="C2144" s="1">
        <v>44750</v>
      </c>
      <c r="D2144">
        <v>25.26</v>
      </c>
      <c r="E2144" s="1">
        <v>44699</v>
      </c>
      <c r="F2144">
        <v>114.86</v>
      </c>
      <c r="G2144" s="1">
        <v>44743</v>
      </c>
      <c r="H2144">
        <v>49.4</v>
      </c>
      <c r="I2144" s="1">
        <v>44743</v>
      </c>
      <c r="J2144">
        <v>20.170000000000002</v>
      </c>
      <c r="K2144" s="1">
        <v>44643</v>
      </c>
      <c r="L2144">
        <v>98.622</v>
      </c>
    </row>
    <row r="2145" spans="1:12" x14ac:dyDescent="0.25">
      <c r="A2145" s="1">
        <v>44748</v>
      </c>
      <c r="B2145">
        <v>26.73</v>
      </c>
      <c r="C2145" s="1">
        <v>44753</v>
      </c>
      <c r="D2145">
        <v>27.68</v>
      </c>
      <c r="E2145" s="1">
        <v>44700</v>
      </c>
      <c r="F2145">
        <v>115.05</v>
      </c>
      <c r="G2145" s="1">
        <v>44747</v>
      </c>
      <c r="H2145">
        <v>52.61</v>
      </c>
      <c r="I2145" s="1">
        <v>44747</v>
      </c>
      <c r="J2145">
        <v>21.33</v>
      </c>
      <c r="K2145" s="1">
        <v>44644</v>
      </c>
      <c r="L2145">
        <v>98.789000000000001</v>
      </c>
    </row>
    <row r="2146" spans="1:12" x14ac:dyDescent="0.25">
      <c r="A2146" s="1">
        <v>44749</v>
      </c>
      <c r="B2146">
        <v>26.08</v>
      </c>
      <c r="C2146" s="1">
        <v>44754</v>
      </c>
      <c r="D2146">
        <v>27.62</v>
      </c>
      <c r="E2146" s="1">
        <v>44701</v>
      </c>
      <c r="F2146">
        <v>111.1</v>
      </c>
      <c r="G2146" s="1">
        <v>44748</v>
      </c>
      <c r="H2146">
        <v>54.67</v>
      </c>
      <c r="I2146" s="1">
        <v>44748</v>
      </c>
      <c r="J2146">
        <v>21.91</v>
      </c>
      <c r="K2146" s="1">
        <v>44645</v>
      </c>
      <c r="L2146">
        <v>98.789000000000001</v>
      </c>
    </row>
    <row r="2147" spans="1:12" x14ac:dyDescent="0.25">
      <c r="A2147" s="1">
        <v>44750</v>
      </c>
      <c r="B2147">
        <v>24.64</v>
      </c>
      <c r="C2147" s="1">
        <v>44755</v>
      </c>
      <c r="D2147">
        <v>27.12</v>
      </c>
      <c r="E2147" s="1">
        <v>44704</v>
      </c>
      <c r="F2147">
        <v>110.19</v>
      </c>
      <c r="G2147" s="1">
        <v>44749</v>
      </c>
      <c r="H2147">
        <v>52.87</v>
      </c>
      <c r="I2147" s="1">
        <v>44749</v>
      </c>
      <c r="J2147">
        <v>20.5</v>
      </c>
      <c r="K2147" s="1">
        <v>44648</v>
      </c>
      <c r="L2147">
        <v>99.090999999999994</v>
      </c>
    </row>
    <row r="2148" spans="1:12" x14ac:dyDescent="0.25">
      <c r="A2148" s="1">
        <v>44753</v>
      </c>
      <c r="B2148">
        <v>26.17</v>
      </c>
      <c r="C2148" s="1">
        <v>44756</v>
      </c>
      <c r="D2148">
        <v>27.57</v>
      </c>
      <c r="E2148" s="1">
        <v>44705</v>
      </c>
      <c r="F2148">
        <v>111.15</v>
      </c>
      <c r="G2148" s="1">
        <v>44750</v>
      </c>
      <c r="H2148">
        <v>52.1</v>
      </c>
      <c r="I2148" s="1">
        <v>44750</v>
      </c>
      <c r="J2148">
        <v>19.41</v>
      </c>
      <c r="K2148" s="1">
        <v>44649</v>
      </c>
      <c r="L2148">
        <v>98.403999999999996</v>
      </c>
    </row>
    <row r="2149" spans="1:12" x14ac:dyDescent="0.25">
      <c r="A2149" s="1">
        <v>44754</v>
      </c>
      <c r="B2149">
        <v>27.29</v>
      </c>
      <c r="C2149" s="1">
        <v>44757</v>
      </c>
      <c r="D2149">
        <v>25.95</v>
      </c>
      <c r="E2149" s="1">
        <v>44706</v>
      </c>
      <c r="F2149">
        <v>105.69</v>
      </c>
      <c r="G2149" s="1">
        <v>44753</v>
      </c>
      <c r="H2149">
        <v>53.1</v>
      </c>
      <c r="I2149" s="1">
        <v>44753</v>
      </c>
      <c r="J2149">
        <v>19.72</v>
      </c>
      <c r="K2149" s="1">
        <v>44650</v>
      </c>
      <c r="L2149">
        <v>97.792000000000002</v>
      </c>
    </row>
    <row r="2150" spans="1:12" x14ac:dyDescent="0.25">
      <c r="A2150" s="1">
        <v>44755</v>
      </c>
      <c r="B2150">
        <v>26.82</v>
      </c>
      <c r="C2150" s="1">
        <v>44760</v>
      </c>
      <c r="D2150">
        <v>27.54</v>
      </c>
      <c r="E2150" s="1">
        <v>44707</v>
      </c>
      <c r="F2150">
        <v>102.49</v>
      </c>
      <c r="G2150" s="1">
        <v>44754</v>
      </c>
      <c r="H2150">
        <v>54.4</v>
      </c>
      <c r="I2150" s="1">
        <v>44754</v>
      </c>
      <c r="J2150">
        <v>19.78</v>
      </c>
      <c r="K2150" s="1">
        <v>44651</v>
      </c>
      <c r="L2150">
        <v>98.311999999999998</v>
      </c>
    </row>
    <row r="2151" spans="1:12" x14ac:dyDescent="0.25">
      <c r="A2151" s="1">
        <v>44756</v>
      </c>
      <c r="B2151">
        <v>26.4</v>
      </c>
      <c r="C2151" s="1">
        <v>44761</v>
      </c>
      <c r="D2151">
        <v>26.58</v>
      </c>
      <c r="E2151" s="1">
        <v>44708</v>
      </c>
      <c r="F2151">
        <v>98.48</v>
      </c>
      <c r="G2151" s="1">
        <v>44755</v>
      </c>
      <c r="H2151">
        <v>51.76</v>
      </c>
      <c r="I2151" s="1">
        <v>44755</v>
      </c>
      <c r="J2151">
        <v>18.36</v>
      </c>
      <c r="K2151" s="1">
        <v>44652</v>
      </c>
      <c r="L2151">
        <v>98.632000000000005</v>
      </c>
    </row>
    <row r="2152" spans="1:12" x14ac:dyDescent="0.25">
      <c r="A2152" s="1">
        <v>44757</v>
      </c>
      <c r="B2152">
        <v>24.23</v>
      </c>
      <c r="C2152" s="1">
        <v>44762</v>
      </c>
      <c r="D2152">
        <v>24.37</v>
      </c>
      <c r="E2152" s="1">
        <v>44712</v>
      </c>
      <c r="F2152">
        <v>107.12</v>
      </c>
      <c r="G2152" s="1">
        <v>44756</v>
      </c>
      <c r="H2152">
        <v>53.03</v>
      </c>
      <c r="I2152" s="1">
        <v>44756</v>
      </c>
      <c r="J2152">
        <v>19.600000000000001</v>
      </c>
      <c r="K2152" s="1">
        <v>44655</v>
      </c>
      <c r="L2152">
        <v>99</v>
      </c>
    </row>
    <row r="2153" spans="1:12" x14ac:dyDescent="0.25">
      <c r="A2153" s="1">
        <v>44760</v>
      </c>
      <c r="B2153">
        <v>25.3</v>
      </c>
      <c r="C2153" s="1">
        <v>44763</v>
      </c>
      <c r="D2153">
        <v>23.65</v>
      </c>
      <c r="E2153" s="1">
        <v>44713</v>
      </c>
      <c r="F2153">
        <v>109.38</v>
      </c>
      <c r="G2153" s="1">
        <v>44757</v>
      </c>
      <c r="H2153">
        <v>51.77</v>
      </c>
      <c r="I2153" s="1">
        <v>44757</v>
      </c>
      <c r="J2153">
        <v>19.27</v>
      </c>
      <c r="K2153" s="1">
        <v>44656</v>
      </c>
      <c r="L2153">
        <v>99.471999999999994</v>
      </c>
    </row>
    <row r="2154" spans="1:12" x14ac:dyDescent="0.25">
      <c r="A2154" s="1">
        <v>44761</v>
      </c>
      <c r="B2154">
        <v>24.5</v>
      </c>
      <c r="C2154" s="1">
        <v>44764</v>
      </c>
      <c r="D2154">
        <v>22.24</v>
      </c>
      <c r="E2154" s="1">
        <v>44714</v>
      </c>
      <c r="F2154">
        <v>99.27</v>
      </c>
      <c r="G2154" s="1">
        <v>44760</v>
      </c>
      <c r="H2154">
        <v>49.66</v>
      </c>
      <c r="I2154" s="1">
        <v>44760</v>
      </c>
      <c r="J2154">
        <v>19.420000000000002</v>
      </c>
      <c r="K2154" s="1">
        <v>44657</v>
      </c>
      <c r="L2154">
        <v>99.599000000000004</v>
      </c>
    </row>
    <row r="2155" spans="1:12" x14ac:dyDescent="0.25">
      <c r="A2155" s="1">
        <v>44762</v>
      </c>
      <c r="B2155">
        <v>23.88</v>
      </c>
      <c r="C2155" s="1">
        <v>44767</v>
      </c>
      <c r="D2155">
        <v>23.2</v>
      </c>
      <c r="E2155" s="1">
        <v>44715</v>
      </c>
      <c r="F2155">
        <v>97.73</v>
      </c>
      <c r="G2155" s="1">
        <v>44761</v>
      </c>
      <c r="H2155">
        <v>48.77</v>
      </c>
      <c r="I2155" s="1">
        <v>44761</v>
      </c>
      <c r="J2155">
        <v>18.63</v>
      </c>
      <c r="K2155" s="1">
        <v>44658</v>
      </c>
      <c r="L2155">
        <v>99.751000000000005</v>
      </c>
    </row>
    <row r="2156" spans="1:12" x14ac:dyDescent="0.25">
      <c r="A2156" s="1">
        <v>44763</v>
      </c>
      <c r="B2156">
        <v>23.11</v>
      </c>
      <c r="C2156" s="1">
        <v>44768</v>
      </c>
      <c r="D2156">
        <v>23.98</v>
      </c>
      <c r="E2156" s="1">
        <v>44718</v>
      </c>
      <c r="F2156">
        <v>102.26</v>
      </c>
      <c r="G2156" s="1">
        <v>44762</v>
      </c>
      <c r="H2156">
        <v>47.54</v>
      </c>
      <c r="I2156" s="1">
        <v>44762</v>
      </c>
      <c r="J2156">
        <v>19.260000000000002</v>
      </c>
      <c r="K2156" s="1">
        <v>44659</v>
      </c>
      <c r="L2156">
        <v>99.796000000000006</v>
      </c>
    </row>
    <row r="2157" spans="1:12" x14ac:dyDescent="0.25">
      <c r="A2157" s="1">
        <v>44764</v>
      </c>
      <c r="B2157">
        <v>23.03</v>
      </c>
      <c r="C2157" s="1">
        <v>44769</v>
      </c>
      <c r="D2157">
        <v>23.46</v>
      </c>
      <c r="E2157" s="1">
        <v>44719</v>
      </c>
      <c r="F2157">
        <v>102.61</v>
      </c>
      <c r="G2157" s="1">
        <v>44763</v>
      </c>
      <c r="H2157">
        <v>51.1</v>
      </c>
      <c r="I2157" s="1">
        <v>44763</v>
      </c>
      <c r="J2157">
        <v>18.71</v>
      </c>
      <c r="K2157" s="1">
        <v>44662</v>
      </c>
      <c r="L2157">
        <v>99.932000000000002</v>
      </c>
    </row>
    <row r="2158" spans="1:12" x14ac:dyDescent="0.25">
      <c r="A2158" s="1">
        <v>44767</v>
      </c>
      <c r="B2158">
        <v>23.36</v>
      </c>
      <c r="C2158" s="1">
        <v>44770</v>
      </c>
      <c r="D2158">
        <v>22.83</v>
      </c>
      <c r="E2158" s="1">
        <v>44720</v>
      </c>
      <c r="F2158">
        <v>105.29</v>
      </c>
      <c r="G2158" s="1">
        <v>44764</v>
      </c>
      <c r="H2158">
        <v>47.84</v>
      </c>
      <c r="I2158" s="1">
        <v>44764</v>
      </c>
      <c r="J2158">
        <v>18.3</v>
      </c>
      <c r="K2158" s="1">
        <v>44663</v>
      </c>
      <c r="L2158">
        <v>100.292</v>
      </c>
    </row>
    <row r="2159" spans="1:12" x14ac:dyDescent="0.25">
      <c r="A2159" s="1">
        <v>44768</v>
      </c>
      <c r="B2159">
        <v>24.69</v>
      </c>
      <c r="C2159" s="1">
        <v>44771</v>
      </c>
      <c r="D2159">
        <v>21.73</v>
      </c>
      <c r="E2159" s="1">
        <v>44721</v>
      </c>
      <c r="F2159">
        <v>105.29</v>
      </c>
      <c r="G2159" s="1">
        <v>44767</v>
      </c>
      <c r="H2159">
        <v>47.96</v>
      </c>
      <c r="I2159" s="1">
        <v>44767</v>
      </c>
      <c r="J2159">
        <v>18.3</v>
      </c>
      <c r="K2159" s="1">
        <v>44664</v>
      </c>
      <c r="L2159">
        <v>99.875</v>
      </c>
    </row>
    <row r="2160" spans="1:12" x14ac:dyDescent="0.25">
      <c r="A2160" s="1">
        <v>44769</v>
      </c>
      <c r="B2160">
        <v>23.24</v>
      </c>
      <c r="C2160" s="1">
        <v>44774</v>
      </c>
      <c r="D2160">
        <v>23.46</v>
      </c>
      <c r="E2160" s="1">
        <v>44722</v>
      </c>
      <c r="F2160">
        <v>114.23</v>
      </c>
      <c r="G2160" s="1">
        <v>44768</v>
      </c>
      <c r="H2160">
        <v>47.81</v>
      </c>
      <c r="I2160" s="1">
        <v>44768</v>
      </c>
      <c r="J2160">
        <v>18.059999999999999</v>
      </c>
      <c r="K2160" s="1">
        <v>44665</v>
      </c>
      <c r="L2160">
        <v>100.321</v>
      </c>
    </row>
    <row r="2161" spans="1:12" x14ac:dyDescent="0.25">
      <c r="A2161" s="1">
        <v>44770</v>
      </c>
      <c r="B2161">
        <v>22.33</v>
      </c>
      <c r="C2161" s="1">
        <v>44775</v>
      </c>
      <c r="D2161">
        <v>24.23</v>
      </c>
      <c r="E2161" s="1">
        <v>44725</v>
      </c>
      <c r="F2161">
        <v>139.21</v>
      </c>
      <c r="G2161" s="1">
        <v>44769</v>
      </c>
      <c r="H2161">
        <v>48.99</v>
      </c>
      <c r="I2161" s="1">
        <v>44769</v>
      </c>
      <c r="J2161">
        <v>17.39</v>
      </c>
      <c r="K2161" s="1">
        <v>44666</v>
      </c>
      <c r="L2161">
        <v>100.5</v>
      </c>
    </row>
    <row r="2162" spans="1:12" x14ac:dyDescent="0.25">
      <c r="A2162" s="1">
        <v>44771</v>
      </c>
      <c r="B2162">
        <v>21.33</v>
      </c>
      <c r="C2162" s="1">
        <v>44776</v>
      </c>
      <c r="D2162">
        <v>23.53</v>
      </c>
      <c r="E2162" s="1">
        <v>44726</v>
      </c>
      <c r="F2162">
        <v>144.09</v>
      </c>
      <c r="G2162" s="1">
        <v>44770</v>
      </c>
      <c r="H2162">
        <v>47.17</v>
      </c>
      <c r="I2162" s="1">
        <v>44770</v>
      </c>
      <c r="J2162">
        <v>16.84</v>
      </c>
      <c r="K2162" s="1">
        <v>44669</v>
      </c>
      <c r="L2162">
        <v>100.78100000000001</v>
      </c>
    </row>
    <row r="2163" spans="1:12" x14ac:dyDescent="0.25">
      <c r="A2163" s="1">
        <v>44774</v>
      </c>
      <c r="B2163">
        <v>22.84</v>
      </c>
      <c r="C2163" s="1">
        <v>44777</v>
      </c>
      <c r="D2163">
        <v>23.94</v>
      </c>
      <c r="E2163" s="1">
        <v>44727</v>
      </c>
      <c r="F2163">
        <v>135.93</v>
      </c>
      <c r="G2163" s="1">
        <v>44771</v>
      </c>
      <c r="H2163">
        <v>46.19</v>
      </c>
      <c r="I2163" s="1">
        <v>44771</v>
      </c>
      <c r="J2163">
        <v>16.489999999999998</v>
      </c>
      <c r="K2163" s="1">
        <v>44670</v>
      </c>
      <c r="L2163">
        <v>100.961</v>
      </c>
    </row>
    <row r="2164" spans="1:12" x14ac:dyDescent="0.25">
      <c r="A2164" s="1">
        <v>44775</v>
      </c>
      <c r="B2164">
        <v>23.93</v>
      </c>
      <c r="C2164" s="1">
        <v>44778</v>
      </c>
      <c r="D2164">
        <v>21.86</v>
      </c>
      <c r="E2164" s="1">
        <v>44728</v>
      </c>
      <c r="F2164">
        <v>138.1</v>
      </c>
      <c r="G2164" s="1">
        <v>44774</v>
      </c>
      <c r="H2164">
        <v>49.97</v>
      </c>
      <c r="I2164" s="1">
        <v>44774</v>
      </c>
      <c r="J2164">
        <v>17.52</v>
      </c>
      <c r="K2164" s="1">
        <v>44671</v>
      </c>
      <c r="L2164">
        <v>100.39</v>
      </c>
    </row>
    <row r="2165" spans="1:12" x14ac:dyDescent="0.25">
      <c r="A2165" s="1">
        <v>44776</v>
      </c>
      <c r="B2165">
        <v>21.95</v>
      </c>
      <c r="C2165" s="1">
        <v>44781</v>
      </c>
      <c r="D2165">
        <v>21.72</v>
      </c>
      <c r="E2165" s="1">
        <v>44729</v>
      </c>
      <c r="F2165">
        <v>133.75</v>
      </c>
      <c r="G2165" s="1">
        <v>44775</v>
      </c>
      <c r="H2165">
        <v>52.77</v>
      </c>
      <c r="I2165" s="1">
        <v>44775</v>
      </c>
      <c r="J2165">
        <v>17.34</v>
      </c>
      <c r="K2165" s="1">
        <v>44672</v>
      </c>
      <c r="L2165">
        <v>100.578</v>
      </c>
    </row>
    <row r="2166" spans="1:12" x14ac:dyDescent="0.25">
      <c r="A2166" s="1">
        <v>44777</v>
      </c>
      <c r="B2166">
        <v>21.44</v>
      </c>
      <c r="C2166" s="1">
        <v>44782</v>
      </c>
      <c r="D2166">
        <v>21.33</v>
      </c>
      <c r="E2166" s="1">
        <v>44733</v>
      </c>
      <c r="F2166">
        <v>138.91</v>
      </c>
      <c r="G2166" s="1">
        <v>44776</v>
      </c>
      <c r="H2166">
        <v>50.12</v>
      </c>
      <c r="I2166" s="1">
        <v>44776</v>
      </c>
      <c r="J2166">
        <v>16.760000000000002</v>
      </c>
      <c r="K2166" s="1">
        <v>44673</v>
      </c>
      <c r="L2166">
        <v>101.22</v>
      </c>
    </row>
    <row r="2167" spans="1:12" x14ac:dyDescent="0.25">
      <c r="A2167" s="1">
        <v>44778</v>
      </c>
      <c r="B2167">
        <v>21.15</v>
      </c>
      <c r="C2167" s="1">
        <v>44783</v>
      </c>
      <c r="D2167">
        <v>20.91</v>
      </c>
      <c r="E2167" s="1">
        <v>44734</v>
      </c>
      <c r="F2167">
        <v>129.94</v>
      </c>
      <c r="G2167" s="1">
        <v>44777</v>
      </c>
      <c r="H2167">
        <v>55.14</v>
      </c>
      <c r="I2167" s="1">
        <v>44777</v>
      </c>
      <c r="J2167">
        <v>16.95</v>
      </c>
      <c r="K2167" s="1">
        <v>44676</v>
      </c>
      <c r="L2167">
        <v>101.752</v>
      </c>
    </row>
    <row r="2168" spans="1:12" x14ac:dyDescent="0.25">
      <c r="A2168" s="1">
        <v>44781</v>
      </c>
      <c r="B2168">
        <v>21.29</v>
      </c>
      <c r="C2168" s="1">
        <v>44784</v>
      </c>
      <c r="D2168">
        <v>20.76</v>
      </c>
      <c r="E2168" s="1">
        <v>44735</v>
      </c>
      <c r="F2168">
        <v>125.98</v>
      </c>
      <c r="G2168" s="1">
        <v>44778</v>
      </c>
      <c r="H2168">
        <v>48.76</v>
      </c>
      <c r="I2168" s="1">
        <v>44778</v>
      </c>
      <c r="J2168">
        <v>16.37</v>
      </c>
      <c r="K2168" s="1">
        <v>44677</v>
      </c>
      <c r="L2168">
        <v>102.303</v>
      </c>
    </row>
    <row r="2169" spans="1:12" x14ac:dyDescent="0.25">
      <c r="A2169" s="1">
        <v>44782</v>
      </c>
      <c r="B2169">
        <v>21.77</v>
      </c>
      <c r="C2169" s="1">
        <v>44785</v>
      </c>
      <c r="D2169">
        <v>19.45</v>
      </c>
      <c r="E2169" s="1">
        <v>44736</v>
      </c>
      <c r="F2169">
        <v>127</v>
      </c>
      <c r="G2169" s="1">
        <v>44781</v>
      </c>
      <c r="H2169">
        <v>46.4</v>
      </c>
      <c r="I2169" s="1">
        <v>44781</v>
      </c>
      <c r="J2169">
        <v>16.760000000000002</v>
      </c>
      <c r="K2169" s="1">
        <v>44678</v>
      </c>
      <c r="L2169">
        <v>102.95399999999999</v>
      </c>
    </row>
    <row r="2170" spans="1:12" x14ac:dyDescent="0.25">
      <c r="A2170" s="1">
        <v>44783</v>
      </c>
      <c r="B2170">
        <v>19.739999999999998</v>
      </c>
      <c r="C2170" s="1">
        <v>44788</v>
      </c>
      <c r="D2170">
        <v>20.149999999999999</v>
      </c>
      <c r="E2170" s="1">
        <v>44739</v>
      </c>
      <c r="F2170">
        <v>133.22</v>
      </c>
      <c r="G2170" s="1">
        <v>44782</v>
      </c>
      <c r="H2170">
        <v>46.23</v>
      </c>
      <c r="I2170" s="1">
        <v>44782</v>
      </c>
      <c r="J2170">
        <v>16.690000000000001</v>
      </c>
      <c r="K2170" s="1">
        <v>44679</v>
      </c>
      <c r="L2170">
        <v>103.623</v>
      </c>
    </row>
    <row r="2171" spans="1:12" x14ac:dyDescent="0.25">
      <c r="A2171" s="1">
        <v>44784</v>
      </c>
      <c r="B2171">
        <v>20.2</v>
      </c>
      <c r="C2171" s="1">
        <v>44789</v>
      </c>
      <c r="D2171">
        <v>19.600000000000001</v>
      </c>
      <c r="E2171" s="1">
        <v>44740</v>
      </c>
      <c r="F2171">
        <v>135.22</v>
      </c>
      <c r="G2171" s="1">
        <v>44783</v>
      </c>
      <c r="H2171">
        <v>46.56</v>
      </c>
      <c r="I2171" s="1">
        <v>44783</v>
      </c>
      <c r="J2171">
        <v>16.27</v>
      </c>
      <c r="K2171" s="1">
        <v>44680</v>
      </c>
      <c r="L2171">
        <v>102.959</v>
      </c>
    </row>
    <row r="2172" spans="1:12" x14ac:dyDescent="0.25">
      <c r="A2172" s="1">
        <v>44785</v>
      </c>
      <c r="B2172">
        <v>19.53</v>
      </c>
      <c r="C2172" s="1">
        <v>44790</v>
      </c>
      <c r="D2172">
        <v>19.75</v>
      </c>
      <c r="E2172" s="1">
        <v>44741</v>
      </c>
      <c r="F2172">
        <v>130.43</v>
      </c>
      <c r="G2172" s="1">
        <v>44784</v>
      </c>
      <c r="H2172">
        <v>45.37</v>
      </c>
      <c r="I2172" s="1">
        <v>44784</v>
      </c>
      <c r="J2172">
        <v>15.81</v>
      </c>
      <c r="K2172" s="1">
        <v>44683</v>
      </c>
      <c r="L2172">
        <v>103.744</v>
      </c>
    </row>
    <row r="2173" spans="1:12" x14ac:dyDescent="0.25">
      <c r="A2173" s="1">
        <v>44788</v>
      </c>
      <c r="B2173">
        <v>19.95</v>
      </c>
      <c r="C2173" s="1">
        <v>44791</v>
      </c>
      <c r="D2173">
        <v>19.21</v>
      </c>
      <c r="E2173" s="1">
        <v>44742</v>
      </c>
      <c r="F2173">
        <v>135.5</v>
      </c>
      <c r="G2173" s="1">
        <v>44785</v>
      </c>
      <c r="H2173">
        <v>44</v>
      </c>
      <c r="I2173" s="1">
        <v>44785</v>
      </c>
      <c r="J2173">
        <v>15.22</v>
      </c>
      <c r="K2173" s="1">
        <v>44684</v>
      </c>
      <c r="L2173">
        <v>103.465</v>
      </c>
    </row>
    <row r="2174" spans="1:12" x14ac:dyDescent="0.25">
      <c r="A2174" s="1">
        <v>44789</v>
      </c>
      <c r="B2174">
        <v>19.690000000000001</v>
      </c>
      <c r="C2174" s="1">
        <v>44792</v>
      </c>
      <c r="D2174">
        <v>19.43</v>
      </c>
      <c r="E2174" s="1">
        <v>44743</v>
      </c>
      <c r="F2174">
        <v>144.16999999999999</v>
      </c>
      <c r="G2174" s="1">
        <v>44788</v>
      </c>
      <c r="H2174">
        <v>46.63</v>
      </c>
      <c r="I2174" s="1">
        <v>44788</v>
      </c>
      <c r="J2174">
        <v>15.37</v>
      </c>
      <c r="K2174" s="1">
        <v>44685</v>
      </c>
      <c r="L2174">
        <v>102.587</v>
      </c>
    </row>
    <row r="2175" spans="1:12" x14ac:dyDescent="0.25">
      <c r="A2175" s="1">
        <v>44790</v>
      </c>
      <c r="B2175">
        <v>19.899999999999999</v>
      </c>
      <c r="C2175" s="1">
        <v>44795</v>
      </c>
      <c r="D2175">
        <v>21.56</v>
      </c>
      <c r="E2175" s="1">
        <v>44747</v>
      </c>
      <c r="F2175">
        <v>156.16</v>
      </c>
      <c r="G2175" s="1">
        <v>44789</v>
      </c>
      <c r="H2175">
        <v>50.25</v>
      </c>
      <c r="I2175" s="1">
        <v>44789</v>
      </c>
      <c r="J2175">
        <v>15.27</v>
      </c>
      <c r="K2175" s="1">
        <v>44686</v>
      </c>
      <c r="L2175">
        <v>103.752</v>
      </c>
    </row>
    <row r="2176" spans="1:12" x14ac:dyDescent="0.25">
      <c r="A2176" s="1">
        <v>44791</v>
      </c>
      <c r="B2176">
        <v>19.559999999999999</v>
      </c>
      <c r="C2176" s="1">
        <v>44796</v>
      </c>
      <c r="D2176">
        <v>20.36</v>
      </c>
      <c r="E2176" s="1">
        <v>44748</v>
      </c>
      <c r="F2176">
        <v>151.13999999999999</v>
      </c>
      <c r="G2176" s="1">
        <v>44790</v>
      </c>
      <c r="H2176">
        <v>51.55</v>
      </c>
      <c r="I2176" s="1">
        <v>44790</v>
      </c>
      <c r="J2176">
        <v>15.32</v>
      </c>
      <c r="K2176" s="1">
        <v>44687</v>
      </c>
      <c r="L2176">
        <v>103.66</v>
      </c>
    </row>
    <row r="2177" spans="1:12" x14ac:dyDescent="0.25">
      <c r="A2177" s="1">
        <v>44792</v>
      </c>
      <c r="B2177">
        <v>20.6</v>
      </c>
      <c r="C2177" s="1">
        <v>44797</v>
      </c>
      <c r="D2177">
        <v>20.350000000000001</v>
      </c>
      <c r="E2177" s="1">
        <v>44749</v>
      </c>
      <c r="F2177">
        <v>149.71</v>
      </c>
      <c r="G2177" s="1">
        <v>44791</v>
      </c>
      <c r="H2177">
        <v>47.41</v>
      </c>
      <c r="I2177" s="1">
        <v>44791</v>
      </c>
      <c r="J2177">
        <v>15.36</v>
      </c>
      <c r="K2177" s="1">
        <v>44690</v>
      </c>
      <c r="L2177">
        <v>103.651</v>
      </c>
    </row>
    <row r="2178" spans="1:12" x14ac:dyDescent="0.25">
      <c r="A2178" s="1">
        <v>44795</v>
      </c>
      <c r="B2178">
        <v>23.8</v>
      </c>
      <c r="C2178" s="1">
        <v>44798</v>
      </c>
      <c r="D2178">
        <v>19.68</v>
      </c>
      <c r="E2178" s="1">
        <v>44750</v>
      </c>
      <c r="F2178">
        <v>145.25</v>
      </c>
      <c r="G2178" s="1">
        <v>44792</v>
      </c>
      <c r="H2178">
        <v>50.34</v>
      </c>
      <c r="I2178" s="1">
        <v>44792</v>
      </c>
      <c r="J2178">
        <v>15.91</v>
      </c>
      <c r="K2178" s="1">
        <v>44691</v>
      </c>
      <c r="L2178">
        <v>103.92</v>
      </c>
    </row>
    <row r="2179" spans="1:12" x14ac:dyDescent="0.25">
      <c r="A2179" s="1">
        <v>44796</v>
      </c>
      <c r="B2179">
        <v>24.11</v>
      </c>
      <c r="C2179" s="1">
        <v>44799</v>
      </c>
      <c r="D2179">
        <v>21.28</v>
      </c>
      <c r="E2179" s="1">
        <v>44753</v>
      </c>
      <c r="F2179">
        <v>147.72</v>
      </c>
      <c r="G2179" s="1">
        <v>44795</v>
      </c>
      <c r="H2179">
        <v>50.64</v>
      </c>
      <c r="I2179" s="1">
        <v>44795</v>
      </c>
      <c r="J2179">
        <v>16.57</v>
      </c>
      <c r="K2179" s="1">
        <v>44692</v>
      </c>
      <c r="L2179">
        <v>103.846</v>
      </c>
    </row>
    <row r="2180" spans="1:12" x14ac:dyDescent="0.25">
      <c r="A2180" s="1">
        <v>44797</v>
      </c>
      <c r="B2180">
        <v>22.82</v>
      </c>
      <c r="C2180" s="1">
        <v>44802</v>
      </c>
      <c r="D2180">
        <v>22.26</v>
      </c>
      <c r="E2180" s="1">
        <v>44754</v>
      </c>
      <c r="F2180">
        <v>148.11000000000001</v>
      </c>
      <c r="G2180" s="1">
        <v>44796</v>
      </c>
      <c r="H2180">
        <v>47.35</v>
      </c>
      <c r="I2180" s="1">
        <v>44796</v>
      </c>
      <c r="J2180">
        <v>15.8</v>
      </c>
      <c r="K2180" s="1">
        <v>44693</v>
      </c>
      <c r="L2180">
        <v>104.851</v>
      </c>
    </row>
    <row r="2181" spans="1:12" x14ac:dyDescent="0.25">
      <c r="A2181" s="1">
        <v>44798</v>
      </c>
      <c r="B2181">
        <v>21.78</v>
      </c>
      <c r="C2181" s="1">
        <v>44803</v>
      </c>
      <c r="D2181">
        <v>23.11</v>
      </c>
      <c r="E2181" s="1">
        <v>44755</v>
      </c>
      <c r="F2181">
        <v>136.1</v>
      </c>
      <c r="G2181" s="1">
        <v>44797</v>
      </c>
      <c r="H2181">
        <v>48.33</v>
      </c>
      <c r="I2181" s="1">
        <v>44797</v>
      </c>
      <c r="J2181">
        <v>15.9</v>
      </c>
      <c r="K2181" s="1">
        <v>44694</v>
      </c>
      <c r="L2181">
        <v>104.563</v>
      </c>
    </row>
    <row r="2182" spans="1:12" x14ac:dyDescent="0.25">
      <c r="A2182" s="1">
        <v>44799</v>
      </c>
      <c r="B2182">
        <v>25.56</v>
      </c>
      <c r="C2182" s="1">
        <v>44804</v>
      </c>
      <c r="D2182">
        <v>22.68</v>
      </c>
      <c r="E2182" s="1">
        <v>44756</v>
      </c>
      <c r="F2182">
        <v>137.76</v>
      </c>
      <c r="G2182" s="1">
        <v>44798</v>
      </c>
      <c r="H2182">
        <v>48.78</v>
      </c>
      <c r="I2182" s="1">
        <v>44798</v>
      </c>
      <c r="J2182">
        <v>15.57</v>
      </c>
      <c r="K2182" s="1">
        <v>44697</v>
      </c>
      <c r="L2182">
        <v>104.187</v>
      </c>
    </row>
    <row r="2183" spans="1:12" x14ac:dyDescent="0.25">
      <c r="A2183" s="1">
        <v>44802</v>
      </c>
      <c r="B2183">
        <v>26.21</v>
      </c>
      <c r="C2183" s="1">
        <v>44805</v>
      </c>
      <c r="D2183">
        <v>23.44</v>
      </c>
      <c r="E2183" s="1">
        <v>44757</v>
      </c>
      <c r="F2183">
        <v>129.85</v>
      </c>
      <c r="G2183" s="1">
        <v>44799</v>
      </c>
      <c r="H2183">
        <v>47.08</v>
      </c>
      <c r="I2183" s="1">
        <v>44799</v>
      </c>
      <c r="J2183">
        <v>15.42</v>
      </c>
      <c r="K2183" s="1">
        <v>44698</v>
      </c>
      <c r="L2183">
        <v>103.36</v>
      </c>
    </row>
    <row r="2184" spans="1:12" x14ac:dyDescent="0.25">
      <c r="A2184" s="1">
        <v>44803</v>
      </c>
      <c r="B2184">
        <v>26.21</v>
      </c>
      <c r="C2184" s="1">
        <v>44806</v>
      </c>
      <c r="D2184">
        <v>24.8</v>
      </c>
      <c r="E2184" s="1">
        <v>44760</v>
      </c>
      <c r="F2184">
        <v>127.69</v>
      </c>
      <c r="G2184" s="1">
        <v>44802</v>
      </c>
      <c r="H2184">
        <v>47.73</v>
      </c>
      <c r="I2184" s="1">
        <v>44802</v>
      </c>
      <c r="J2184">
        <v>16.02</v>
      </c>
      <c r="K2184" s="1">
        <v>44699</v>
      </c>
      <c r="L2184">
        <v>103.81</v>
      </c>
    </row>
    <row r="2185" spans="1:12" x14ac:dyDescent="0.25">
      <c r="A2185" s="1">
        <v>44804</v>
      </c>
      <c r="B2185">
        <v>25.87</v>
      </c>
      <c r="C2185" s="1">
        <v>44810</v>
      </c>
      <c r="D2185">
        <v>27.86</v>
      </c>
      <c r="E2185" s="1">
        <v>44761</v>
      </c>
      <c r="F2185">
        <v>124.7</v>
      </c>
      <c r="G2185" s="1">
        <v>44803</v>
      </c>
      <c r="H2185">
        <v>49.74</v>
      </c>
      <c r="I2185" s="1">
        <v>44803</v>
      </c>
      <c r="J2185">
        <v>16.52</v>
      </c>
      <c r="K2185" s="1">
        <v>44700</v>
      </c>
      <c r="L2185">
        <v>102.724</v>
      </c>
    </row>
    <row r="2186" spans="1:12" x14ac:dyDescent="0.25">
      <c r="A2186" s="1">
        <v>44805</v>
      </c>
      <c r="B2186">
        <v>25.56</v>
      </c>
      <c r="C2186" s="1">
        <v>44811</v>
      </c>
      <c r="D2186">
        <v>24.72</v>
      </c>
      <c r="E2186" s="1">
        <v>44762</v>
      </c>
      <c r="F2186">
        <v>122.9</v>
      </c>
      <c r="G2186" s="1">
        <v>44804</v>
      </c>
      <c r="H2186">
        <v>52.11</v>
      </c>
      <c r="I2186" s="1">
        <v>44804</v>
      </c>
      <c r="J2186">
        <v>17.02</v>
      </c>
      <c r="K2186" s="1">
        <v>44701</v>
      </c>
      <c r="L2186">
        <v>103.15</v>
      </c>
    </row>
    <row r="2187" spans="1:12" x14ac:dyDescent="0.25">
      <c r="A2187" s="1">
        <v>44806</v>
      </c>
      <c r="B2187">
        <v>25.47</v>
      </c>
      <c r="C2187" s="1">
        <v>44812</v>
      </c>
      <c r="D2187">
        <v>22.66</v>
      </c>
      <c r="E2187" s="1">
        <v>44763</v>
      </c>
      <c r="F2187">
        <v>121.15</v>
      </c>
      <c r="G2187" s="1">
        <v>44805</v>
      </c>
      <c r="H2187">
        <v>53.9</v>
      </c>
      <c r="I2187" s="1">
        <v>44805</v>
      </c>
      <c r="J2187">
        <v>17.8</v>
      </c>
      <c r="K2187" s="1">
        <v>44704</v>
      </c>
      <c r="L2187">
        <v>102.07599999999999</v>
      </c>
    </row>
    <row r="2188" spans="1:12" x14ac:dyDescent="0.25">
      <c r="A2188" s="1">
        <v>44809</v>
      </c>
      <c r="B2188">
        <v>25.99</v>
      </c>
      <c r="C2188" s="1">
        <v>44813</v>
      </c>
      <c r="D2188">
        <v>21.22</v>
      </c>
      <c r="E2188" s="1">
        <v>44764</v>
      </c>
      <c r="F2188">
        <v>123.7</v>
      </c>
      <c r="G2188" s="1">
        <v>44806</v>
      </c>
      <c r="H2188">
        <v>53.9</v>
      </c>
      <c r="I2188" s="1">
        <v>44806</v>
      </c>
      <c r="J2188">
        <v>16.88</v>
      </c>
      <c r="K2188" s="1">
        <v>44705</v>
      </c>
      <c r="L2188">
        <v>101.857</v>
      </c>
    </row>
    <row r="2189" spans="1:12" x14ac:dyDescent="0.25">
      <c r="A2189" s="1">
        <v>44810</v>
      </c>
      <c r="B2189">
        <v>26.91</v>
      </c>
      <c r="C2189" s="1">
        <v>44816</v>
      </c>
      <c r="D2189">
        <v>21.39</v>
      </c>
      <c r="E2189" s="1">
        <v>44767</v>
      </c>
      <c r="F2189">
        <v>128.27000000000001</v>
      </c>
      <c r="G2189" s="1">
        <v>44810</v>
      </c>
      <c r="H2189">
        <v>50</v>
      </c>
      <c r="I2189" s="1">
        <v>44810</v>
      </c>
      <c r="J2189">
        <v>17.68</v>
      </c>
      <c r="K2189" s="1">
        <v>44706</v>
      </c>
      <c r="L2189">
        <v>102.056</v>
      </c>
    </row>
    <row r="2190" spans="1:12" x14ac:dyDescent="0.25">
      <c r="A2190" s="1">
        <v>44811</v>
      </c>
      <c r="B2190">
        <v>24.64</v>
      </c>
      <c r="C2190" s="1">
        <v>44817</v>
      </c>
      <c r="D2190">
        <v>25.1</v>
      </c>
      <c r="E2190" s="1">
        <v>44768</v>
      </c>
      <c r="F2190">
        <v>128.55000000000001</v>
      </c>
      <c r="G2190" s="1">
        <v>44811</v>
      </c>
      <c r="H2190">
        <v>53.32</v>
      </c>
      <c r="I2190" s="1">
        <v>44811</v>
      </c>
      <c r="J2190">
        <v>16.77</v>
      </c>
      <c r="K2190" s="1">
        <v>44707</v>
      </c>
      <c r="L2190">
        <v>101.82899999999999</v>
      </c>
    </row>
    <row r="2191" spans="1:12" x14ac:dyDescent="0.25">
      <c r="A2191" s="1">
        <v>44812</v>
      </c>
      <c r="B2191">
        <v>23.61</v>
      </c>
      <c r="C2191" s="1">
        <v>44818</v>
      </c>
      <c r="D2191">
        <v>24.17</v>
      </c>
      <c r="E2191" s="1">
        <v>44769</v>
      </c>
      <c r="F2191">
        <v>117.28</v>
      </c>
      <c r="G2191" s="1">
        <v>44812</v>
      </c>
      <c r="H2191">
        <v>51.29</v>
      </c>
      <c r="I2191" s="1">
        <v>44812</v>
      </c>
      <c r="J2191">
        <v>16.399999999999999</v>
      </c>
      <c r="K2191" s="1">
        <v>44708</v>
      </c>
      <c r="L2191">
        <v>101.66800000000001</v>
      </c>
    </row>
    <row r="2192" spans="1:12" x14ac:dyDescent="0.25">
      <c r="A2192" s="1">
        <v>44813</v>
      </c>
      <c r="B2192">
        <v>22.79</v>
      </c>
      <c r="C2192" s="1">
        <v>44819</v>
      </c>
      <c r="D2192">
        <v>22.79</v>
      </c>
      <c r="E2192" s="1">
        <v>44770</v>
      </c>
      <c r="F2192">
        <v>119.93</v>
      </c>
      <c r="G2192" s="1">
        <v>44813</v>
      </c>
      <c r="H2192">
        <v>48.84</v>
      </c>
      <c r="I2192" s="1">
        <v>44813</v>
      </c>
      <c r="J2192">
        <v>15.91</v>
      </c>
      <c r="K2192" s="1">
        <v>44711</v>
      </c>
      <c r="L2192">
        <v>101.66800000000001</v>
      </c>
    </row>
    <row r="2193" spans="1:12" x14ac:dyDescent="0.25">
      <c r="A2193" s="1">
        <v>44816</v>
      </c>
      <c r="B2193">
        <v>23.87</v>
      </c>
      <c r="C2193" s="1">
        <v>44820</v>
      </c>
      <c r="D2193">
        <v>22.9</v>
      </c>
      <c r="E2193" s="1">
        <v>44771</v>
      </c>
      <c r="F2193">
        <v>116.36</v>
      </c>
      <c r="G2193" s="1">
        <v>44816</v>
      </c>
      <c r="H2193">
        <v>44.15</v>
      </c>
      <c r="I2193" s="1">
        <v>44816</v>
      </c>
      <c r="J2193">
        <v>15.79</v>
      </c>
      <c r="K2193" s="1">
        <v>44712</v>
      </c>
      <c r="L2193">
        <v>101.752</v>
      </c>
    </row>
    <row r="2194" spans="1:12" x14ac:dyDescent="0.25">
      <c r="A2194" s="1">
        <v>44817</v>
      </c>
      <c r="B2194">
        <v>27.27</v>
      </c>
      <c r="C2194" s="1">
        <v>44823</v>
      </c>
      <c r="D2194">
        <v>23.72</v>
      </c>
      <c r="E2194" s="1">
        <v>44774</v>
      </c>
      <c r="F2194">
        <v>120.5</v>
      </c>
      <c r="G2194" s="1">
        <v>44817</v>
      </c>
      <c r="H2194">
        <v>44.81</v>
      </c>
      <c r="I2194" s="1">
        <v>44817</v>
      </c>
      <c r="J2194">
        <v>16.93</v>
      </c>
      <c r="K2194" s="1">
        <v>44713</v>
      </c>
      <c r="L2194">
        <v>102.498</v>
      </c>
    </row>
    <row r="2195" spans="1:12" x14ac:dyDescent="0.25">
      <c r="A2195" s="1">
        <v>44818</v>
      </c>
      <c r="B2195">
        <v>26.16</v>
      </c>
      <c r="C2195" s="1">
        <v>44824</v>
      </c>
      <c r="D2195">
        <v>24.13</v>
      </c>
      <c r="E2195" s="1">
        <v>44775</v>
      </c>
      <c r="F2195">
        <v>129.22999999999999</v>
      </c>
      <c r="G2195" s="1">
        <v>44818</v>
      </c>
      <c r="H2195">
        <v>45.62</v>
      </c>
      <c r="I2195" s="1">
        <v>44818</v>
      </c>
      <c r="J2195">
        <v>17.170000000000002</v>
      </c>
      <c r="K2195" s="1">
        <v>44714</v>
      </c>
      <c r="L2195">
        <v>101.824</v>
      </c>
    </row>
    <row r="2196" spans="1:12" x14ac:dyDescent="0.25">
      <c r="A2196" s="1">
        <v>44819</v>
      </c>
      <c r="B2196">
        <v>26.27</v>
      </c>
      <c r="C2196" s="1">
        <v>44825</v>
      </c>
      <c r="D2196">
        <v>24.34</v>
      </c>
      <c r="E2196" s="1">
        <v>44776</v>
      </c>
      <c r="F2196">
        <v>122.04</v>
      </c>
      <c r="G2196" s="1">
        <v>44819</v>
      </c>
      <c r="H2196">
        <v>46.63</v>
      </c>
      <c r="I2196" s="1">
        <v>44819</v>
      </c>
      <c r="J2196">
        <v>19.66</v>
      </c>
      <c r="K2196" s="1">
        <v>44715</v>
      </c>
      <c r="L2196">
        <v>102.14</v>
      </c>
    </row>
    <row r="2197" spans="1:12" x14ac:dyDescent="0.25">
      <c r="A2197" s="1">
        <v>44820</v>
      </c>
      <c r="B2197">
        <v>26.3</v>
      </c>
      <c r="C2197" s="1">
        <v>44826</v>
      </c>
      <c r="D2197">
        <v>24.52</v>
      </c>
      <c r="E2197" s="1">
        <v>44777</v>
      </c>
      <c r="F2197">
        <v>120.57</v>
      </c>
      <c r="G2197" s="1">
        <v>44820</v>
      </c>
      <c r="H2197">
        <v>47.44</v>
      </c>
      <c r="I2197" s="1">
        <v>44820</v>
      </c>
      <c r="J2197">
        <v>18.309999999999999</v>
      </c>
      <c r="K2197" s="1">
        <v>44718</v>
      </c>
      <c r="L2197">
        <v>102.437</v>
      </c>
    </row>
    <row r="2198" spans="1:12" x14ac:dyDescent="0.25">
      <c r="A2198" s="1">
        <v>44823</v>
      </c>
      <c r="B2198">
        <v>25.76</v>
      </c>
      <c r="C2198" s="1">
        <v>44827</v>
      </c>
      <c r="D2198">
        <v>26.24</v>
      </c>
      <c r="E2198" s="1">
        <v>44778</v>
      </c>
      <c r="F2198">
        <v>122.58</v>
      </c>
      <c r="G2198" s="1">
        <v>44823</v>
      </c>
      <c r="H2198">
        <v>46.75</v>
      </c>
      <c r="I2198" s="1">
        <v>44823</v>
      </c>
      <c r="J2198">
        <v>18.37</v>
      </c>
      <c r="K2198" s="1">
        <v>44719</v>
      </c>
      <c r="L2198">
        <v>102.318</v>
      </c>
    </row>
    <row r="2199" spans="1:12" x14ac:dyDescent="0.25">
      <c r="A2199" s="1">
        <v>44824</v>
      </c>
      <c r="B2199">
        <v>27.16</v>
      </c>
      <c r="C2199" s="1">
        <v>44830</v>
      </c>
      <c r="D2199">
        <v>28.21</v>
      </c>
      <c r="E2199" s="1">
        <v>44781</v>
      </c>
      <c r="F2199">
        <v>124.12</v>
      </c>
      <c r="G2199" s="1">
        <v>44824</v>
      </c>
      <c r="H2199">
        <v>48.23</v>
      </c>
      <c r="I2199" s="1">
        <v>44824</v>
      </c>
      <c r="J2199">
        <v>18.59</v>
      </c>
      <c r="K2199" s="1">
        <v>44720</v>
      </c>
      <c r="L2199">
        <v>102.542</v>
      </c>
    </row>
    <row r="2200" spans="1:12" x14ac:dyDescent="0.25">
      <c r="A2200" s="1">
        <v>44825</v>
      </c>
      <c r="B2200">
        <v>27.99</v>
      </c>
      <c r="C2200" s="1">
        <v>44831</v>
      </c>
      <c r="D2200">
        <v>29.56</v>
      </c>
      <c r="E2200" s="1">
        <v>44782</v>
      </c>
      <c r="F2200">
        <v>125.12</v>
      </c>
      <c r="G2200" s="1">
        <v>44825</v>
      </c>
      <c r="H2200">
        <v>48.65</v>
      </c>
      <c r="I2200" s="1">
        <v>44825</v>
      </c>
      <c r="J2200">
        <v>18.48</v>
      </c>
      <c r="K2200" s="1">
        <v>44721</v>
      </c>
      <c r="L2200">
        <v>103.223</v>
      </c>
    </row>
    <row r="2201" spans="1:12" x14ac:dyDescent="0.25">
      <c r="A2201" s="1">
        <v>44826</v>
      </c>
      <c r="B2201">
        <v>27.35</v>
      </c>
      <c r="C2201" s="1">
        <v>44832</v>
      </c>
      <c r="D2201">
        <v>27.48</v>
      </c>
      <c r="E2201" s="1">
        <v>44783</v>
      </c>
      <c r="F2201">
        <v>115.26</v>
      </c>
      <c r="G2201" s="1">
        <v>44826</v>
      </c>
      <c r="H2201">
        <v>47.1</v>
      </c>
      <c r="I2201" s="1">
        <v>44826</v>
      </c>
      <c r="J2201">
        <v>17.93</v>
      </c>
      <c r="K2201" s="1">
        <v>44722</v>
      </c>
      <c r="L2201">
        <v>104.148</v>
      </c>
    </row>
    <row r="2202" spans="1:12" x14ac:dyDescent="0.25">
      <c r="A2202" s="1">
        <v>44827</v>
      </c>
      <c r="B2202">
        <v>29.92</v>
      </c>
      <c r="C2202" s="1">
        <v>44833</v>
      </c>
      <c r="D2202">
        <v>30.7</v>
      </c>
      <c r="E2202" s="1">
        <v>44784</v>
      </c>
      <c r="F2202">
        <v>111.11</v>
      </c>
      <c r="G2202" s="1">
        <v>44827</v>
      </c>
      <c r="H2202">
        <v>50.82</v>
      </c>
      <c r="I2202" s="1">
        <v>44827</v>
      </c>
      <c r="J2202">
        <v>19.420000000000002</v>
      </c>
      <c r="K2202" s="1">
        <v>44725</v>
      </c>
      <c r="L2202">
        <v>105.078</v>
      </c>
    </row>
    <row r="2203" spans="1:12" x14ac:dyDescent="0.25">
      <c r="A2203" s="1">
        <v>44830</v>
      </c>
      <c r="B2203">
        <v>32.26</v>
      </c>
      <c r="C2203" s="1">
        <v>44834</v>
      </c>
      <c r="D2203">
        <v>28.99</v>
      </c>
      <c r="E2203" s="1">
        <v>44785</v>
      </c>
      <c r="F2203">
        <v>106.28</v>
      </c>
      <c r="G2203" s="1">
        <v>44830</v>
      </c>
      <c r="H2203">
        <v>56.68</v>
      </c>
      <c r="I2203" s="1">
        <v>44830</v>
      </c>
      <c r="J2203">
        <v>20.260000000000002</v>
      </c>
      <c r="K2203" s="1">
        <v>44726</v>
      </c>
      <c r="L2203">
        <v>105.518</v>
      </c>
    </row>
    <row r="2204" spans="1:12" x14ac:dyDescent="0.25">
      <c r="A2204" s="1">
        <v>44831</v>
      </c>
      <c r="B2204">
        <v>32.6</v>
      </c>
      <c r="C2204" s="1">
        <v>44837</v>
      </c>
      <c r="D2204">
        <v>29.64</v>
      </c>
      <c r="E2204" s="1">
        <v>44788</v>
      </c>
      <c r="F2204">
        <v>113.82</v>
      </c>
      <c r="G2204" s="1">
        <v>44831</v>
      </c>
      <c r="H2204">
        <v>55.89</v>
      </c>
      <c r="I2204" s="1">
        <v>44831</v>
      </c>
      <c r="J2204">
        <v>19.260000000000002</v>
      </c>
      <c r="K2204" s="1">
        <v>44727</v>
      </c>
      <c r="L2204">
        <v>105.158</v>
      </c>
    </row>
    <row r="2205" spans="1:12" x14ac:dyDescent="0.25">
      <c r="A2205" s="1">
        <v>44832</v>
      </c>
      <c r="B2205">
        <v>30.18</v>
      </c>
      <c r="C2205" s="1">
        <v>44838</v>
      </c>
      <c r="D2205">
        <v>27.51</v>
      </c>
      <c r="E2205" s="1">
        <v>44789</v>
      </c>
      <c r="F2205">
        <v>116.83</v>
      </c>
      <c r="G2205" s="1">
        <v>44832</v>
      </c>
      <c r="H2205">
        <v>55.02</v>
      </c>
      <c r="I2205" s="1">
        <v>44832</v>
      </c>
      <c r="J2205">
        <v>19.27</v>
      </c>
      <c r="K2205" s="1">
        <v>44728</v>
      </c>
      <c r="L2205">
        <v>103.631</v>
      </c>
    </row>
    <row r="2206" spans="1:12" x14ac:dyDescent="0.25">
      <c r="A2206" s="1">
        <v>44833</v>
      </c>
      <c r="B2206">
        <v>31.84</v>
      </c>
      <c r="C2206" s="1">
        <v>44839</v>
      </c>
      <c r="D2206">
        <v>27.74</v>
      </c>
      <c r="E2206" s="1">
        <v>44790</v>
      </c>
      <c r="F2206">
        <v>117.7</v>
      </c>
      <c r="G2206" s="1">
        <v>44833</v>
      </c>
      <c r="H2206">
        <v>54.41</v>
      </c>
      <c r="I2206" s="1">
        <v>44833</v>
      </c>
      <c r="J2206">
        <v>19.78</v>
      </c>
      <c r="K2206" s="1">
        <v>44729</v>
      </c>
      <c r="L2206">
        <v>104.7</v>
      </c>
    </row>
    <row r="2207" spans="1:12" x14ac:dyDescent="0.25">
      <c r="A2207" s="1">
        <v>44834</v>
      </c>
      <c r="B2207">
        <v>31.62</v>
      </c>
      <c r="C2207" s="1">
        <v>44840</v>
      </c>
      <c r="D2207">
        <v>28.6</v>
      </c>
      <c r="E2207" s="1">
        <v>44791</v>
      </c>
      <c r="F2207">
        <v>120.26</v>
      </c>
      <c r="G2207" s="1">
        <v>44834</v>
      </c>
      <c r="H2207">
        <v>55.69</v>
      </c>
      <c r="I2207" s="1">
        <v>44834</v>
      </c>
      <c r="J2207">
        <v>19.52</v>
      </c>
      <c r="K2207" s="1">
        <v>44732</v>
      </c>
      <c r="L2207">
        <v>104.7</v>
      </c>
    </row>
    <row r="2208" spans="1:12" x14ac:dyDescent="0.25">
      <c r="A2208" s="1">
        <v>44837</v>
      </c>
      <c r="B2208">
        <v>30.1</v>
      </c>
      <c r="C2208" s="1">
        <v>44841</v>
      </c>
      <c r="D2208">
        <v>29.64</v>
      </c>
      <c r="E2208" s="1">
        <v>44792</v>
      </c>
      <c r="F2208">
        <v>123.81</v>
      </c>
      <c r="G2208" s="1">
        <v>44837</v>
      </c>
      <c r="H2208">
        <v>56.24</v>
      </c>
      <c r="I2208" s="1">
        <v>44837</v>
      </c>
      <c r="J2208">
        <v>20.29</v>
      </c>
      <c r="K2208" s="1">
        <v>44733</v>
      </c>
      <c r="L2208">
        <v>104.435</v>
      </c>
    </row>
    <row r="2209" spans="1:12" x14ac:dyDescent="0.25">
      <c r="A2209" s="1">
        <v>44838</v>
      </c>
      <c r="B2209">
        <v>29.07</v>
      </c>
      <c r="C2209" s="1">
        <v>44844</v>
      </c>
      <c r="D2209">
        <v>31.5</v>
      </c>
      <c r="E2209" s="1">
        <v>44795</v>
      </c>
      <c r="F2209">
        <v>135.88999999999999</v>
      </c>
      <c r="G2209" s="1">
        <v>44838</v>
      </c>
      <c r="H2209">
        <v>59.51</v>
      </c>
      <c r="I2209" s="1">
        <v>44838</v>
      </c>
      <c r="J2209">
        <v>19.55</v>
      </c>
      <c r="K2209" s="1">
        <v>44734</v>
      </c>
      <c r="L2209">
        <v>104.197</v>
      </c>
    </row>
    <row r="2210" spans="1:12" x14ac:dyDescent="0.25">
      <c r="A2210" s="1">
        <v>44839</v>
      </c>
      <c r="B2210">
        <v>28.55</v>
      </c>
      <c r="C2210" s="1">
        <v>44845</v>
      </c>
      <c r="D2210">
        <v>32.17</v>
      </c>
      <c r="E2210" s="1">
        <v>44796</v>
      </c>
      <c r="F2210">
        <v>133.85</v>
      </c>
      <c r="G2210" s="1">
        <v>44839</v>
      </c>
      <c r="H2210">
        <v>54.2</v>
      </c>
      <c r="I2210" s="1">
        <v>44839</v>
      </c>
      <c r="J2210">
        <v>19.690000000000001</v>
      </c>
      <c r="K2210" s="1">
        <v>44735</v>
      </c>
      <c r="L2210">
        <v>104.431</v>
      </c>
    </row>
    <row r="2211" spans="1:12" x14ac:dyDescent="0.25">
      <c r="A2211" s="1">
        <v>44840</v>
      </c>
      <c r="B2211">
        <v>30.52</v>
      </c>
      <c r="C2211" s="1">
        <v>44846</v>
      </c>
      <c r="D2211">
        <v>32.58</v>
      </c>
      <c r="E2211" s="1">
        <v>44797</v>
      </c>
      <c r="F2211">
        <v>133.13</v>
      </c>
      <c r="G2211" s="1">
        <v>44840</v>
      </c>
      <c r="H2211">
        <v>53.39</v>
      </c>
      <c r="I2211" s="1">
        <v>44840</v>
      </c>
      <c r="J2211">
        <v>19.670000000000002</v>
      </c>
      <c r="K2211" s="1">
        <v>44736</v>
      </c>
      <c r="L2211">
        <v>104.185</v>
      </c>
    </row>
    <row r="2212" spans="1:12" x14ac:dyDescent="0.25">
      <c r="A2212" s="1">
        <v>44841</v>
      </c>
      <c r="B2212">
        <v>31.36</v>
      </c>
      <c r="C2212" s="1">
        <v>44847</v>
      </c>
      <c r="D2212">
        <v>31.61</v>
      </c>
      <c r="E2212" s="1">
        <v>44798</v>
      </c>
      <c r="F2212">
        <v>126.33</v>
      </c>
      <c r="G2212" s="1">
        <v>44841</v>
      </c>
      <c r="H2212">
        <v>53.64</v>
      </c>
      <c r="I2212" s="1">
        <v>44841</v>
      </c>
      <c r="J2212">
        <v>19.66</v>
      </c>
      <c r="K2212" s="1">
        <v>44739</v>
      </c>
      <c r="L2212">
        <v>103.93899999999999</v>
      </c>
    </row>
    <row r="2213" spans="1:12" x14ac:dyDescent="0.25">
      <c r="A2213" s="1">
        <v>44844</v>
      </c>
      <c r="B2213">
        <v>32.450000000000003</v>
      </c>
      <c r="C2213" s="1">
        <v>44848</v>
      </c>
      <c r="D2213">
        <v>31.85</v>
      </c>
      <c r="E2213" s="1">
        <v>44799</v>
      </c>
      <c r="F2213">
        <v>122.95</v>
      </c>
      <c r="G2213" s="1">
        <v>44844</v>
      </c>
      <c r="H2213">
        <v>51.42</v>
      </c>
      <c r="I2213" s="1">
        <v>44844</v>
      </c>
      <c r="J2213">
        <v>20.54</v>
      </c>
      <c r="K2213" s="1">
        <v>44740</v>
      </c>
      <c r="L2213">
        <v>104.506</v>
      </c>
    </row>
    <row r="2214" spans="1:12" x14ac:dyDescent="0.25">
      <c r="A2214" s="1">
        <v>44845</v>
      </c>
      <c r="B2214">
        <v>33.630000000000003</v>
      </c>
      <c r="C2214" s="1">
        <v>44851</v>
      </c>
      <c r="D2214">
        <v>30.5</v>
      </c>
      <c r="E2214" s="1">
        <v>44802</v>
      </c>
      <c r="F2214">
        <v>130.13999999999999</v>
      </c>
      <c r="G2214" s="1">
        <v>44845</v>
      </c>
      <c r="H2214">
        <v>51.92</v>
      </c>
      <c r="I2214" s="1">
        <v>44845</v>
      </c>
      <c r="J2214">
        <v>20.59</v>
      </c>
      <c r="K2214" s="1">
        <v>44741</v>
      </c>
      <c r="L2214">
        <v>105.10599999999999</v>
      </c>
    </row>
    <row r="2215" spans="1:12" x14ac:dyDescent="0.25">
      <c r="A2215" s="1">
        <v>44846</v>
      </c>
      <c r="B2215">
        <v>33.57</v>
      </c>
      <c r="C2215" s="1">
        <v>44852</v>
      </c>
      <c r="D2215">
        <v>31.31</v>
      </c>
      <c r="E2215" s="1">
        <v>44803</v>
      </c>
      <c r="F2215">
        <v>127.69</v>
      </c>
      <c r="G2215" s="1">
        <v>44846</v>
      </c>
      <c r="H2215">
        <v>51.52</v>
      </c>
      <c r="I2215" s="1">
        <v>44846</v>
      </c>
      <c r="J2215">
        <v>20.399999999999999</v>
      </c>
      <c r="K2215" s="1">
        <v>44742</v>
      </c>
      <c r="L2215">
        <v>104.685</v>
      </c>
    </row>
    <row r="2216" spans="1:12" x14ac:dyDescent="0.25">
      <c r="A2216" s="1">
        <v>44847</v>
      </c>
      <c r="B2216">
        <v>31.94</v>
      </c>
      <c r="C2216" s="1">
        <v>44853</v>
      </c>
      <c r="D2216">
        <v>30.43</v>
      </c>
      <c r="E2216" s="1">
        <v>44804</v>
      </c>
      <c r="F2216">
        <v>124.84</v>
      </c>
      <c r="G2216" s="1">
        <v>44847</v>
      </c>
      <c r="H2216">
        <v>50.52</v>
      </c>
      <c r="I2216" s="1">
        <v>44847</v>
      </c>
      <c r="J2216">
        <v>20.07</v>
      </c>
      <c r="K2216" s="1">
        <v>44743</v>
      </c>
      <c r="L2216">
        <v>105.13800000000001</v>
      </c>
    </row>
    <row r="2217" spans="1:12" x14ac:dyDescent="0.25">
      <c r="A2217" s="1">
        <v>44848</v>
      </c>
      <c r="B2217">
        <v>32.020000000000003</v>
      </c>
      <c r="C2217" s="1">
        <v>44854</v>
      </c>
      <c r="D2217">
        <v>37.35</v>
      </c>
      <c r="E2217" s="1">
        <v>44805</v>
      </c>
      <c r="F2217">
        <v>126.58</v>
      </c>
      <c r="G2217" s="1">
        <v>44848</v>
      </c>
      <c r="H2217">
        <v>50.3</v>
      </c>
      <c r="I2217" s="1">
        <v>44848</v>
      </c>
      <c r="J2217">
        <v>20.07</v>
      </c>
      <c r="K2217" s="1">
        <v>44746</v>
      </c>
      <c r="L2217">
        <v>105.13800000000001</v>
      </c>
    </row>
    <row r="2218" spans="1:12" x14ac:dyDescent="0.25">
      <c r="A2218" s="1">
        <v>44851</v>
      </c>
      <c r="B2218">
        <v>31.37</v>
      </c>
      <c r="C2218" s="1">
        <v>44855</v>
      </c>
      <c r="D2218">
        <v>29.35</v>
      </c>
      <c r="E2218" s="1">
        <v>44806</v>
      </c>
      <c r="F2218">
        <v>120.72</v>
      </c>
      <c r="G2218" s="1">
        <v>44851</v>
      </c>
      <c r="H2218">
        <v>50.27</v>
      </c>
      <c r="I2218" s="1">
        <v>44851</v>
      </c>
      <c r="J2218">
        <v>19.96</v>
      </c>
      <c r="K2218" s="1">
        <v>44747</v>
      </c>
      <c r="L2218">
        <v>106.535</v>
      </c>
    </row>
    <row r="2219" spans="1:12" x14ac:dyDescent="0.25">
      <c r="A2219" s="1">
        <v>44852</v>
      </c>
      <c r="B2219">
        <v>30.5</v>
      </c>
      <c r="C2219" s="1">
        <v>44858</v>
      </c>
      <c r="D2219">
        <v>32.4</v>
      </c>
      <c r="E2219" s="1">
        <v>44810</v>
      </c>
      <c r="F2219">
        <v>133.54</v>
      </c>
      <c r="G2219" s="1">
        <v>44852</v>
      </c>
      <c r="H2219">
        <v>49.12</v>
      </c>
      <c r="I2219" s="1">
        <v>44852</v>
      </c>
      <c r="J2219">
        <v>19.190000000000001</v>
      </c>
      <c r="K2219" s="1">
        <v>44748</v>
      </c>
      <c r="L2219">
        <v>107.096</v>
      </c>
    </row>
    <row r="2220" spans="1:12" x14ac:dyDescent="0.25">
      <c r="A2220" s="1">
        <v>44853</v>
      </c>
      <c r="B2220">
        <v>30.76</v>
      </c>
      <c r="C2220" s="1">
        <v>44859</v>
      </c>
      <c r="D2220">
        <v>32.96</v>
      </c>
      <c r="E2220" s="1">
        <v>44811</v>
      </c>
      <c r="F2220">
        <v>133.12</v>
      </c>
      <c r="G2220" s="1">
        <v>44853</v>
      </c>
      <c r="H2220">
        <v>47.78</v>
      </c>
      <c r="I2220" s="1">
        <v>44853</v>
      </c>
      <c r="J2220">
        <v>19.41</v>
      </c>
      <c r="K2220" s="1">
        <v>44749</v>
      </c>
      <c r="L2220">
        <v>107.13</v>
      </c>
    </row>
    <row r="2221" spans="1:12" x14ac:dyDescent="0.25">
      <c r="A2221" s="1">
        <v>44854</v>
      </c>
      <c r="B2221">
        <v>29.98</v>
      </c>
      <c r="C2221" s="1">
        <v>44860</v>
      </c>
      <c r="D2221">
        <v>29.22</v>
      </c>
      <c r="E2221" s="1">
        <v>44812</v>
      </c>
      <c r="F2221">
        <v>124.14</v>
      </c>
      <c r="G2221" s="1">
        <v>44854</v>
      </c>
      <c r="H2221">
        <v>47.98</v>
      </c>
      <c r="I2221" s="1">
        <v>44854</v>
      </c>
      <c r="J2221">
        <v>19.23</v>
      </c>
      <c r="K2221" s="1">
        <v>44750</v>
      </c>
      <c r="L2221">
        <v>107.00700000000001</v>
      </c>
    </row>
    <row r="2222" spans="1:12" x14ac:dyDescent="0.25">
      <c r="A2222" s="1">
        <v>44855</v>
      </c>
      <c r="B2222">
        <v>29.69</v>
      </c>
      <c r="C2222" s="1">
        <v>44861</v>
      </c>
      <c r="D2222">
        <v>28.94</v>
      </c>
      <c r="E2222" s="1">
        <v>44813</v>
      </c>
      <c r="F2222">
        <v>121.54</v>
      </c>
      <c r="G2222" s="1">
        <v>44855</v>
      </c>
      <c r="H2222">
        <v>47.19</v>
      </c>
      <c r="I2222" s="1">
        <v>44855</v>
      </c>
      <c r="J2222">
        <v>19.05</v>
      </c>
      <c r="K2222" s="1">
        <v>44753</v>
      </c>
      <c r="L2222">
        <v>108.021</v>
      </c>
    </row>
    <row r="2223" spans="1:12" x14ac:dyDescent="0.25">
      <c r="A2223" s="1">
        <v>44858</v>
      </c>
      <c r="B2223">
        <v>29.85</v>
      </c>
      <c r="C2223" s="1">
        <v>44862</v>
      </c>
      <c r="D2223">
        <v>28.56</v>
      </c>
      <c r="E2223" s="1">
        <v>44816</v>
      </c>
      <c r="F2223">
        <v>123.07</v>
      </c>
      <c r="G2223" s="1">
        <v>44858</v>
      </c>
      <c r="H2223">
        <v>47.78</v>
      </c>
      <c r="I2223" s="1">
        <v>44858</v>
      </c>
      <c r="J2223">
        <v>19.579999999999998</v>
      </c>
      <c r="K2223" s="1">
        <v>44754</v>
      </c>
      <c r="L2223">
        <v>108.072</v>
      </c>
    </row>
    <row r="2224" spans="1:12" x14ac:dyDescent="0.25">
      <c r="A2224" s="1">
        <v>44859</v>
      </c>
      <c r="B2224">
        <v>28.46</v>
      </c>
      <c r="C2224" s="1">
        <v>44865</v>
      </c>
      <c r="D2224">
        <v>28.67</v>
      </c>
      <c r="E2224" s="1">
        <v>44817</v>
      </c>
      <c r="F2224">
        <v>128.87</v>
      </c>
      <c r="G2224" s="1">
        <v>44859</v>
      </c>
      <c r="H2224">
        <v>47.3</v>
      </c>
      <c r="I2224" s="1">
        <v>44859</v>
      </c>
      <c r="J2224">
        <v>19.329999999999998</v>
      </c>
      <c r="K2224" s="1">
        <v>44755</v>
      </c>
      <c r="L2224">
        <v>107.95699999999999</v>
      </c>
    </row>
    <row r="2225" spans="1:12" x14ac:dyDescent="0.25">
      <c r="A2225" s="1">
        <v>44860</v>
      </c>
      <c r="B2225">
        <v>27.28</v>
      </c>
      <c r="C2225" s="1">
        <v>44866</v>
      </c>
      <c r="D2225">
        <v>28.48</v>
      </c>
      <c r="E2225" s="1">
        <v>44818</v>
      </c>
      <c r="F2225">
        <v>125.35</v>
      </c>
      <c r="G2225" s="1">
        <v>44860</v>
      </c>
      <c r="H2225">
        <v>48.58</v>
      </c>
      <c r="I2225" s="1">
        <v>44860</v>
      </c>
      <c r="J2225">
        <v>18.670000000000002</v>
      </c>
      <c r="K2225" s="1">
        <v>44756</v>
      </c>
      <c r="L2225">
        <v>108.544</v>
      </c>
    </row>
    <row r="2226" spans="1:12" x14ac:dyDescent="0.25">
      <c r="A2226" s="1">
        <v>44861</v>
      </c>
      <c r="B2226">
        <v>27.39</v>
      </c>
      <c r="C2226" s="1">
        <v>44867</v>
      </c>
      <c r="D2226">
        <v>29.21</v>
      </c>
      <c r="E2226" s="1">
        <v>44819</v>
      </c>
      <c r="F2226">
        <v>124.07</v>
      </c>
      <c r="G2226" s="1">
        <v>44861</v>
      </c>
      <c r="H2226">
        <v>49.02</v>
      </c>
      <c r="I2226" s="1">
        <v>44861</v>
      </c>
      <c r="J2226">
        <v>18.510000000000002</v>
      </c>
      <c r="K2226" s="1">
        <v>44757</v>
      </c>
      <c r="L2226">
        <v>108.063</v>
      </c>
    </row>
    <row r="2227" spans="1:12" x14ac:dyDescent="0.25">
      <c r="A2227" s="1">
        <v>44862</v>
      </c>
      <c r="B2227">
        <v>25.75</v>
      </c>
      <c r="C2227" s="1">
        <v>44868</v>
      </c>
      <c r="D2227">
        <v>28.93</v>
      </c>
      <c r="E2227" s="1">
        <v>44820</v>
      </c>
      <c r="F2227">
        <v>124.95</v>
      </c>
      <c r="G2227" s="1">
        <v>44862</v>
      </c>
      <c r="H2227">
        <v>47.81</v>
      </c>
      <c r="I2227" s="1">
        <v>44862</v>
      </c>
      <c r="J2227">
        <v>18.010000000000002</v>
      </c>
      <c r="K2227" s="1">
        <v>44760</v>
      </c>
      <c r="L2227">
        <v>107.366</v>
      </c>
    </row>
    <row r="2228" spans="1:12" x14ac:dyDescent="0.25">
      <c r="A2228" s="1">
        <v>44865</v>
      </c>
      <c r="B2228">
        <v>25.88</v>
      </c>
      <c r="C2228" s="1">
        <v>44869</v>
      </c>
      <c r="D2228">
        <v>31.84</v>
      </c>
      <c r="E2228" s="1">
        <v>44823</v>
      </c>
      <c r="F2228">
        <v>133.79</v>
      </c>
      <c r="G2228" s="1">
        <v>44865</v>
      </c>
      <c r="H2228">
        <v>47.41</v>
      </c>
      <c r="I2228" s="1">
        <v>44865</v>
      </c>
      <c r="J2228">
        <v>18.27</v>
      </c>
      <c r="K2228" s="1">
        <v>44761</v>
      </c>
      <c r="L2228">
        <v>106.682</v>
      </c>
    </row>
    <row r="2229" spans="1:12" x14ac:dyDescent="0.25">
      <c r="A2229" s="1">
        <v>44866</v>
      </c>
      <c r="B2229">
        <v>25.81</v>
      </c>
      <c r="C2229" s="1">
        <v>44872</v>
      </c>
      <c r="D2229">
        <v>29.79</v>
      </c>
      <c r="E2229" s="1">
        <v>44824</v>
      </c>
      <c r="F2229">
        <v>134.66</v>
      </c>
      <c r="G2229" s="1">
        <v>44866</v>
      </c>
      <c r="H2229">
        <v>47.04</v>
      </c>
      <c r="I2229" s="1">
        <v>44866</v>
      </c>
      <c r="J2229">
        <v>18.45</v>
      </c>
      <c r="K2229" s="1">
        <v>44762</v>
      </c>
      <c r="L2229">
        <v>107.07599999999999</v>
      </c>
    </row>
    <row r="2230" spans="1:12" x14ac:dyDescent="0.25">
      <c r="A2230" s="1">
        <v>44867</v>
      </c>
      <c r="B2230">
        <v>25.86</v>
      </c>
      <c r="C2230" s="1">
        <v>44873</v>
      </c>
      <c r="D2230">
        <v>29.05</v>
      </c>
      <c r="E2230" s="1">
        <v>44825</v>
      </c>
      <c r="F2230">
        <v>130.54</v>
      </c>
      <c r="G2230" s="1">
        <v>44867</v>
      </c>
      <c r="H2230">
        <v>47.75</v>
      </c>
      <c r="I2230" s="1">
        <v>44867</v>
      </c>
      <c r="J2230">
        <v>17.84</v>
      </c>
      <c r="K2230" s="1">
        <v>44763</v>
      </c>
      <c r="L2230">
        <v>106.91</v>
      </c>
    </row>
    <row r="2231" spans="1:12" x14ac:dyDescent="0.25">
      <c r="A2231" s="1">
        <v>44868</v>
      </c>
      <c r="B2231">
        <v>25.3</v>
      </c>
      <c r="C2231" s="1">
        <v>44874</v>
      </c>
      <c r="D2231">
        <v>30.33</v>
      </c>
      <c r="E2231" s="1">
        <v>44826</v>
      </c>
      <c r="F2231">
        <v>131.93</v>
      </c>
      <c r="G2231" s="1">
        <v>44868</v>
      </c>
      <c r="H2231">
        <v>46.47</v>
      </c>
      <c r="I2231" s="1">
        <v>44868</v>
      </c>
      <c r="J2231">
        <v>18.03</v>
      </c>
      <c r="K2231" s="1">
        <v>44764</v>
      </c>
      <c r="L2231">
        <v>106.73</v>
      </c>
    </row>
    <row r="2232" spans="1:12" x14ac:dyDescent="0.25">
      <c r="A2232" s="1">
        <v>44869</v>
      </c>
      <c r="B2232">
        <v>24.55</v>
      </c>
      <c r="C2232" s="1">
        <v>44875</v>
      </c>
      <c r="D2232">
        <v>28.37</v>
      </c>
      <c r="E2232" s="1">
        <v>44827</v>
      </c>
      <c r="F2232">
        <v>137.28</v>
      </c>
      <c r="G2232" s="1">
        <v>44869</v>
      </c>
      <c r="H2232">
        <v>47.5</v>
      </c>
      <c r="I2232" s="1">
        <v>44869</v>
      </c>
      <c r="J2232">
        <v>18.03</v>
      </c>
      <c r="K2232" s="1">
        <v>44767</v>
      </c>
      <c r="L2232">
        <v>106.483</v>
      </c>
    </row>
    <row r="2233" spans="1:12" x14ac:dyDescent="0.25">
      <c r="A2233" s="1">
        <v>44872</v>
      </c>
      <c r="B2233">
        <v>24.35</v>
      </c>
      <c r="C2233" s="1">
        <v>44876</v>
      </c>
      <c r="D2233">
        <v>27.27</v>
      </c>
      <c r="E2233" s="1">
        <v>44830</v>
      </c>
      <c r="F2233">
        <v>153.61000000000001</v>
      </c>
      <c r="G2233" s="1">
        <v>44872</v>
      </c>
      <c r="H2233">
        <v>45.11</v>
      </c>
      <c r="I2233" s="1">
        <v>44872</v>
      </c>
      <c r="J2233">
        <v>18.12</v>
      </c>
      <c r="K2233" s="1">
        <v>44768</v>
      </c>
      <c r="L2233">
        <v>107.18899999999999</v>
      </c>
    </row>
    <row r="2234" spans="1:12" x14ac:dyDescent="0.25">
      <c r="A2234" s="1">
        <v>44873</v>
      </c>
      <c r="B2234">
        <v>25.54</v>
      </c>
      <c r="C2234" s="1">
        <v>44879</v>
      </c>
      <c r="D2234">
        <v>27.97</v>
      </c>
      <c r="E2234" s="1">
        <v>44831</v>
      </c>
      <c r="F2234">
        <v>158.12</v>
      </c>
      <c r="G2234" s="1">
        <v>44873</v>
      </c>
      <c r="H2234">
        <v>45.04</v>
      </c>
      <c r="I2234" s="1">
        <v>44873</v>
      </c>
      <c r="J2234">
        <v>18.91</v>
      </c>
      <c r="K2234" s="1">
        <v>44769</v>
      </c>
      <c r="L2234">
        <v>106.452</v>
      </c>
    </row>
    <row r="2235" spans="1:12" x14ac:dyDescent="0.25">
      <c r="A2235" s="1">
        <v>44874</v>
      </c>
      <c r="B2235">
        <v>26.09</v>
      </c>
      <c r="C2235" s="1">
        <v>44880</v>
      </c>
      <c r="D2235">
        <v>27.71</v>
      </c>
      <c r="E2235" s="1">
        <v>44832</v>
      </c>
      <c r="F2235">
        <v>158.99</v>
      </c>
      <c r="G2235" s="1">
        <v>44874</v>
      </c>
      <c r="H2235">
        <v>45.38</v>
      </c>
      <c r="I2235" s="1">
        <v>44874</v>
      </c>
      <c r="J2235">
        <v>18.91</v>
      </c>
      <c r="K2235" s="1">
        <v>44770</v>
      </c>
      <c r="L2235">
        <v>106.351</v>
      </c>
    </row>
    <row r="2236" spans="1:12" x14ac:dyDescent="0.25">
      <c r="A2236" s="1">
        <v>44875</v>
      </c>
      <c r="B2236">
        <v>23.53</v>
      </c>
      <c r="C2236" s="1">
        <v>44881</v>
      </c>
      <c r="D2236">
        <v>27.65</v>
      </c>
      <c r="E2236" s="1">
        <v>44833</v>
      </c>
      <c r="F2236">
        <v>148.13999999999999</v>
      </c>
      <c r="G2236" s="1">
        <v>44875</v>
      </c>
      <c r="H2236">
        <v>43.48</v>
      </c>
      <c r="I2236" s="1">
        <v>44875</v>
      </c>
      <c r="J2236">
        <v>17.690000000000001</v>
      </c>
      <c r="K2236" s="1">
        <v>44771</v>
      </c>
      <c r="L2236">
        <v>105.90300000000001</v>
      </c>
    </row>
    <row r="2237" spans="1:12" x14ac:dyDescent="0.25">
      <c r="A2237" s="1">
        <v>44876</v>
      </c>
      <c r="B2237">
        <v>22.52</v>
      </c>
      <c r="C2237" s="1">
        <v>44882</v>
      </c>
      <c r="D2237">
        <v>28.36</v>
      </c>
      <c r="E2237" s="1">
        <v>44834</v>
      </c>
      <c r="F2237">
        <v>141.88999999999999</v>
      </c>
      <c r="G2237" s="1">
        <v>44876</v>
      </c>
      <c r="H2237">
        <v>42.06</v>
      </c>
      <c r="I2237" s="1">
        <v>44876</v>
      </c>
      <c r="J2237">
        <v>17.57</v>
      </c>
      <c r="K2237" s="1">
        <v>44774</v>
      </c>
      <c r="L2237">
        <v>105.45</v>
      </c>
    </row>
    <row r="2238" spans="1:12" x14ac:dyDescent="0.25">
      <c r="A2238" s="1">
        <v>44879</v>
      </c>
      <c r="B2238">
        <v>23.73</v>
      </c>
      <c r="C2238" s="1">
        <v>44883</v>
      </c>
      <c r="D2238">
        <v>27.44</v>
      </c>
      <c r="E2238" s="1">
        <v>44837</v>
      </c>
      <c r="F2238">
        <v>152.94</v>
      </c>
      <c r="G2238" s="1">
        <v>44879</v>
      </c>
      <c r="H2238">
        <v>44.42</v>
      </c>
      <c r="I2238" s="1">
        <v>44879</v>
      </c>
      <c r="J2238">
        <v>17.41</v>
      </c>
      <c r="K2238" s="1">
        <v>44775</v>
      </c>
      <c r="L2238">
        <v>106.241</v>
      </c>
    </row>
    <row r="2239" spans="1:12" x14ac:dyDescent="0.25">
      <c r="A2239" s="1">
        <v>44880</v>
      </c>
      <c r="B2239">
        <v>24.54</v>
      </c>
      <c r="C2239" s="1">
        <v>44886</v>
      </c>
      <c r="D2239">
        <v>27.49</v>
      </c>
      <c r="E2239" s="1">
        <v>44838</v>
      </c>
      <c r="F2239">
        <v>151.21</v>
      </c>
      <c r="G2239" s="1">
        <v>44880</v>
      </c>
      <c r="H2239">
        <v>46.72</v>
      </c>
      <c r="I2239" s="1">
        <v>44880</v>
      </c>
      <c r="J2239">
        <v>17.72</v>
      </c>
      <c r="K2239" s="1">
        <v>44776</v>
      </c>
      <c r="L2239">
        <v>106.506</v>
      </c>
    </row>
    <row r="2240" spans="1:12" x14ac:dyDescent="0.25">
      <c r="A2240" s="1">
        <v>44881</v>
      </c>
      <c r="B2240">
        <v>24.11</v>
      </c>
      <c r="C2240" s="1">
        <v>44887</v>
      </c>
      <c r="D2240">
        <v>25.95</v>
      </c>
      <c r="E2240" s="1">
        <v>44839</v>
      </c>
      <c r="F2240">
        <v>152.01</v>
      </c>
      <c r="G2240" s="1">
        <v>44881</v>
      </c>
      <c r="H2240">
        <v>45.12</v>
      </c>
      <c r="I2240" s="1">
        <v>44881</v>
      </c>
      <c r="J2240">
        <v>17.23</v>
      </c>
      <c r="K2240" s="1">
        <v>44777</v>
      </c>
      <c r="L2240">
        <v>105.693</v>
      </c>
    </row>
    <row r="2241" spans="1:12" x14ac:dyDescent="0.25">
      <c r="A2241" s="1">
        <v>44882</v>
      </c>
      <c r="B2241">
        <v>23.93</v>
      </c>
      <c r="C2241" s="1">
        <v>44888</v>
      </c>
      <c r="D2241">
        <v>24.74</v>
      </c>
      <c r="E2241" s="1">
        <v>44840</v>
      </c>
      <c r="F2241">
        <v>153.29</v>
      </c>
      <c r="G2241" s="1">
        <v>44882</v>
      </c>
      <c r="H2241">
        <v>45.34</v>
      </c>
      <c r="I2241" s="1">
        <v>44882</v>
      </c>
      <c r="J2241">
        <v>16.77</v>
      </c>
      <c r="K2241" s="1">
        <v>44778</v>
      </c>
      <c r="L2241">
        <v>106.621</v>
      </c>
    </row>
    <row r="2242" spans="1:12" x14ac:dyDescent="0.25">
      <c r="A2242" s="1">
        <v>44883</v>
      </c>
      <c r="B2242">
        <v>23.12</v>
      </c>
      <c r="C2242" s="1">
        <v>44890</v>
      </c>
      <c r="D2242">
        <v>24.2</v>
      </c>
      <c r="E2242" s="1">
        <v>44841</v>
      </c>
      <c r="F2242">
        <v>148.46</v>
      </c>
      <c r="G2242" s="1">
        <v>44883</v>
      </c>
      <c r="H2242">
        <v>45.93</v>
      </c>
      <c r="I2242" s="1">
        <v>44883</v>
      </c>
      <c r="J2242">
        <v>16.510000000000002</v>
      </c>
      <c r="K2242" s="1">
        <v>44781</v>
      </c>
      <c r="L2242">
        <v>106.435</v>
      </c>
    </row>
    <row r="2243" spans="1:12" x14ac:dyDescent="0.25">
      <c r="A2243" s="1">
        <v>44886</v>
      </c>
      <c r="B2243">
        <v>22.36</v>
      </c>
      <c r="C2243" s="1">
        <v>44893</v>
      </c>
      <c r="D2243">
        <v>26.37</v>
      </c>
      <c r="E2243" s="1">
        <v>44845</v>
      </c>
      <c r="F2243">
        <v>155.57</v>
      </c>
      <c r="G2243" s="1">
        <v>44886</v>
      </c>
      <c r="H2243">
        <v>47.11</v>
      </c>
      <c r="I2243" s="1">
        <v>44886</v>
      </c>
      <c r="J2243">
        <v>16.68</v>
      </c>
      <c r="K2243" s="1">
        <v>44782</v>
      </c>
      <c r="L2243">
        <v>106.374</v>
      </c>
    </row>
    <row r="2244" spans="1:12" x14ac:dyDescent="0.25">
      <c r="A2244" s="1">
        <v>44887</v>
      </c>
      <c r="B2244">
        <v>21.29</v>
      </c>
      <c r="C2244" s="1">
        <v>44894</v>
      </c>
      <c r="D2244">
        <v>24.76</v>
      </c>
      <c r="E2244" s="1">
        <v>44846</v>
      </c>
      <c r="F2244">
        <v>160.72</v>
      </c>
      <c r="G2244" s="1">
        <v>44887</v>
      </c>
      <c r="H2244">
        <v>46.3</v>
      </c>
      <c r="I2244" s="1">
        <v>44887</v>
      </c>
      <c r="J2244">
        <v>16.07</v>
      </c>
      <c r="K2244" s="1">
        <v>44783</v>
      </c>
      <c r="L2244">
        <v>105.196</v>
      </c>
    </row>
    <row r="2245" spans="1:12" x14ac:dyDescent="0.25">
      <c r="A2245" s="1">
        <v>44888</v>
      </c>
      <c r="B2245">
        <v>20.350000000000001</v>
      </c>
      <c r="C2245" s="1">
        <v>44895</v>
      </c>
      <c r="D2245">
        <v>24.34</v>
      </c>
      <c r="E2245" s="1">
        <v>44847</v>
      </c>
      <c r="F2245">
        <v>155.08000000000001</v>
      </c>
      <c r="G2245" s="1">
        <v>44888</v>
      </c>
      <c r="H2245">
        <v>51.56</v>
      </c>
      <c r="I2245" s="1">
        <v>44888</v>
      </c>
      <c r="J2245">
        <v>15.84</v>
      </c>
      <c r="K2245" s="1">
        <v>44784</v>
      </c>
      <c r="L2245">
        <v>105.09</v>
      </c>
    </row>
    <row r="2246" spans="1:12" x14ac:dyDescent="0.25">
      <c r="A2246" s="1">
        <v>44889</v>
      </c>
      <c r="B2246">
        <v>20.420000000000002</v>
      </c>
      <c r="C2246" s="1">
        <v>44896</v>
      </c>
      <c r="D2246">
        <v>24.13</v>
      </c>
      <c r="E2246" s="1">
        <v>44848</v>
      </c>
      <c r="F2246">
        <v>152.88999999999999</v>
      </c>
      <c r="G2246" s="1">
        <v>44890</v>
      </c>
      <c r="H2246">
        <v>50.16</v>
      </c>
      <c r="I2246" s="1">
        <v>44890</v>
      </c>
      <c r="J2246">
        <v>15.23</v>
      </c>
      <c r="K2246" s="1">
        <v>44785</v>
      </c>
      <c r="L2246">
        <v>105.631</v>
      </c>
    </row>
    <row r="2247" spans="1:12" x14ac:dyDescent="0.25">
      <c r="A2247" s="1">
        <v>44890</v>
      </c>
      <c r="B2247">
        <v>20.5</v>
      </c>
      <c r="C2247" s="1">
        <v>44897</v>
      </c>
      <c r="D2247">
        <v>24.76</v>
      </c>
      <c r="E2247" s="1">
        <v>44851</v>
      </c>
      <c r="F2247">
        <v>150.41999999999999</v>
      </c>
      <c r="G2247" s="1">
        <v>44893</v>
      </c>
      <c r="H2247">
        <v>50.53</v>
      </c>
      <c r="I2247" s="1">
        <v>44893</v>
      </c>
      <c r="J2247">
        <v>15.77</v>
      </c>
      <c r="K2247" s="1">
        <v>44788</v>
      </c>
      <c r="L2247">
        <v>106.54600000000001</v>
      </c>
    </row>
    <row r="2248" spans="1:12" x14ac:dyDescent="0.25">
      <c r="A2248" s="1">
        <v>44893</v>
      </c>
      <c r="B2248">
        <v>22.21</v>
      </c>
      <c r="C2248" s="1">
        <v>44900</v>
      </c>
      <c r="D2248">
        <v>25.48</v>
      </c>
      <c r="E2248" s="1">
        <v>44852</v>
      </c>
      <c r="F2248">
        <v>145.79</v>
      </c>
      <c r="G2248" s="1">
        <v>44894</v>
      </c>
      <c r="H2248">
        <v>47.91</v>
      </c>
      <c r="I2248" s="1">
        <v>44894</v>
      </c>
      <c r="J2248">
        <v>15.71</v>
      </c>
      <c r="K2248" s="1">
        <v>44789</v>
      </c>
      <c r="L2248">
        <v>106.5</v>
      </c>
    </row>
    <row r="2249" spans="1:12" x14ac:dyDescent="0.25">
      <c r="A2249" s="1">
        <v>44894</v>
      </c>
      <c r="B2249">
        <v>21.89</v>
      </c>
      <c r="C2249" s="1">
        <v>44901</v>
      </c>
      <c r="D2249">
        <v>25.9</v>
      </c>
      <c r="E2249" s="1">
        <v>44853</v>
      </c>
      <c r="F2249">
        <v>147.72999999999999</v>
      </c>
      <c r="G2249" s="1">
        <v>44895</v>
      </c>
      <c r="H2249">
        <v>46.15</v>
      </c>
      <c r="I2249" s="1">
        <v>44895</v>
      </c>
      <c r="J2249">
        <v>15.45</v>
      </c>
      <c r="K2249" s="1">
        <v>44790</v>
      </c>
      <c r="L2249">
        <v>106.574</v>
      </c>
    </row>
    <row r="2250" spans="1:12" x14ac:dyDescent="0.25">
      <c r="A2250" s="1">
        <v>44895</v>
      </c>
      <c r="B2250">
        <v>20.58</v>
      </c>
      <c r="C2250" s="1">
        <v>44902</v>
      </c>
      <c r="D2250">
        <v>26.87</v>
      </c>
      <c r="E2250" s="1">
        <v>44854</v>
      </c>
      <c r="F2250">
        <v>155.61000000000001</v>
      </c>
      <c r="G2250" s="1">
        <v>44896</v>
      </c>
      <c r="H2250">
        <v>45.61</v>
      </c>
      <c r="I2250" s="1">
        <v>44896</v>
      </c>
      <c r="J2250">
        <v>15.92</v>
      </c>
      <c r="K2250" s="1">
        <v>44791</v>
      </c>
      <c r="L2250">
        <v>107.48399999999999</v>
      </c>
    </row>
    <row r="2251" spans="1:12" x14ac:dyDescent="0.25">
      <c r="A2251" s="1">
        <v>44896</v>
      </c>
      <c r="B2251">
        <v>19.84</v>
      </c>
      <c r="C2251" s="1">
        <v>44903</v>
      </c>
      <c r="D2251">
        <v>25.15</v>
      </c>
      <c r="E2251" s="1">
        <v>44855</v>
      </c>
      <c r="F2251">
        <v>156.94999999999999</v>
      </c>
      <c r="G2251" s="1">
        <v>44897</v>
      </c>
      <c r="H2251">
        <v>45.76</v>
      </c>
      <c r="I2251" s="1">
        <v>44897</v>
      </c>
      <c r="J2251">
        <v>15.42</v>
      </c>
      <c r="K2251" s="1">
        <v>44792</v>
      </c>
      <c r="L2251">
        <v>108.169</v>
      </c>
    </row>
    <row r="2252" spans="1:12" x14ac:dyDescent="0.25">
      <c r="A2252" s="1">
        <v>44897</v>
      </c>
      <c r="B2252">
        <v>19.059999999999999</v>
      </c>
      <c r="C2252" s="1">
        <v>44904</v>
      </c>
      <c r="D2252">
        <v>25.68</v>
      </c>
      <c r="E2252" s="1">
        <v>44858</v>
      </c>
      <c r="F2252">
        <v>154.02000000000001</v>
      </c>
      <c r="G2252" s="1">
        <v>44900</v>
      </c>
      <c r="H2252">
        <v>45.41</v>
      </c>
      <c r="I2252" s="1">
        <v>44900</v>
      </c>
      <c r="J2252">
        <v>15.81</v>
      </c>
      <c r="K2252" s="1">
        <v>44795</v>
      </c>
      <c r="L2252">
        <v>109.04600000000001</v>
      </c>
    </row>
    <row r="2253" spans="1:12" x14ac:dyDescent="0.25">
      <c r="A2253" s="1">
        <v>44900</v>
      </c>
      <c r="B2253">
        <v>20.75</v>
      </c>
      <c r="C2253" s="1">
        <v>44907</v>
      </c>
      <c r="D2253">
        <v>24.16</v>
      </c>
      <c r="E2253" s="1">
        <v>44859</v>
      </c>
      <c r="F2253">
        <v>147.78</v>
      </c>
      <c r="G2253" s="1">
        <v>44901</v>
      </c>
      <c r="H2253">
        <v>46.36</v>
      </c>
      <c r="I2253" s="1">
        <v>44901</v>
      </c>
      <c r="J2253">
        <v>16.190000000000001</v>
      </c>
      <c r="K2253" s="1">
        <v>44796</v>
      </c>
      <c r="L2253">
        <v>108.624</v>
      </c>
    </row>
    <row r="2254" spans="1:12" x14ac:dyDescent="0.25">
      <c r="A2254" s="1">
        <v>44901</v>
      </c>
      <c r="B2254">
        <v>22.17</v>
      </c>
      <c r="C2254" s="1">
        <v>44908</v>
      </c>
      <c r="D2254">
        <v>21.36</v>
      </c>
      <c r="E2254" s="1">
        <v>44860</v>
      </c>
      <c r="F2254">
        <v>140.19999999999999</v>
      </c>
      <c r="G2254" s="1">
        <v>44902</v>
      </c>
      <c r="H2254">
        <v>47.91</v>
      </c>
      <c r="I2254" s="1">
        <v>44902</v>
      </c>
      <c r="J2254">
        <v>16.55</v>
      </c>
      <c r="K2254" s="1">
        <v>44797</v>
      </c>
      <c r="L2254">
        <v>108.67700000000001</v>
      </c>
    </row>
    <row r="2255" spans="1:12" x14ac:dyDescent="0.25">
      <c r="A2255" s="1">
        <v>44902</v>
      </c>
      <c r="B2255">
        <v>22.68</v>
      </c>
      <c r="C2255" s="1">
        <v>44909</v>
      </c>
      <c r="D2255">
        <v>20.239999999999998</v>
      </c>
      <c r="E2255" s="1">
        <v>44861</v>
      </c>
      <c r="F2255">
        <v>142.78</v>
      </c>
      <c r="G2255" s="1">
        <v>44903</v>
      </c>
      <c r="H2255">
        <v>47.17</v>
      </c>
      <c r="I2255" s="1">
        <v>44903</v>
      </c>
      <c r="J2255">
        <v>16.45</v>
      </c>
      <c r="K2255" s="1">
        <v>44798</v>
      </c>
      <c r="L2255">
        <v>108.47</v>
      </c>
    </row>
    <row r="2256" spans="1:12" x14ac:dyDescent="0.25">
      <c r="A2256" s="1">
        <v>44903</v>
      </c>
      <c r="B2256">
        <v>22.29</v>
      </c>
      <c r="C2256" s="1">
        <v>44910</v>
      </c>
      <c r="D2256">
        <v>21.73</v>
      </c>
      <c r="E2256" s="1">
        <v>44862</v>
      </c>
      <c r="F2256">
        <v>144.6</v>
      </c>
      <c r="G2256" s="1">
        <v>44904</v>
      </c>
      <c r="H2256">
        <v>46.93</v>
      </c>
      <c r="I2256" s="1">
        <v>44904</v>
      </c>
      <c r="J2256">
        <v>16.260000000000002</v>
      </c>
      <c r="K2256" s="1">
        <v>44799</v>
      </c>
      <c r="L2256">
        <v>108.803</v>
      </c>
    </row>
    <row r="2257" spans="1:12" x14ac:dyDescent="0.25">
      <c r="A2257" s="1">
        <v>44904</v>
      </c>
      <c r="B2257">
        <v>22.83</v>
      </c>
      <c r="C2257" s="1">
        <v>44911</v>
      </c>
      <c r="D2257">
        <v>20.94</v>
      </c>
      <c r="E2257" s="1">
        <v>44865</v>
      </c>
      <c r="F2257">
        <v>147.91999999999999</v>
      </c>
      <c r="G2257" s="1">
        <v>44907</v>
      </c>
      <c r="H2257">
        <v>44.99</v>
      </c>
      <c r="I2257" s="1">
        <v>44907</v>
      </c>
      <c r="J2257">
        <v>15.51</v>
      </c>
      <c r="K2257" s="1">
        <v>44802</v>
      </c>
      <c r="L2257">
        <v>108.83499999999999</v>
      </c>
    </row>
    <row r="2258" spans="1:12" x14ac:dyDescent="0.25">
      <c r="A2258" s="1">
        <v>44907</v>
      </c>
      <c r="B2258">
        <v>25</v>
      </c>
      <c r="C2258" s="1">
        <v>44914</v>
      </c>
      <c r="D2258">
        <v>21.17</v>
      </c>
      <c r="E2258" s="1">
        <v>44866</v>
      </c>
      <c r="F2258">
        <v>148.41999999999999</v>
      </c>
      <c r="G2258" s="1">
        <v>44908</v>
      </c>
      <c r="H2258">
        <v>43.37</v>
      </c>
      <c r="I2258" s="1">
        <v>44908</v>
      </c>
      <c r="J2258">
        <v>14.71</v>
      </c>
      <c r="K2258" s="1">
        <v>44803</v>
      </c>
      <c r="L2258">
        <v>108.773</v>
      </c>
    </row>
    <row r="2259" spans="1:12" x14ac:dyDescent="0.25">
      <c r="A2259" s="1">
        <v>44908</v>
      </c>
      <c r="B2259">
        <v>22.55</v>
      </c>
      <c r="C2259" s="1">
        <v>44915</v>
      </c>
      <c r="D2259">
        <v>21.65</v>
      </c>
      <c r="E2259" s="1">
        <v>44867</v>
      </c>
      <c r="F2259">
        <v>141.16999999999999</v>
      </c>
      <c r="G2259" s="1">
        <v>44909</v>
      </c>
      <c r="H2259">
        <v>41.82</v>
      </c>
      <c r="I2259" s="1">
        <v>44909</v>
      </c>
      <c r="J2259">
        <v>14.06</v>
      </c>
      <c r="K2259" s="1">
        <v>44804</v>
      </c>
      <c r="L2259">
        <v>108.7</v>
      </c>
    </row>
    <row r="2260" spans="1:12" x14ac:dyDescent="0.25">
      <c r="A2260" s="1">
        <v>44909</v>
      </c>
      <c r="B2260">
        <v>21.14</v>
      </c>
      <c r="C2260" s="1">
        <v>44916</v>
      </c>
      <c r="D2260">
        <v>20.77</v>
      </c>
      <c r="E2260" s="1">
        <v>44868</v>
      </c>
      <c r="F2260">
        <v>136.28</v>
      </c>
      <c r="G2260" s="1">
        <v>44910</v>
      </c>
      <c r="H2260">
        <v>43.7</v>
      </c>
      <c r="I2260" s="1">
        <v>44910</v>
      </c>
      <c r="J2260">
        <v>14.39</v>
      </c>
      <c r="K2260" s="1">
        <v>44805</v>
      </c>
      <c r="L2260">
        <v>109.691</v>
      </c>
    </row>
    <row r="2261" spans="1:12" x14ac:dyDescent="0.25">
      <c r="A2261" s="1">
        <v>44910</v>
      </c>
      <c r="B2261">
        <v>22.83</v>
      </c>
      <c r="C2261" s="1">
        <v>44917</v>
      </c>
      <c r="D2261">
        <v>22.1</v>
      </c>
      <c r="E2261" s="1">
        <v>44869</v>
      </c>
      <c r="F2261">
        <v>128.44</v>
      </c>
      <c r="G2261" s="1">
        <v>44911</v>
      </c>
      <c r="H2261">
        <v>42.29</v>
      </c>
      <c r="I2261" s="1">
        <v>44911</v>
      </c>
      <c r="J2261">
        <v>14.14</v>
      </c>
      <c r="K2261" s="1">
        <v>44806</v>
      </c>
      <c r="L2261">
        <v>109.53400000000001</v>
      </c>
    </row>
    <row r="2262" spans="1:12" x14ac:dyDescent="0.25">
      <c r="A2262" s="1">
        <v>44911</v>
      </c>
      <c r="B2262">
        <v>22.62</v>
      </c>
      <c r="C2262" s="1">
        <v>44918</v>
      </c>
      <c r="D2262">
        <v>22.22</v>
      </c>
      <c r="E2262" s="1">
        <v>44872</v>
      </c>
      <c r="F2262">
        <v>128.33000000000001</v>
      </c>
      <c r="G2262" s="1">
        <v>44914</v>
      </c>
      <c r="H2262">
        <v>42.47</v>
      </c>
      <c r="I2262" s="1">
        <v>44914</v>
      </c>
      <c r="J2262">
        <v>14.49</v>
      </c>
      <c r="K2262" s="1">
        <v>44809</v>
      </c>
      <c r="L2262">
        <v>109.53400000000001</v>
      </c>
    </row>
    <row r="2263" spans="1:12" x14ac:dyDescent="0.25">
      <c r="A2263" s="1">
        <v>44914</v>
      </c>
      <c r="B2263">
        <v>22.42</v>
      </c>
      <c r="C2263" s="1">
        <v>44922</v>
      </c>
      <c r="D2263">
        <v>23.55</v>
      </c>
      <c r="E2263" s="1">
        <v>44873</v>
      </c>
      <c r="F2263">
        <v>126.33</v>
      </c>
      <c r="G2263" s="1">
        <v>44915</v>
      </c>
      <c r="H2263">
        <v>41.79</v>
      </c>
      <c r="I2263" s="1">
        <v>44915</v>
      </c>
      <c r="J2263">
        <v>15.03</v>
      </c>
      <c r="K2263" s="1">
        <v>44810</v>
      </c>
      <c r="L2263">
        <v>110.214</v>
      </c>
    </row>
    <row r="2264" spans="1:12" x14ac:dyDescent="0.25">
      <c r="A2264" s="1">
        <v>44915</v>
      </c>
      <c r="B2264">
        <v>21.48</v>
      </c>
      <c r="C2264" s="1">
        <v>44923</v>
      </c>
      <c r="D2264">
        <v>24</v>
      </c>
      <c r="E2264" s="1">
        <v>44874</v>
      </c>
      <c r="F2264">
        <v>124.4</v>
      </c>
      <c r="G2264" s="1">
        <v>44916</v>
      </c>
      <c r="H2264">
        <v>41.18</v>
      </c>
      <c r="I2264" s="1">
        <v>44916</v>
      </c>
      <c r="J2264">
        <v>14.78</v>
      </c>
      <c r="K2264" s="1">
        <v>44811</v>
      </c>
      <c r="L2264">
        <v>109.84</v>
      </c>
    </row>
    <row r="2265" spans="1:12" x14ac:dyDescent="0.25">
      <c r="A2265" s="1">
        <v>44916</v>
      </c>
      <c r="B2265">
        <v>20.07</v>
      </c>
      <c r="C2265" s="1">
        <v>44924</v>
      </c>
      <c r="D2265">
        <v>24.1</v>
      </c>
      <c r="E2265" s="1">
        <v>44875</v>
      </c>
      <c r="F2265">
        <v>111.69</v>
      </c>
      <c r="G2265" s="1">
        <v>44917</v>
      </c>
      <c r="H2265">
        <v>41.8</v>
      </c>
      <c r="I2265" s="1">
        <v>44917</v>
      </c>
      <c r="J2265">
        <v>14.88</v>
      </c>
      <c r="K2265" s="1">
        <v>44812</v>
      </c>
      <c r="L2265">
        <v>109.70699999999999</v>
      </c>
    </row>
    <row r="2266" spans="1:12" x14ac:dyDescent="0.25">
      <c r="A2266" s="1">
        <v>44917</v>
      </c>
      <c r="B2266">
        <v>21.97</v>
      </c>
      <c r="C2266" s="1">
        <v>44925</v>
      </c>
      <c r="D2266">
        <v>24.21</v>
      </c>
      <c r="E2266" s="1">
        <v>44879</v>
      </c>
      <c r="F2266">
        <v>119.99</v>
      </c>
      <c r="G2266" s="1">
        <v>44918</v>
      </c>
      <c r="H2266">
        <v>41.21</v>
      </c>
      <c r="I2266" s="1">
        <v>44918</v>
      </c>
      <c r="J2266">
        <v>14.86</v>
      </c>
      <c r="K2266" s="1">
        <v>44813</v>
      </c>
      <c r="L2266">
        <v>109.003</v>
      </c>
    </row>
    <row r="2267" spans="1:12" x14ac:dyDescent="0.25">
      <c r="A2267" s="1">
        <v>44918</v>
      </c>
      <c r="B2267">
        <v>20.87</v>
      </c>
      <c r="C2267" s="1">
        <v>44929</v>
      </c>
      <c r="D2267">
        <v>24.51</v>
      </c>
      <c r="E2267" s="1">
        <v>44880</v>
      </c>
      <c r="F2267">
        <v>128.62</v>
      </c>
      <c r="G2267" s="1">
        <v>44922</v>
      </c>
      <c r="H2267">
        <v>43.5</v>
      </c>
      <c r="I2267" s="1">
        <v>44922</v>
      </c>
      <c r="J2267">
        <v>16.3</v>
      </c>
      <c r="K2267" s="1">
        <v>44816</v>
      </c>
      <c r="L2267">
        <v>108.33</v>
      </c>
    </row>
    <row r="2268" spans="1:12" x14ac:dyDescent="0.25">
      <c r="A2268" s="1">
        <v>44922</v>
      </c>
      <c r="B2268">
        <v>21.65</v>
      </c>
      <c r="C2268" s="1">
        <v>44930</v>
      </c>
      <c r="D2268">
        <v>24.48</v>
      </c>
      <c r="E2268" s="1">
        <v>44881</v>
      </c>
      <c r="F2268">
        <v>130.83000000000001</v>
      </c>
      <c r="G2268" s="1">
        <v>44923</v>
      </c>
      <c r="H2268">
        <v>43.95</v>
      </c>
      <c r="I2268" s="1">
        <v>44923</v>
      </c>
      <c r="J2268">
        <v>15.99</v>
      </c>
      <c r="K2268" s="1">
        <v>44817</v>
      </c>
      <c r="L2268">
        <v>109.815</v>
      </c>
    </row>
    <row r="2269" spans="1:12" x14ac:dyDescent="0.25">
      <c r="A2269" s="1">
        <v>44923</v>
      </c>
      <c r="B2269">
        <v>22.14</v>
      </c>
      <c r="C2269" s="1">
        <v>44931</v>
      </c>
      <c r="D2269">
        <v>23.83</v>
      </c>
      <c r="E2269" s="1">
        <v>44882</v>
      </c>
      <c r="F2269">
        <v>132.18</v>
      </c>
      <c r="G2269" s="1">
        <v>44924</v>
      </c>
      <c r="H2269">
        <v>42.6</v>
      </c>
      <c r="I2269" s="1">
        <v>44924</v>
      </c>
      <c r="J2269">
        <v>16.18</v>
      </c>
      <c r="K2269" s="1">
        <v>44818</v>
      </c>
      <c r="L2269">
        <v>109.658</v>
      </c>
    </row>
    <row r="2270" spans="1:12" x14ac:dyDescent="0.25">
      <c r="A2270" s="1">
        <v>44924</v>
      </c>
      <c r="B2270">
        <v>21.44</v>
      </c>
      <c r="C2270" s="1">
        <v>44932</v>
      </c>
      <c r="D2270">
        <v>22.7</v>
      </c>
      <c r="E2270" s="1">
        <v>44883</v>
      </c>
      <c r="F2270">
        <v>129.33000000000001</v>
      </c>
      <c r="G2270" s="1">
        <v>44925</v>
      </c>
      <c r="H2270">
        <v>41.26</v>
      </c>
      <c r="I2270" s="1">
        <v>44925</v>
      </c>
      <c r="J2270">
        <v>16.25</v>
      </c>
      <c r="K2270" s="1">
        <v>44819</v>
      </c>
      <c r="L2270">
        <v>109.739</v>
      </c>
    </row>
    <row r="2271" spans="1:12" x14ac:dyDescent="0.25">
      <c r="A2271" s="1">
        <v>44925</v>
      </c>
      <c r="B2271">
        <v>21.67</v>
      </c>
      <c r="C2271" s="1">
        <v>44935</v>
      </c>
      <c r="D2271">
        <v>23.28</v>
      </c>
      <c r="E2271" s="1">
        <v>44886</v>
      </c>
      <c r="F2271">
        <v>132.13</v>
      </c>
      <c r="G2271" s="1">
        <v>44929</v>
      </c>
      <c r="H2271">
        <v>44.14</v>
      </c>
      <c r="I2271" s="1">
        <v>44929</v>
      </c>
      <c r="J2271">
        <v>17.260000000000002</v>
      </c>
      <c r="K2271" s="1">
        <v>44820</v>
      </c>
      <c r="L2271">
        <v>109.764</v>
      </c>
    </row>
    <row r="2272" spans="1:12" x14ac:dyDescent="0.25">
      <c r="A2272" s="1">
        <v>44929</v>
      </c>
      <c r="B2272">
        <v>22.9</v>
      </c>
      <c r="C2272" s="1">
        <v>44936</v>
      </c>
      <c r="D2272">
        <v>21.78</v>
      </c>
      <c r="E2272" s="1">
        <v>44887</v>
      </c>
      <c r="F2272">
        <v>133.53</v>
      </c>
      <c r="G2272" s="1">
        <v>44930</v>
      </c>
      <c r="H2272">
        <v>45.83</v>
      </c>
      <c r="I2272" s="1">
        <v>44930</v>
      </c>
      <c r="J2272">
        <v>17.350000000000001</v>
      </c>
      <c r="K2272" s="1">
        <v>44823</v>
      </c>
      <c r="L2272">
        <v>109.73699999999999</v>
      </c>
    </row>
    <row r="2273" spans="1:12" x14ac:dyDescent="0.25">
      <c r="A2273" s="1">
        <v>44930</v>
      </c>
      <c r="B2273">
        <v>22.01</v>
      </c>
      <c r="C2273" s="1">
        <v>44937</v>
      </c>
      <c r="D2273">
        <v>22.68</v>
      </c>
      <c r="E2273" s="1">
        <v>44888</v>
      </c>
      <c r="F2273">
        <v>136.19999999999999</v>
      </c>
      <c r="G2273" s="1">
        <v>44931</v>
      </c>
      <c r="H2273">
        <v>43.93</v>
      </c>
      <c r="I2273" s="1">
        <v>44931</v>
      </c>
      <c r="J2273">
        <v>16.78</v>
      </c>
      <c r="K2273" s="1">
        <v>44824</v>
      </c>
      <c r="L2273">
        <v>110.215</v>
      </c>
    </row>
    <row r="2274" spans="1:12" x14ac:dyDescent="0.25">
      <c r="A2274" s="1">
        <v>44931</v>
      </c>
      <c r="B2274">
        <v>22.46</v>
      </c>
      <c r="C2274" s="1">
        <v>44938</v>
      </c>
      <c r="D2274">
        <v>20.62</v>
      </c>
      <c r="E2274" s="1">
        <v>44890</v>
      </c>
      <c r="F2274">
        <v>129.6</v>
      </c>
      <c r="G2274" s="1">
        <v>44932</v>
      </c>
      <c r="H2274">
        <v>42.94</v>
      </c>
      <c r="I2274" s="1">
        <v>44932</v>
      </c>
      <c r="J2274">
        <v>16.440000000000001</v>
      </c>
      <c r="K2274" s="1">
        <v>44825</v>
      </c>
      <c r="L2274">
        <v>110.642</v>
      </c>
    </row>
    <row r="2275" spans="1:12" x14ac:dyDescent="0.25">
      <c r="A2275" s="1">
        <v>44932</v>
      </c>
      <c r="B2275">
        <v>21.13</v>
      </c>
      <c r="C2275" s="1">
        <v>44939</v>
      </c>
      <c r="D2275">
        <v>18.850000000000001</v>
      </c>
      <c r="E2275" s="1">
        <v>44893</v>
      </c>
      <c r="F2275">
        <v>131.72999999999999</v>
      </c>
      <c r="G2275" s="1">
        <v>44935</v>
      </c>
      <c r="H2275">
        <v>42.75</v>
      </c>
      <c r="I2275" s="1">
        <v>44935</v>
      </c>
      <c r="J2275">
        <v>16.920000000000002</v>
      </c>
      <c r="K2275" s="1">
        <v>44826</v>
      </c>
      <c r="L2275">
        <v>111.35299999999999</v>
      </c>
    </row>
    <row r="2276" spans="1:12" x14ac:dyDescent="0.25">
      <c r="A2276" s="1">
        <v>44935</v>
      </c>
      <c r="B2276">
        <v>21.97</v>
      </c>
      <c r="C2276" s="1">
        <v>44943</v>
      </c>
      <c r="D2276">
        <v>19.7</v>
      </c>
      <c r="E2276" s="1">
        <v>44894</v>
      </c>
      <c r="F2276">
        <v>131.22999999999999</v>
      </c>
      <c r="G2276" s="1">
        <v>44936</v>
      </c>
      <c r="H2276">
        <v>41.6</v>
      </c>
      <c r="I2276" s="1">
        <v>44936</v>
      </c>
      <c r="J2276">
        <v>16.59</v>
      </c>
      <c r="K2276" s="1">
        <v>44827</v>
      </c>
      <c r="L2276">
        <v>113.19199999999999</v>
      </c>
    </row>
    <row r="2277" spans="1:12" x14ac:dyDescent="0.25">
      <c r="A2277" s="1">
        <v>44936</v>
      </c>
      <c r="B2277">
        <v>20.58</v>
      </c>
      <c r="C2277" s="1">
        <v>44944</v>
      </c>
      <c r="D2277">
        <v>21.24</v>
      </c>
      <c r="E2277" s="1">
        <v>44895</v>
      </c>
      <c r="F2277">
        <v>127.27</v>
      </c>
      <c r="G2277" s="1">
        <v>44937</v>
      </c>
      <c r="H2277">
        <v>41.19</v>
      </c>
      <c r="I2277" s="1">
        <v>44937</v>
      </c>
      <c r="J2277">
        <v>16.32</v>
      </c>
      <c r="K2277" s="1">
        <v>44830</v>
      </c>
      <c r="L2277">
        <v>114.10299999999999</v>
      </c>
    </row>
    <row r="2278" spans="1:12" x14ac:dyDescent="0.25">
      <c r="A2278" s="1">
        <v>44937</v>
      </c>
      <c r="B2278">
        <v>21.09</v>
      </c>
      <c r="C2278" s="1">
        <v>44945</v>
      </c>
      <c r="D2278">
        <v>19.05</v>
      </c>
      <c r="E2278" s="1">
        <v>44896</v>
      </c>
      <c r="F2278">
        <v>119.77</v>
      </c>
      <c r="G2278" s="1">
        <v>44938</v>
      </c>
      <c r="H2278">
        <v>39.28</v>
      </c>
      <c r="I2278" s="1">
        <v>44938</v>
      </c>
      <c r="J2278">
        <v>15.95</v>
      </c>
      <c r="K2278" s="1">
        <v>44831</v>
      </c>
      <c r="L2278">
        <v>114.10599999999999</v>
      </c>
    </row>
    <row r="2279" spans="1:12" x14ac:dyDescent="0.25">
      <c r="A2279" s="1">
        <v>44938</v>
      </c>
      <c r="B2279">
        <v>18.829999999999998</v>
      </c>
      <c r="C2279" s="1">
        <v>44946</v>
      </c>
      <c r="D2279">
        <v>19.52</v>
      </c>
      <c r="E2279" s="1">
        <v>44897</v>
      </c>
      <c r="F2279">
        <v>118.62</v>
      </c>
      <c r="G2279" s="1">
        <v>44939</v>
      </c>
      <c r="H2279">
        <v>38.19</v>
      </c>
      <c r="I2279" s="1">
        <v>44939</v>
      </c>
      <c r="J2279">
        <v>16.37</v>
      </c>
      <c r="K2279" s="1">
        <v>44832</v>
      </c>
      <c r="L2279">
        <v>112.604</v>
      </c>
    </row>
    <row r="2280" spans="1:12" x14ac:dyDescent="0.25">
      <c r="A2280" s="1">
        <v>44939</v>
      </c>
      <c r="B2280">
        <v>18.350000000000001</v>
      </c>
      <c r="C2280" s="1">
        <v>44949</v>
      </c>
      <c r="D2280">
        <v>20.58</v>
      </c>
      <c r="E2280" s="1">
        <v>44900</v>
      </c>
      <c r="F2280">
        <v>126.5</v>
      </c>
      <c r="G2280" s="1">
        <v>44943</v>
      </c>
      <c r="H2280">
        <v>40.1</v>
      </c>
      <c r="I2280" s="1">
        <v>44943</v>
      </c>
      <c r="J2280">
        <v>16.489999999999998</v>
      </c>
      <c r="K2280" s="1">
        <v>44833</v>
      </c>
      <c r="L2280">
        <v>112.254</v>
      </c>
    </row>
    <row r="2281" spans="1:12" x14ac:dyDescent="0.25">
      <c r="A2281" s="1">
        <v>44942</v>
      </c>
      <c r="B2281">
        <v>19.489999999999998</v>
      </c>
      <c r="C2281" s="1">
        <v>44950</v>
      </c>
      <c r="D2281">
        <v>19.760000000000002</v>
      </c>
      <c r="E2281" s="1">
        <v>44901</v>
      </c>
      <c r="F2281">
        <v>129.09</v>
      </c>
      <c r="G2281" s="1">
        <v>44944</v>
      </c>
      <c r="H2281">
        <v>39.25</v>
      </c>
      <c r="I2281" s="1">
        <v>44944</v>
      </c>
      <c r="J2281">
        <v>16.190000000000001</v>
      </c>
      <c r="K2281" s="1">
        <v>44834</v>
      </c>
      <c r="L2281">
        <v>112.117</v>
      </c>
    </row>
    <row r="2282" spans="1:12" x14ac:dyDescent="0.25">
      <c r="A2282" s="1">
        <v>44943</v>
      </c>
      <c r="B2282">
        <v>19.36</v>
      </c>
      <c r="C2282" s="1">
        <v>44951</v>
      </c>
      <c r="D2282">
        <v>19.690000000000001</v>
      </c>
      <c r="E2282" s="1">
        <v>44902</v>
      </c>
      <c r="F2282">
        <v>131.1</v>
      </c>
      <c r="G2282" s="1">
        <v>44945</v>
      </c>
      <c r="H2282">
        <v>39.020000000000003</v>
      </c>
      <c r="I2282" s="1">
        <v>44945</v>
      </c>
      <c r="J2282">
        <v>16.71</v>
      </c>
      <c r="K2282" s="1">
        <v>44837</v>
      </c>
      <c r="L2282">
        <v>111.745</v>
      </c>
    </row>
    <row r="2283" spans="1:12" x14ac:dyDescent="0.25">
      <c r="A2283" s="1">
        <v>44944</v>
      </c>
      <c r="B2283">
        <v>20.34</v>
      </c>
      <c r="C2283" s="1">
        <v>44952</v>
      </c>
      <c r="D2283">
        <v>19.68</v>
      </c>
      <c r="E2283" s="1">
        <v>44903</v>
      </c>
      <c r="F2283">
        <v>129.54</v>
      </c>
      <c r="G2283" s="1">
        <v>44946</v>
      </c>
      <c r="H2283">
        <v>37.81</v>
      </c>
      <c r="I2283" s="1">
        <v>44946</v>
      </c>
      <c r="J2283">
        <v>16.399999999999999</v>
      </c>
      <c r="K2283" s="1">
        <v>44838</v>
      </c>
      <c r="L2283">
        <v>110.065</v>
      </c>
    </row>
    <row r="2284" spans="1:12" x14ac:dyDescent="0.25">
      <c r="A2284" s="1">
        <v>44945</v>
      </c>
      <c r="B2284">
        <v>20.52</v>
      </c>
      <c r="C2284" s="1">
        <v>44953</v>
      </c>
      <c r="D2284">
        <v>19.29</v>
      </c>
      <c r="E2284" s="1">
        <v>44904</v>
      </c>
      <c r="F2284">
        <v>132.79</v>
      </c>
      <c r="G2284" s="1">
        <v>44949</v>
      </c>
      <c r="H2284">
        <v>37.299999999999997</v>
      </c>
      <c r="I2284" s="1">
        <v>44949</v>
      </c>
      <c r="J2284">
        <v>16.2</v>
      </c>
      <c r="K2284" s="1">
        <v>44839</v>
      </c>
      <c r="L2284">
        <v>111.208</v>
      </c>
    </row>
    <row r="2285" spans="1:12" x14ac:dyDescent="0.25">
      <c r="A2285" s="1">
        <v>44946</v>
      </c>
      <c r="B2285">
        <v>19.850000000000001</v>
      </c>
      <c r="C2285" s="1">
        <v>44956</v>
      </c>
      <c r="D2285">
        <v>21.43</v>
      </c>
      <c r="E2285" s="1">
        <v>44907</v>
      </c>
      <c r="F2285">
        <v>141.93</v>
      </c>
      <c r="G2285" s="1">
        <v>44950</v>
      </c>
      <c r="H2285">
        <v>38.26</v>
      </c>
      <c r="I2285" s="1">
        <v>44950</v>
      </c>
      <c r="J2285">
        <v>16.170000000000002</v>
      </c>
      <c r="K2285" s="1">
        <v>44840</v>
      </c>
      <c r="L2285">
        <v>112.258</v>
      </c>
    </row>
    <row r="2286" spans="1:12" x14ac:dyDescent="0.25">
      <c r="A2286" s="1">
        <v>44949</v>
      </c>
      <c r="B2286">
        <v>19.809999999999999</v>
      </c>
      <c r="C2286" s="1">
        <v>44957</v>
      </c>
      <c r="D2286">
        <v>21.11</v>
      </c>
      <c r="E2286" s="1">
        <v>44908</v>
      </c>
      <c r="F2286">
        <v>135.08000000000001</v>
      </c>
      <c r="G2286" s="1">
        <v>44951</v>
      </c>
      <c r="H2286">
        <v>38.54</v>
      </c>
      <c r="I2286" s="1">
        <v>44951</v>
      </c>
      <c r="J2286">
        <v>16.12</v>
      </c>
      <c r="K2286" s="1">
        <v>44841</v>
      </c>
      <c r="L2286">
        <v>112.795</v>
      </c>
    </row>
    <row r="2287" spans="1:12" x14ac:dyDescent="0.25">
      <c r="A2287" s="1">
        <v>44950</v>
      </c>
      <c r="B2287">
        <v>19.2</v>
      </c>
      <c r="C2287" s="1">
        <v>44958</v>
      </c>
      <c r="D2287">
        <v>20.56</v>
      </c>
      <c r="E2287" s="1">
        <v>44909</v>
      </c>
      <c r="F2287">
        <v>120.26</v>
      </c>
      <c r="G2287" s="1">
        <v>44952</v>
      </c>
      <c r="H2287">
        <v>38.119999999999997</v>
      </c>
      <c r="I2287" s="1">
        <v>44952</v>
      </c>
      <c r="J2287">
        <v>15.59</v>
      </c>
      <c r="K2287" s="1">
        <v>44844</v>
      </c>
      <c r="L2287">
        <v>113.14400000000001</v>
      </c>
    </row>
    <row r="2288" spans="1:12" x14ac:dyDescent="0.25">
      <c r="A2288" s="1">
        <v>44951</v>
      </c>
      <c r="B2288">
        <v>19.079999999999998</v>
      </c>
      <c r="C2288" s="1">
        <v>44959</v>
      </c>
      <c r="D2288">
        <v>19.78</v>
      </c>
      <c r="E2288" s="1">
        <v>44910</v>
      </c>
      <c r="F2288">
        <v>111.26</v>
      </c>
      <c r="G2288" s="1">
        <v>44953</v>
      </c>
      <c r="H2288">
        <v>38.6</v>
      </c>
      <c r="I2288" s="1">
        <v>44953</v>
      </c>
      <c r="J2288">
        <v>15.23</v>
      </c>
      <c r="K2288" s="1">
        <v>44845</v>
      </c>
      <c r="L2288">
        <v>113.221</v>
      </c>
    </row>
    <row r="2289" spans="1:12" x14ac:dyDescent="0.25">
      <c r="A2289" s="1">
        <v>44952</v>
      </c>
      <c r="B2289">
        <v>18.73</v>
      </c>
      <c r="C2289" s="1">
        <v>44960</v>
      </c>
      <c r="D2289">
        <v>20.64</v>
      </c>
      <c r="E2289" s="1">
        <v>44911</v>
      </c>
      <c r="F2289">
        <v>113.65</v>
      </c>
      <c r="G2289" s="1">
        <v>44956</v>
      </c>
      <c r="H2289">
        <v>40.18</v>
      </c>
      <c r="I2289" s="1">
        <v>44956</v>
      </c>
      <c r="J2289">
        <v>15.59</v>
      </c>
      <c r="K2289" s="1">
        <v>44846</v>
      </c>
      <c r="L2289">
        <v>113.32</v>
      </c>
    </row>
    <row r="2290" spans="1:12" x14ac:dyDescent="0.25">
      <c r="A2290" s="1">
        <v>44953</v>
      </c>
      <c r="B2290">
        <v>18.510000000000002</v>
      </c>
      <c r="C2290" s="1">
        <v>44963</v>
      </c>
      <c r="D2290">
        <v>21.46</v>
      </c>
      <c r="E2290" s="1">
        <v>44914</v>
      </c>
      <c r="F2290">
        <v>118.32</v>
      </c>
      <c r="G2290" s="1">
        <v>44957</v>
      </c>
      <c r="H2290">
        <v>38.549999999999997</v>
      </c>
      <c r="I2290" s="1">
        <v>44957</v>
      </c>
      <c r="J2290">
        <v>15.75</v>
      </c>
      <c r="K2290" s="1">
        <v>44847</v>
      </c>
      <c r="L2290">
        <v>112.363</v>
      </c>
    </row>
    <row r="2291" spans="1:12" x14ac:dyDescent="0.25">
      <c r="A2291" s="1">
        <v>44956</v>
      </c>
      <c r="B2291">
        <v>19.940000000000001</v>
      </c>
      <c r="C2291" s="1">
        <v>44964</v>
      </c>
      <c r="D2291">
        <v>20.51</v>
      </c>
      <c r="E2291" s="1">
        <v>44915</v>
      </c>
      <c r="F2291">
        <v>119.92</v>
      </c>
      <c r="G2291" s="1">
        <v>44958</v>
      </c>
      <c r="H2291">
        <v>37.99</v>
      </c>
      <c r="I2291" s="1">
        <v>44958</v>
      </c>
      <c r="J2291">
        <v>15.22</v>
      </c>
      <c r="K2291" s="1">
        <v>44848</v>
      </c>
      <c r="L2291">
        <v>113.31100000000001</v>
      </c>
    </row>
    <row r="2292" spans="1:12" x14ac:dyDescent="0.25">
      <c r="A2292" s="1">
        <v>44957</v>
      </c>
      <c r="B2292">
        <v>19.399999999999999</v>
      </c>
      <c r="C2292" s="1">
        <v>44965</v>
      </c>
      <c r="D2292">
        <v>20.86</v>
      </c>
      <c r="E2292" s="1">
        <v>44916</v>
      </c>
      <c r="F2292">
        <v>115</v>
      </c>
      <c r="G2292" s="1">
        <v>44959</v>
      </c>
      <c r="H2292">
        <v>38.49</v>
      </c>
      <c r="I2292" s="1">
        <v>44959</v>
      </c>
      <c r="J2292">
        <v>15.14</v>
      </c>
      <c r="K2292" s="1">
        <v>44851</v>
      </c>
      <c r="L2292">
        <v>112.039</v>
      </c>
    </row>
    <row r="2293" spans="1:12" x14ac:dyDescent="0.25">
      <c r="A2293" s="1">
        <v>44958</v>
      </c>
      <c r="B2293">
        <v>17.87</v>
      </c>
      <c r="C2293" s="1">
        <v>44966</v>
      </c>
      <c r="D2293">
        <v>21.14</v>
      </c>
      <c r="E2293" s="1">
        <v>44917</v>
      </c>
      <c r="F2293">
        <v>112.05</v>
      </c>
      <c r="G2293" s="1">
        <v>44960</v>
      </c>
      <c r="H2293">
        <v>39.479999999999997</v>
      </c>
      <c r="I2293" s="1">
        <v>44960</v>
      </c>
      <c r="J2293">
        <v>15.06</v>
      </c>
      <c r="K2293" s="1">
        <v>44852</v>
      </c>
      <c r="L2293">
        <v>112.13</v>
      </c>
    </row>
    <row r="2294" spans="1:12" x14ac:dyDescent="0.25">
      <c r="A2294" s="1">
        <v>44959</v>
      </c>
      <c r="B2294">
        <v>18.73</v>
      </c>
      <c r="C2294" s="1">
        <v>44967</v>
      </c>
      <c r="D2294">
        <v>21.55</v>
      </c>
      <c r="E2294" s="1">
        <v>44918</v>
      </c>
      <c r="F2294">
        <v>113.17</v>
      </c>
      <c r="G2294" s="1">
        <v>44963</v>
      </c>
      <c r="H2294">
        <v>38.92</v>
      </c>
      <c r="I2294" s="1">
        <v>44963</v>
      </c>
      <c r="J2294">
        <v>15.81</v>
      </c>
      <c r="K2294" s="1">
        <v>44853</v>
      </c>
      <c r="L2294">
        <v>112.98399999999999</v>
      </c>
    </row>
    <row r="2295" spans="1:12" x14ac:dyDescent="0.25">
      <c r="A2295" s="1">
        <v>44960</v>
      </c>
      <c r="B2295">
        <v>18.329999999999998</v>
      </c>
      <c r="C2295" s="1">
        <v>44970</v>
      </c>
      <c r="D2295">
        <v>22.29</v>
      </c>
      <c r="E2295" s="1">
        <v>44922</v>
      </c>
      <c r="F2295">
        <v>124.89</v>
      </c>
      <c r="G2295" s="1">
        <v>44964</v>
      </c>
      <c r="H2295">
        <v>37.31</v>
      </c>
      <c r="I2295" s="1">
        <v>44964</v>
      </c>
      <c r="J2295">
        <v>15.62</v>
      </c>
      <c r="K2295" s="1">
        <v>44854</v>
      </c>
      <c r="L2295">
        <v>112.881</v>
      </c>
    </row>
    <row r="2296" spans="1:12" x14ac:dyDescent="0.25">
      <c r="A2296" s="1">
        <v>44963</v>
      </c>
      <c r="B2296">
        <v>19.43</v>
      </c>
      <c r="C2296" s="1">
        <v>44971</v>
      </c>
      <c r="D2296">
        <v>19.78</v>
      </c>
      <c r="E2296" s="1">
        <v>44923</v>
      </c>
      <c r="F2296">
        <v>120.07</v>
      </c>
      <c r="G2296" s="1">
        <v>44965</v>
      </c>
      <c r="H2296">
        <v>37.020000000000003</v>
      </c>
      <c r="I2296" s="1">
        <v>44965</v>
      </c>
      <c r="J2296">
        <v>15.46</v>
      </c>
      <c r="K2296" s="1">
        <v>44855</v>
      </c>
      <c r="L2296">
        <v>112.012</v>
      </c>
    </row>
    <row r="2297" spans="1:12" x14ac:dyDescent="0.25">
      <c r="A2297" s="1">
        <v>44964</v>
      </c>
      <c r="B2297">
        <v>18.66</v>
      </c>
      <c r="C2297" s="1">
        <v>44972</v>
      </c>
      <c r="D2297">
        <v>19.14</v>
      </c>
      <c r="E2297" s="1">
        <v>44924</v>
      </c>
      <c r="F2297">
        <v>120.25</v>
      </c>
      <c r="G2297" s="1">
        <v>44966</v>
      </c>
      <c r="H2297">
        <v>35.75</v>
      </c>
      <c r="I2297" s="1">
        <v>44966</v>
      </c>
      <c r="J2297">
        <v>15.52</v>
      </c>
      <c r="K2297" s="1">
        <v>44858</v>
      </c>
      <c r="L2297">
        <v>111.989</v>
      </c>
    </row>
    <row r="2298" spans="1:12" x14ac:dyDescent="0.25">
      <c r="A2298" s="1">
        <v>44965</v>
      </c>
      <c r="B2298">
        <v>19.63</v>
      </c>
      <c r="C2298" s="1">
        <v>44973</v>
      </c>
      <c r="D2298">
        <v>19.77</v>
      </c>
      <c r="E2298" s="1">
        <v>44925</v>
      </c>
      <c r="F2298">
        <v>121.61</v>
      </c>
      <c r="G2298" s="1">
        <v>44967</v>
      </c>
      <c r="H2298">
        <v>35.89</v>
      </c>
      <c r="I2298" s="1">
        <v>44967</v>
      </c>
      <c r="J2298">
        <v>15.46</v>
      </c>
      <c r="K2298" s="1">
        <v>44859</v>
      </c>
      <c r="L2298">
        <v>110.95</v>
      </c>
    </row>
    <row r="2299" spans="1:12" x14ac:dyDescent="0.25">
      <c r="A2299" s="1">
        <v>44966</v>
      </c>
      <c r="B2299">
        <v>20.71</v>
      </c>
      <c r="C2299" s="1">
        <v>44974</v>
      </c>
      <c r="D2299">
        <v>19.47</v>
      </c>
      <c r="E2299" s="1">
        <v>44929</v>
      </c>
      <c r="F2299">
        <v>129.97</v>
      </c>
      <c r="G2299" s="1">
        <v>44970</v>
      </c>
      <c r="H2299">
        <v>37.770000000000003</v>
      </c>
      <c r="I2299" s="1">
        <v>44970</v>
      </c>
      <c r="J2299">
        <v>15.58</v>
      </c>
      <c r="K2299" s="1">
        <v>44860</v>
      </c>
      <c r="L2299">
        <v>109.7</v>
      </c>
    </row>
    <row r="2300" spans="1:12" x14ac:dyDescent="0.25">
      <c r="A2300" s="1">
        <v>44967</v>
      </c>
      <c r="B2300">
        <v>20.53</v>
      </c>
      <c r="C2300" s="1">
        <v>44978</v>
      </c>
      <c r="D2300">
        <v>22.48</v>
      </c>
      <c r="E2300" s="1">
        <v>44930</v>
      </c>
      <c r="F2300">
        <v>125.78</v>
      </c>
      <c r="G2300" s="1">
        <v>44971</v>
      </c>
      <c r="H2300">
        <v>36.67</v>
      </c>
      <c r="I2300" s="1">
        <v>44971</v>
      </c>
      <c r="J2300">
        <v>14.88</v>
      </c>
      <c r="K2300" s="1">
        <v>44861</v>
      </c>
      <c r="L2300">
        <v>110.587</v>
      </c>
    </row>
    <row r="2301" spans="1:12" x14ac:dyDescent="0.25">
      <c r="A2301" s="1">
        <v>44970</v>
      </c>
      <c r="B2301">
        <v>20.34</v>
      </c>
      <c r="C2301" s="1">
        <v>44979</v>
      </c>
      <c r="D2301">
        <v>21.51</v>
      </c>
      <c r="E2301" s="1">
        <v>44931</v>
      </c>
      <c r="F2301">
        <v>119.53</v>
      </c>
      <c r="G2301" s="1">
        <v>44972</v>
      </c>
      <c r="H2301">
        <v>35.700000000000003</v>
      </c>
      <c r="I2301" s="1">
        <v>44972</v>
      </c>
      <c r="J2301">
        <v>14.9</v>
      </c>
      <c r="K2301" s="1">
        <v>44862</v>
      </c>
      <c r="L2301">
        <v>110.752</v>
      </c>
    </row>
    <row r="2302" spans="1:12" x14ac:dyDescent="0.25">
      <c r="A2302" s="1">
        <v>44971</v>
      </c>
      <c r="B2302">
        <v>18.91</v>
      </c>
      <c r="C2302" s="1">
        <v>44980</v>
      </c>
      <c r="D2302">
        <v>19.52</v>
      </c>
      <c r="E2302" s="1">
        <v>44932</v>
      </c>
      <c r="F2302">
        <v>113.87</v>
      </c>
      <c r="G2302" s="1">
        <v>44973</v>
      </c>
      <c r="H2302">
        <v>35.03</v>
      </c>
      <c r="I2302" s="1">
        <v>44973</v>
      </c>
      <c r="J2302">
        <v>14.92</v>
      </c>
      <c r="K2302" s="1">
        <v>44865</v>
      </c>
      <c r="L2302">
        <v>111.527</v>
      </c>
    </row>
    <row r="2303" spans="1:12" x14ac:dyDescent="0.25">
      <c r="A2303" s="1">
        <v>44972</v>
      </c>
      <c r="B2303">
        <v>18.23</v>
      </c>
      <c r="C2303" s="1">
        <v>44981</v>
      </c>
      <c r="D2303">
        <v>21.63</v>
      </c>
      <c r="E2303" s="1">
        <v>44935</v>
      </c>
      <c r="F2303">
        <v>116.67</v>
      </c>
      <c r="G2303" s="1">
        <v>44974</v>
      </c>
      <c r="H2303">
        <v>36.04</v>
      </c>
      <c r="I2303" s="1">
        <v>44974</v>
      </c>
      <c r="J2303">
        <v>14.69</v>
      </c>
      <c r="K2303" s="1">
        <v>44866</v>
      </c>
      <c r="L2303">
        <v>111.48099999999999</v>
      </c>
    </row>
    <row r="2304" spans="1:12" x14ac:dyDescent="0.25">
      <c r="A2304" s="1">
        <v>44973</v>
      </c>
      <c r="B2304">
        <v>20.170000000000002</v>
      </c>
      <c r="C2304" s="1">
        <v>44984</v>
      </c>
      <c r="D2304">
        <v>20.23</v>
      </c>
      <c r="E2304" s="1">
        <v>44936</v>
      </c>
      <c r="F2304">
        <v>119.52</v>
      </c>
      <c r="G2304" s="1">
        <v>44978</v>
      </c>
      <c r="H2304">
        <v>37.049999999999997</v>
      </c>
      <c r="I2304" s="1">
        <v>44978</v>
      </c>
      <c r="J2304">
        <v>15.48</v>
      </c>
      <c r="K2304" s="1">
        <v>44867</v>
      </c>
      <c r="L2304">
        <v>111.345</v>
      </c>
    </row>
    <row r="2305" spans="1:12" x14ac:dyDescent="0.25">
      <c r="A2305" s="1">
        <v>44974</v>
      </c>
      <c r="B2305">
        <v>20.02</v>
      </c>
      <c r="C2305" s="1">
        <v>44985</v>
      </c>
      <c r="D2305">
        <v>20.18</v>
      </c>
      <c r="E2305" s="1">
        <v>44937</v>
      </c>
      <c r="F2305">
        <v>115.17</v>
      </c>
      <c r="G2305" s="1">
        <v>44979</v>
      </c>
      <c r="H2305">
        <v>38.36</v>
      </c>
      <c r="I2305" s="1">
        <v>44979</v>
      </c>
      <c r="J2305">
        <v>15.05</v>
      </c>
      <c r="K2305" s="1">
        <v>44868</v>
      </c>
      <c r="L2305">
        <v>112.93</v>
      </c>
    </row>
    <row r="2306" spans="1:12" x14ac:dyDescent="0.25">
      <c r="A2306" s="1">
        <v>44977</v>
      </c>
      <c r="B2306">
        <v>21.23</v>
      </c>
      <c r="C2306" s="1">
        <v>44986</v>
      </c>
      <c r="D2306">
        <v>20.12</v>
      </c>
      <c r="E2306" s="1">
        <v>44938</v>
      </c>
      <c r="F2306">
        <v>112.34</v>
      </c>
      <c r="G2306" s="1">
        <v>44980</v>
      </c>
      <c r="H2306">
        <v>36.69</v>
      </c>
      <c r="I2306" s="1">
        <v>44980</v>
      </c>
      <c r="J2306">
        <v>14.84</v>
      </c>
      <c r="K2306" s="1">
        <v>44869</v>
      </c>
      <c r="L2306">
        <v>110.877</v>
      </c>
    </row>
    <row r="2307" spans="1:12" x14ac:dyDescent="0.25">
      <c r="A2307" s="1">
        <v>44978</v>
      </c>
      <c r="B2307">
        <v>22.87</v>
      </c>
      <c r="C2307" s="1">
        <v>44987</v>
      </c>
      <c r="D2307">
        <v>20.04</v>
      </c>
      <c r="E2307" s="1">
        <v>44939</v>
      </c>
      <c r="F2307">
        <v>113.55</v>
      </c>
      <c r="G2307" s="1">
        <v>44981</v>
      </c>
      <c r="H2307">
        <v>37.25</v>
      </c>
      <c r="I2307" s="1">
        <v>44981</v>
      </c>
      <c r="J2307">
        <v>14.56</v>
      </c>
      <c r="K2307" s="1">
        <v>44872</v>
      </c>
      <c r="L2307">
        <v>110.12</v>
      </c>
    </row>
    <row r="2308" spans="1:12" x14ac:dyDescent="0.25">
      <c r="A2308" s="1">
        <v>44979</v>
      </c>
      <c r="B2308">
        <v>22.29</v>
      </c>
      <c r="C2308" s="1">
        <v>44988</v>
      </c>
      <c r="D2308">
        <v>19.45</v>
      </c>
      <c r="E2308" s="1">
        <v>44943</v>
      </c>
      <c r="F2308">
        <v>122.27</v>
      </c>
      <c r="G2308" s="1">
        <v>44984</v>
      </c>
      <c r="H2308">
        <v>37.549999999999997</v>
      </c>
      <c r="I2308" s="1">
        <v>44984</v>
      </c>
      <c r="J2308">
        <v>14.35</v>
      </c>
      <c r="K2308" s="1">
        <v>44873</v>
      </c>
      <c r="L2308">
        <v>109.636</v>
      </c>
    </row>
    <row r="2309" spans="1:12" x14ac:dyDescent="0.25">
      <c r="A2309" s="1">
        <v>44980</v>
      </c>
      <c r="B2309">
        <v>21.14</v>
      </c>
      <c r="C2309" s="1">
        <v>44991</v>
      </c>
      <c r="D2309">
        <v>19.760000000000002</v>
      </c>
      <c r="E2309" s="1">
        <v>44944</v>
      </c>
      <c r="F2309">
        <v>112.61</v>
      </c>
      <c r="G2309" s="1">
        <v>44985</v>
      </c>
      <c r="H2309">
        <v>35.42</v>
      </c>
      <c r="I2309" s="1">
        <v>44985</v>
      </c>
      <c r="J2309">
        <v>14.17</v>
      </c>
      <c r="K2309" s="1">
        <v>44874</v>
      </c>
      <c r="L2309">
        <v>110.54900000000001</v>
      </c>
    </row>
    <row r="2310" spans="1:12" x14ac:dyDescent="0.25">
      <c r="A2310" s="1">
        <v>44981</v>
      </c>
      <c r="B2310">
        <v>21.67</v>
      </c>
      <c r="C2310" s="1">
        <v>44992</v>
      </c>
      <c r="D2310">
        <v>20.11</v>
      </c>
      <c r="E2310" s="1">
        <v>44945</v>
      </c>
      <c r="F2310">
        <v>114.53</v>
      </c>
      <c r="G2310" s="1">
        <v>44986</v>
      </c>
      <c r="H2310">
        <v>36.630000000000003</v>
      </c>
      <c r="I2310" s="1">
        <v>44986</v>
      </c>
      <c r="J2310">
        <v>14.16</v>
      </c>
      <c r="K2310" s="1">
        <v>44875</v>
      </c>
      <c r="L2310">
        <v>108.206</v>
      </c>
    </row>
    <row r="2311" spans="1:12" x14ac:dyDescent="0.25">
      <c r="A2311" s="1">
        <v>44984</v>
      </c>
      <c r="B2311">
        <v>20.95</v>
      </c>
      <c r="C2311" s="1">
        <v>44993</v>
      </c>
      <c r="D2311">
        <v>19.97</v>
      </c>
      <c r="E2311" s="1">
        <v>44946</v>
      </c>
      <c r="F2311">
        <v>114.76</v>
      </c>
      <c r="G2311" s="1">
        <v>44987</v>
      </c>
      <c r="H2311">
        <v>35.61</v>
      </c>
      <c r="I2311" s="1">
        <v>44987</v>
      </c>
      <c r="J2311">
        <v>13.94</v>
      </c>
      <c r="K2311" s="1">
        <v>44876</v>
      </c>
      <c r="L2311">
        <v>106.292</v>
      </c>
    </row>
    <row r="2312" spans="1:12" x14ac:dyDescent="0.25">
      <c r="A2312" s="1">
        <v>44985</v>
      </c>
      <c r="B2312">
        <v>20.7</v>
      </c>
      <c r="C2312" s="1">
        <v>44994</v>
      </c>
      <c r="D2312">
        <v>23.21</v>
      </c>
      <c r="E2312" s="1">
        <v>44949</v>
      </c>
      <c r="F2312">
        <v>114.69</v>
      </c>
      <c r="G2312" s="1">
        <v>44988</v>
      </c>
      <c r="H2312">
        <v>35.200000000000003</v>
      </c>
      <c r="I2312" s="1">
        <v>44988</v>
      </c>
      <c r="J2312">
        <v>13.93</v>
      </c>
      <c r="K2312" s="1">
        <v>44879</v>
      </c>
      <c r="L2312">
        <v>106.66</v>
      </c>
    </row>
    <row r="2313" spans="1:12" x14ac:dyDescent="0.25">
      <c r="A2313" s="1">
        <v>44986</v>
      </c>
      <c r="B2313">
        <v>20.58</v>
      </c>
      <c r="C2313" s="1">
        <v>44995</v>
      </c>
      <c r="D2313">
        <v>24.3</v>
      </c>
      <c r="E2313" s="1">
        <v>44950</v>
      </c>
      <c r="F2313">
        <v>112.76</v>
      </c>
      <c r="G2313" s="1">
        <v>44991</v>
      </c>
      <c r="H2313">
        <v>33.03</v>
      </c>
      <c r="I2313" s="1">
        <v>44991</v>
      </c>
      <c r="J2313">
        <v>14.24</v>
      </c>
      <c r="K2313" s="1">
        <v>44880</v>
      </c>
      <c r="L2313">
        <v>106.404</v>
      </c>
    </row>
    <row r="2314" spans="1:12" x14ac:dyDescent="0.25">
      <c r="A2314" s="1">
        <v>44987</v>
      </c>
      <c r="B2314">
        <v>19.59</v>
      </c>
      <c r="C2314" s="1">
        <v>44998</v>
      </c>
      <c r="D2314">
        <v>22.7</v>
      </c>
      <c r="E2314" s="1">
        <v>44951</v>
      </c>
      <c r="F2314">
        <v>107.74</v>
      </c>
      <c r="G2314" s="1">
        <v>44992</v>
      </c>
      <c r="H2314">
        <v>33.76</v>
      </c>
      <c r="I2314" s="1">
        <v>44992</v>
      </c>
      <c r="J2314">
        <v>14.2</v>
      </c>
      <c r="K2314" s="1">
        <v>44881</v>
      </c>
      <c r="L2314">
        <v>106.28100000000001</v>
      </c>
    </row>
    <row r="2315" spans="1:12" x14ac:dyDescent="0.25">
      <c r="A2315" s="1">
        <v>44988</v>
      </c>
      <c r="B2315">
        <v>18.489999999999998</v>
      </c>
      <c r="C2315" s="1">
        <v>44999</v>
      </c>
      <c r="D2315">
        <v>16.989999999999998</v>
      </c>
      <c r="E2315" s="1">
        <v>44952</v>
      </c>
      <c r="F2315">
        <v>104.28</v>
      </c>
      <c r="G2315" s="1">
        <v>44993</v>
      </c>
      <c r="H2315">
        <v>33.39</v>
      </c>
      <c r="I2315" s="1">
        <v>44993</v>
      </c>
      <c r="J2315">
        <v>13.79</v>
      </c>
      <c r="K2315" s="1">
        <v>44882</v>
      </c>
      <c r="L2315">
        <v>106.694</v>
      </c>
    </row>
    <row r="2316" spans="1:12" x14ac:dyDescent="0.25">
      <c r="A2316" s="1">
        <v>44991</v>
      </c>
      <c r="B2316">
        <v>18.61</v>
      </c>
      <c r="C2316" s="1">
        <v>45000</v>
      </c>
      <c r="D2316">
        <v>24.71</v>
      </c>
      <c r="E2316" s="1">
        <v>44953</v>
      </c>
      <c r="F2316">
        <v>100.7</v>
      </c>
      <c r="G2316" s="1">
        <v>44994</v>
      </c>
      <c r="H2316">
        <v>34.86</v>
      </c>
      <c r="I2316" s="1">
        <v>44994</v>
      </c>
      <c r="J2316">
        <v>14.3</v>
      </c>
      <c r="K2316" s="1">
        <v>44883</v>
      </c>
      <c r="L2316">
        <v>106.93</v>
      </c>
    </row>
    <row r="2317" spans="1:12" x14ac:dyDescent="0.25">
      <c r="A2317" s="1">
        <v>44992</v>
      </c>
      <c r="B2317">
        <v>19.59</v>
      </c>
      <c r="C2317" s="1">
        <v>45001</v>
      </c>
      <c r="D2317">
        <v>20.05</v>
      </c>
      <c r="E2317" s="1">
        <v>44956</v>
      </c>
      <c r="F2317">
        <v>103.77</v>
      </c>
      <c r="G2317" s="1">
        <v>44995</v>
      </c>
      <c r="H2317">
        <v>36.76</v>
      </c>
      <c r="I2317" s="1">
        <v>44995</v>
      </c>
      <c r="J2317">
        <v>16.57</v>
      </c>
      <c r="K2317" s="1">
        <v>44886</v>
      </c>
      <c r="L2317">
        <v>107.83499999999999</v>
      </c>
    </row>
    <row r="2318" spans="1:12" x14ac:dyDescent="0.25">
      <c r="A2318" s="1">
        <v>44993</v>
      </c>
      <c r="B2318">
        <v>19.11</v>
      </c>
      <c r="C2318" s="1">
        <v>45002</v>
      </c>
      <c r="D2318">
        <v>22.46</v>
      </c>
      <c r="E2318" s="1">
        <v>44957</v>
      </c>
      <c r="F2318">
        <v>99.54</v>
      </c>
      <c r="G2318" s="1">
        <v>44998</v>
      </c>
      <c r="H2318">
        <v>38.130000000000003</v>
      </c>
      <c r="I2318" s="1">
        <v>44998</v>
      </c>
      <c r="J2318">
        <v>20</v>
      </c>
      <c r="K2318" s="1">
        <v>44887</v>
      </c>
      <c r="L2318">
        <v>107.22199999999999</v>
      </c>
    </row>
    <row r="2319" spans="1:12" x14ac:dyDescent="0.25">
      <c r="A2319" s="1">
        <v>44994</v>
      </c>
      <c r="B2319">
        <v>22.61</v>
      </c>
      <c r="C2319" s="1">
        <v>45005</v>
      </c>
      <c r="D2319">
        <v>21.62</v>
      </c>
      <c r="E2319" s="1">
        <v>44958</v>
      </c>
      <c r="F2319">
        <v>97.33</v>
      </c>
      <c r="G2319" s="1">
        <v>44999</v>
      </c>
      <c r="H2319">
        <v>47.41</v>
      </c>
      <c r="I2319" s="1">
        <v>44999</v>
      </c>
      <c r="J2319">
        <v>17.95</v>
      </c>
      <c r="K2319" s="1">
        <v>44888</v>
      </c>
      <c r="L2319">
        <v>106.07599999999999</v>
      </c>
    </row>
    <row r="2320" spans="1:12" x14ac:dyDescent="0.25">
      <c r="A2320" s="1">
        <v>44995</v>
      </c>
      <c r="B2320">
        <v>24.8</v>
      </c>
      <c r="C2320" s="1">
        <v>45006</v>
      </c>
      <c r="D2320">
        <v>20.87</v>
      </c>
      <c r="E2320" s="1">
        <v>44959</v>
      </c>
      <c r="F2320">
        <v>97.76</v>
      </c>
      <c r="G2320" s="1">
        <v>45000</v>
      </c>
      <c r="H2320">
        <v>49.78</v>
      </c>
      <c r="I2320" s="1">
        <v>45000</v>
      </c>
      <c r="J2320">
        <v>19.75</v>
      </c>
      <c r="K2320" s="1">
        <v>44889</v>
      </c>
      <c r="L2320">
        <v>106.07599999999999</v>
      </c>
    </row>
    <row r="2321" spans="1:12" x14ac:dyDescent="0.25">
      <c r="A2321" s="1">
        <v>44998</v>
      </c>
      <c r="B2321">
        <v>26.52</v>
      </c>
      <c r="C2321" s="1">
        <v>45007</v>
      </c>
      <c r="D2321">
        <v>20.149999999999999</v>
      </c>
      <c r="E2321" s="1">
        <v>44960</v>
      </c>
      <c r="F2321">
        <v>98.99</v>
      </c>
      <c r="G2321" s="1">
        <v>45001</v>
      </c>
      <c r="H2321">
        <v>48.65</v>
      </c>
      <c r="I2321" s="1">
        <v>45001</v>
      </c>
      <c r="J2321">
        <v>17.38</v>
      </c>
      <c r="K2321" s="1">
        <v>44890</v>
      </c>
      <c r="L2321">
        <v>105.959</v>
      </c>
    </row>
    <row r="2322" spans="1:12" x14ac:dyDescent="0.25">
      <c r="A2322" s="1">
        <v>44999</v>
      </c>
      <c r="B2322">
        <v>23.73</v>
      </c>
      <c r="C2322" s="1">
        <v>45008</v>
      </c>
      <c r="D2322">
        <v>21.34</v>
      </c>
      <c r="E2322" s="1">
        <v>44963</v>
      </c>
      <c r="F2322">
        <v>105.63</v>
      </c>
      <c r="G2322" s="1">
        <v>45002</v>
      </c>
      <c r="H2322">
        <v>51.48</v>
      </c>
      <c r="I2322" s="1">
        <v>45002</v>
      </c>
      <c r="J2322">
        <v>22.83</v>
      </c>
      <c r="K2322" s="1">
        <v>44893</v>
      </c>
      <c r="L2322">
        <v>106.681</v>
      </c>
    </row>
    <row r="2323" spans="1:12" x14ac:dyDescent="0.25">
      <c r="A2323" s="1">
        <v>45000</v>
      </c>
      <c r="B2323">
        <v>26.14</v>
      </c>
      <c r="C2323" s="1">
        <v>45009</v>
      </c>
      <c r="D2323">
        <v>20.84</v>
      </c>
      <c r="E2323" s="1">
        <v>44964</v>
      </c>
      <c r="F2323">
        <v>103.15</v>
      </c>
      <c r="G2323" s="1">
        <v>45005</v>
      </c>
      <c r="H2323">
        <v>51.14</v>
      </c>
      <c r="I2323" s="1">
        <v>45005</v>
      </c>
      <c r="J2323">
        <v>21.4</v>
      </c>
      <c r="K2323" s="1">
        <v>44894</v>
      </c>
      <c r="L2323">
        <v>106.822</v>
      </c>
    </row>
    <row r="2324" spans="1:12" x14ac:dyDescent="0.25">
      <c r="A2324" s="1">
        <v>45001</v>
      </c>
      <c r="B2324">
        <v>22.99</v>
      </c>
      <c r="C2324" s="1">
        <v>45012</v>
      </c>
      <c r="D2324">
        <v>21.14</v>
      </c>
      <c r="E2324" s="1">
        <v>44965</v>
      </c>
      <c r="F2324">
        <v>100.75</v>
      </c>
      <c r="G2324" s="1">
        <v>45006</v>
      </c>
      <c r="H2324">
        <v>48.12</v>
      </c>
      <c r="I2324" s="1">
        <v>45006</v>
      </c>
      <c r="J2324">
        <v>19.14</v>
      </c>
      <c r="K2324" s="1">
        <v>44895</v>
      </c>
      <c r="L2324">
        <v>105.95</v>
      </c>
    </row>
    <row r="2325" spans="1:12" x14ac:dyDescent="0.25">
      <c r="A2325" s="1">
        <v>45002</v>
      </c>
      <c r="B2325">
        <v>25.51</v>
      </c>
      <c r="C2325" s="1">
        <v>45013</v>
      </c>
      <c r="D2325">
        <v>20.16</v>
      </c>
      <c r="E2325" s="1">
        <v>44966</v>
      </c>
      <c r="F2325">
        <v>102.45</v>
      </c>
      <c r="G2325" s="1">
        <v>45007</v>
      </c>
      <c r="H2325">
        <v>46.97</v>
      </c>
      <c r="I2325" s="1">
        <v>45007</v>
      </c>
      <c r="J2325">
        <v>19.22</v>
      </c>
      <c r="K2325" s="1">
        <v>44896</v>
      </c>
      <c r="L2325">
        <v>104.72799999999999</v>
      </c>
    </row>
    <row r="2326" spans="1:12" x14ac:dyDescent="0.25">
      <c r="A2326" s="1">
        <v>45005</v>
      </c>
      <c r="B2326">
        <v>24.15</v>
      </c>
      <c r="C2326" s="1">
        <v>45014</v>
      </c>
      <c r="D2326">
        <v>20.420000000000002</v>
      </c>
      <c r="E2326" s="1">
        <v>44967</v>
      </c>
      <c r="F2326">
        <v>109.63</v>
      </c>
      <c r="G2326" s="1">
        <v>45008</v>
      </c>
      <c r="H2326">
        <v>46.9</v>
      </c>
      <c r="I2326" s="1">
        <v>45008</v>
      </c>
      <c r="J2326">
        <v>20.95</v>
      </c>
      <c r="K2326" s="1">
        <v>44897</v>
      </c>
      <c r="L2326">
        <v>104.545</v>
      </c>
    </row>
    <row r="2327" spans="1:12" x14ac:dyDescent="0.25">
      <c r="A2327" s="1">
        <v>45006</v>
      </c>
      <c r="B2327">
        <v>21.38</v>
      </c>
      <c r="C2327" s="1">
        <v>45015</v>
      </c>
      <c r="D2327">
        <v>19.46</v>
      </c>
      <c r="E2327" s="1">
        <v>44970</v>
      </c>
      <c r="F2327">
        <v>110.67</v>
      </c>
      <c r="G2327" s="1">
        <v>45009</v>
      </c>
      <c r="H2327">
        <v>48.36</v>
      </c>
      <c r="I2327" s="1">
        <v>45009</v>
      </c>
      <c r="J2327">
        <v>19.96</v>
      </c>
      <c r="K2327" s="1">
        <v>44900</v>
      </c>
      <c r="L2327">
        <v>105.289</v>
      </c>
    </row>
    <row r="2328" spans="1:12" x14ac:dyDescent="0.25">
      <c r="A2328" s="1">
        <v>45007</v>
      </c>
      <c r="B2328">
        <v>22.26</v>
      </c>
      <c r="C2328" s="1">
        <v>45016</v>
      </c>
      <c r="D2328">
        <v>18.62</v>
      </c>
      <c r="E2328" s="1">
        <v>44971</v>
      </c>
      <c r="F2328">
        <v>110.59</v>
      </c>
      <c r="G2328" s="1">
        <v>45012</v>
      </c>
      <c r="H2328">
        <v>45.41</v>
      </c>
      <c r="I2328" s="1">
        <v>45012</v>
      </c>
      <c r="J2328">
        <v>19.18</v>
      </c>
      <c r="K2328" s="1">
        <v>44901</v>
      </c>
      <c r="L2328">
        <v>105.578</v>
      </c>
    </row>
    <row r="2329" spans="1:12" x14ac:dyDescent="0.25">
      <c r="A2329" s="1">
        <v>45008</v>
      </c>
      <c r="B2329">
        <v>22.61</v>
      </c>
      <c r="C2329" s="1">
        <v>45019</v>
      </c>
      <c r="D2329">
        <v>19.12</v>
      </c>
      <c r="E2329" s="1">
        <v>44972</v>
      </c>
      <c r="F2329">
        <v>108.64</v>
      </c>
      <c r="G2329" s="1">
        <v>45013</v>
      </c>
      <c r="H2329">
        <v>44.31</v>
      </c>
      <c r="I2329" s="1">
        <v>45013</v>
      </c>
      <c r="J2329">
        <v>19.03</v>
      </c>
      <c r="K2329" s="1">
        <v>44902</v>
      </c>
      <c r="L2329">
        <v>105.1</v>
      </c>
    </row>
    <row r="2330" spans="1:12" x14ac:dyDescent="0.25">
      <c r="A2330" s="1">
        <v>45009</v>
      </c>
      <c r="B2330">
        <v>21.74</v>
      </c>
      <c r="C2330" s="1">
        <v>45020</v>
      </c>
      <c r="D2330">
        <v>18.63</v>
      </c>
      <c r="E2330" s="1">
        <v>44973</v>
      </c>
      <c r="F2330">
        <v>111.01</v>
      </c>
      <c r="G2330" s="1">
        <v>45014</v>
      </c>
      <c r="H2330">
        <v>43.33</v>
      </c>
      <c r="I2330" s="1">
        <v>45014</v>
      </c>
      <c r="J2330">
        <v>17.77</v>
      </c>
      <c r="K2330" s="1">
        <v>44903</v>
      </c>
      <c r="L2330">
        <v>104.774</v>
      </c>
    </row>
    <row r="2331" spans="1:12" x14ac:dyDescent="0.25">
      <c r="A2331" s="1">
        <v>45012</v>
      </c>
      <c r="B2331">
        <v>20.6</v>
      </c>
      <c r="C2331" s="1">
        <v>45021</v>
      </c>
      <c r="D2331">
        <v>18.79</v>
      </c>
      <c r="E2331" s="1">
        <v>44974</v>
      </c>
      <c r="F2331">
        <v>110.11</v>
      </c>
      <c r="G2331" s="1">
        <v>45015</v>
      </c>
      <c r="H2331">
        <v>42.02</v>
      </c>
      <c r="I2331" s="1">
        <v>45015</v>
      </c>
      <c r="J2331">
        <v>18.39</v>
      </c>
      <c r="K2331" s="1">
        <v>44904</v>
      </c>
      <c r="L2331">
        <v>104.81</v>
      </c>
    </row>
    <row r="2332" spans="1:12" x14ac:dyDescent="0.25">
      <c r="A2332" s="1">
        <v>45013</v>
      </c>
      <c r="B2332">
        <v>19.97</v>
      </c>
      <c r="C2332" s="1">
        <v>45022</v>
      </c>
      <c r="D2332">
        <v>17.7</v>
      </c>
      <c r="E2332" s="1">
        <v>44978</v>
      </c>
      <c r="F2332">
        <v>119.62</v>
      </c>
      <c r="G2332" s="1">
        <v>45016</v>
      </c>
      <c r="H2332">
        <v>40.340000000000003</v>
      </c>
      <c r="I2332" s="1">
        <v>45016</v>
      </c>
      <c r="J2332">
        <v>17.309999999999999</v>
      </c>
      <c r="K2332" s="1">
        <v>44907</v>
      </c>
      <c r="L2332">
        <v>105.131</v>
      </c>
    </row>
    <row r="2333" spans="1:12" x14ac:dyDescent="0.25">
      <c r="A2333" s="1">
        <v>45014</v>
      </c>
      <c r="B2333">
        <v>19.12</v>
      </c>
      <c r="C2333" s="1">
        <v>45026</v>
      </c>
      <c r="D2333">
        <v>18.45</v>
      </c>
      <c r="E2333" s="1">
        <v>44979</v>
      </c>
      <c r="F2333">
        <v>118.21</v>
      </c>
      <c r="G2333" s="1">
        <v>45019</v>
      </c>
      <c r="H2333">
        <v>39.49</v>
      </c>
      <c r="I2333" s="1">
        <v>45019</v>
      </c>
      <c r="J2333">
        <v>18.25</v>
      </c>
      <c r="K2333" s="1">
        <v>44908</v>
      </c>
      <c r="L2333">
        <v>103.98</v>
      </c>
    </row>
    <row r="2334" spans="1:12" x14ac:dyDescent="0.25">
      <c r="A2334" s="1">
        <v>45015</v>
      </c>
      <c r="B2334">
        <v>19.02</v>
      </c>
      <c r="C2334" s="1">
        <v>45027</v>
      </c>
      <c r="D2334">
        <v>17.86</v>
      </c>
      <c r="E2334" s="1">
        <v>44980</v>
      </c>
      <c r="F2334">
        <v>117.45</v>
      </c>
      <c r="G2334" s="1">
        <v>45020</v>
      </c>
      <c r="H2334">
        <v>39.42</v>
      </c>
      <c r="I2334" s="1">
        <v>45020</v>
      </c>
      <c r="J2334">
        <v>19.73</v>
      </c>
      <c r="K2334" s="1">
        <v>44909</v>
      </c>
      <c r="L2334">
        <v>103.77</v>
      </c>
    </row>
    <row r="2335" spans="1:12" x14ac:dyDescent="0.25">
      <c r="A2335" s="1">
        <v>45016</v>
      </c>
      <c r="B2335">
        <v>18.7</v>
      </c>
      <c r="C2335" s="1">
        <v>45028</v>
      </c>
      <c r="D2335">
        <v>18.05</v>
      </c>
      <c r="E2335" s="1">
        <v>44981</v>
      </c>
      <c r="F2335">
        <v>122.84</v>
      </c>
      <c r="G2335" s="1">
        <v>45021</v>
      </c>
      <c r="H2335">
        <v>39.14</v>
      </c>
      <c r="I2335" s="1">
        <v>45021</v>
      </c>
      <c r="J2335">
        <v>18.98</v>
      </c>
      <c r="K2335" s="1">
        <v>44910</v>
      </c>
      <c r="L2335">
        <v>104.55800000000001</v>
      </c>
    </row>
    <row r="2336" spans="1:12" x14ac:dyDescent="0.25">
      <c r="A2336" s="1">
        <v>45019</v>
      </c>
      <c r="B2336">
        <v>18.55</v>
      </c>
      <c r="C2336" s="1">
        <v>45029</v>
      </c>
      <c r="D2336">
        <v>17.649999999999999</v>
      </c>
      <c r="E2336" s="1">
        <v>44984</v>
      </c>
      <c r="F2336">
        <v>120.03</v>
      </c>
      <c r="G2336" s="1">
        <v>45022</v>
      </c>
      <c r="H2336">
        <v>34.76</v>
      </c>
      <c r="I2336" s="1">
        <v>45022</v>
      </c>
      <c r="J2336">
        <v>18.440000000000001</v>
      </c>
      <c r="K2336" s="1">
        <v>44911</v>
      </c>
      <c r="L2336">
        <v>104.70099999999999</v>
      </c>
    </row>
    <row r="2337" spans="1:12" x14ac:dyDescent="0.25">
      <c r="A2337" s="1">
        <v>45020</v>
      </c>
      <c r="B2337">
        <v>19</v>
      </c>
      <c r="C2337" s="1">
        <v>45030</v>
      </c>
      <c r="D2337">
        <v>17.25</v>
      </c>
      <c r="E2337" s="1">
        <v>44985</v>
      </c>
      <c r="F2337">
        <v>123.6</v>
      </c>
      <c r="G2337" s="1">
        <v>45026</v>
      </c>
      <c r="H2337">
        <v>34.31</v>
      </c>
      <c r="I2337" s="1">
        <v>45026</v>
      </c>
      <c r="J2337">
        <v>18.54</v>
      </c>
      <c r="K2337" s="1">
        <v>44914</v>
      </c>
      <c r="L2337">
        <v>104.721</v>
      </c>
    </row>
    <row r="2338" spans="1:12" x14ac:dyDescent="0.25">
      <c r="A2338" s="1">
        <v>45021</v>
      </c>
      <c r="B2338">
        <v>19.079999999999998</v>
      </c>
      <c r="C2338" s="1">
        <v>45033</v>
      </c>
      <c r="D2338">
        <v>16.64</v>
      </c>
      <c r="E2338" s="1">
        <v>44986</v>
      </c>
      <c r="F2338">
        <v>121.08</v>
      </c>
      <c r="G2338" s="1">
        <v>45027</v>
      </c>
      <c r="H2338">
        <v>34.229999999999997</v>
      </c>
      <c r="I2338" s="1">
        <v>45027</v>
      </c>
      <c r="J2338">
        <v>18.329999999999998</v>
      </c>
      <c r="K2338" s="1">
        <v>44915</v>
      </c>
      <c r="L2338">
        <v>103.965</v>
      </c>
    </row>
    <row r="2339" spans="1:12" x14ac:dyDescent="0.25">
      <c r="A2339" s="1">
        <v>45022</v>
      </c>
      <c r="B2339">
        <v>18.399999999999999</v>
      </c>
      <c r="C2339" s="1">
        <v>45034</v>
      </c>
      <c r="D2339">
        <v>16.59</v>
      </c>
      <c r="E2339" s="1">
        <v>44987</v>
      </c>
      <c r="F2339">
        <v>124.12</v>
      </c>
      <c r="G2339" s="1">
        <v>45028</v>
      </c>
      <c r="H2339">
        <v>33.74</v>
      </c>
      <c r="I2339" s="1">
        <v>45028</v>
      </c>
      <c r="J2339">
        <v>17.690000000000001</v>
      </c>
      <c r="K2339" s="1">
        <v>44916</v>
      </c>
      <c r="L2339">
        <v>104.16200000000001</v>
      </c>
    </row>
    <row r="2340" spans="1:12" x14ac:dyDescent="0.25">
      <c r="A2340" s="1">
        <v>45026</v>
      </c>
      <c r="B2340">
        <v>18.97</v>
      </c>
      <c r="C2340" s="1">
        <v>45035</v>
      </c>
      <c r="D2340">
        <v>16.93</v>
      </c>
      <c r="E2340" s="1">
        <v>44988</v>
      </c>
      <c r="F2340">
        <v>122.52</v>
      </c>
      <c r="G2340" s="1">
        <v>45029</v>
      </c>
      <c r="H2340">
        <v>32.78</v>
      </c>
      <c r="I2340" s="1">
        <v>45029</v>
      </c>
      <c r="J2340">
        <v>18.48</v>
      </c>
      <c r="K2340" s="1">
        <v>44917</v>
      </c>
      <c r="L2340">
        <v>104.43300000000001</v>
      </c>
    </row>
    <row r="2341" spans="1:12" x14ac:dyDescent="0.25">
      <c r="A2341" s="1">
        <v>45027</v>
      </c>
      <c r="B2341">
        <v>19.100000000000001</v>
      </c>
      <c r="C2341" s="1">
        <v>45036</v>
      </c>
      <c r="D2341">
        <v>17.239999999999998</v>
      </c>
      <c r="E2341" s="1">
        <v>44991</v>
      </c>
      <c r="F2341">
        <v>128.19</v>
      </c>
      <c r="G2341" s="1">
        <v>45030</v>
      </c>
      <c r="H2341">
        <v>32.51</v>
      </c>
      <c r="I2341" s="1">
        <v>45030</v>
      </c>
      <c r="J2341">
        <v>17.16</v>
      </c>
      <c r="K2341" s="1">
        <v>44918</v>
      </c>
      <c r="L2341">
        <v>104.31399999999999</v>
      </c>
    </row>
    <row r="2342" spans="1:12" x14ac:dyDescent="0.25">
      <c r="A2342" s="1">
        <v>45028</v>
      </c>
      <c r="B2342">
        <v>19.09</v>
      </c>
      <c r="C2342" s="1">
        <v>45037</v>
      </c>
      <c r="D2342">
        <v>16.670000000000002</v>
      </c>
      <c r="E2342" s="1">
        <v>44992</v>
      </c>
      <c r="F2342">
        <v>133.33000000000001</v>
      </c>
      <c r="G2342" s="1">
        <v>45033</v>
      </c>
      <c r="H2342">
        <v>32.93</v>
      </c>
      <c r="I2342" s="1">
        <v>45033</v>
      </c>
      <c r="J2342">
        <v>17.37</v>
      </c>
      <c r="K2342" s="1">
        <v>44922</v>
      </c>
      <c r="L2342">
        <v>104.179</v>
      </c>
    </row>
    <row r="2343" spans="1:12" x14ac:dyDescent="0.25">
      <c r="A2343" s="1">
        <v>45029</v>
      </c>
      <c r="B2343">
        <v>17.8</v>
      </c>
      <c r="C2343" s="1">
        <v>45040</v>
      </c>
      <c r="D2343">
        <v>16.87</v>
      </c>
      <c r="E2343" s="1">
        <v>44993</v>
      </c>
      <c r="F2343">
        <v>129.76</v>
      </c>
      <c r="G2343" s="1">
        <v>45034</v>
      </c>
      <c r="H2343">
        <v>33.69</v>
      </c>
      <c r="I2343" s="1">
        <v>45034</v>
      </c>
      <c r="J2343">
        <v>17.14</v>
      </c>
      <c r="K2343" s="1">
        <v>44923</v>
      </c>
      <c r="L2343">
        <v>104.46299999999999</v>
      </c>
    </row>
    <row r="2344" spans="1:12" x14ac:dyDescent="0.25">
      <c r="A2344" s="1">
        <v>45030</v>
      </c>
      <c r="B2344">
        <v>17.07</v>
      </c>
      <c r="C2344" s="1">
        <v>45041</v>
      </c>
      <c r="D2344">
        <v>19.36</v>
      </c>
      <c r="E2344" s="1">
        <v>44994</v>
      </c>
      <c r="F2344">
        <v>129.28</v>
      </c>
      <c r="G2344" s="1">
        <v>45035</v>
      </c>
      <c r="H2344">
        <v>34.44</v>
      </c>
      <c r="I2344" s="1">
        <v>45035</v>
      </c>
      <c r="J2344">
        <v>17.21</v>
      </c>
      <c r="K2344" s="1">
        <v>44924</v>
      </c>
      <c r="L2344">
        <v>103.836</v>
      </c>
    </row>
    <row r="2345" spans="1:12" x14ac:dyDescent="0.25">
      <c r="A2345" s="1">
        <v>45033</v>
      </c>
      <c r="B2345">
        <v>16.95</v>
      </c>
      <c r="C2345" s="1">
        <v>45042</v>
      </c>
      <c r="D2345">
        <v>18.89</v>
      </c>
      <c r="E2345" s="1">
        <v>44995</v>
      </c>
      <c r="F2345">
        <v>140.06</v>
      </c>
      <c r="G2345" s="1">
        <v>45036</v>
      </c>
      <c r="H2345">
        <v>36.409999999999997</v>
      </c>
      <c r="I2345" s="1">
        <v>45036</v>
      </c>
      <c r="J2345">
        <v>17.21</v>
      </c>
      <c r="K2345" s="1">
        <v>44925</v>
      </c>
      <c r="L2345">
        <v>103.52200000000001</v>
      </c>
    </row>
    <row r="2346" spans="1:12" x14ac:dyDescent="0.25">
      <c r="A2346" s="1">
        <v>45034</v>
      </c>
      <c r="B2346">
        <v>16.829999999999998</v>
      </c>
      <c r="C2346" s="1">
        <v>45043</v>
      </c>
      <c r="D2346">
        <v>18.13</v>
      </c>
      <c r="E2346" s="1">
        <v>44998</v>
      </c>
      <c r="F2346">
        <v>173.59</v>
      </c>
      <c r="G2346" s="1">
        <v>45037</v>
      </c>
      <c r="H2346">
        <v>35.17</v>
      </c>
      <c r="I2346" s="1">
        <v>45037</v>
      </c>
      <c r="J2346">
        <v>16.420000000000002</v>
      </c>
      <c r="K2346" s="1">
        <v>44929</v>
      </c>
      <c r="L2346">
        <v>104.518</v>
      </c>
    </row>
    <row r="2347" spans="1:12" x14ac:dyDescent="0.25">
      <c r="A2347" s="1">
        <v>45035</v>
      </c>
      <c r="B2347">
        <v>16.46</v>
      </c>
      <c r="C2347" s="1">
        <v>45044</v>
      </c>
      <c r="D2347">
        <v>16.8</v>
      </c>
      <c r="E2347" s="1">
        <v>44999</v>
      </c>
      <c r="F2347">
        <v>169.65</v>
      </c>
      <c r="G2347" s="1">
        <v>45040</v>
      </c>
      <c r="H2347">
        <v>34.28</v>
      </c>
      <c r="I2347" s="1">
        <v>45040</v>
      </c>
      <c r="J2347">
        <v>16.88</v>
      </c>
      <c r="K2347" s="1">
        <v>44930</v>
      </c>
      <c r="L2347">
        <v>104.248</v>
      </c>
    </row>
    <row r="2348" spans="1:12" x14ac:dyDescent="0.25">
      <c r="A2348" s="1">
        <v>45036</v>
      </c>
      <c r="B2348">
        <v>17.170000000000002</v>
      </c>
      <c r="C2348" s="1">
        <v>45047</v>
      </c>
      <c r="D2348">
        <v>17.16</v>
      </c>
      <c r="E2348" s="1">
        <v>45000</v>
      </c>
      <c r="F2348">
        <v>198.71</v>
      </c>
      <c r="G2348" s="1">
        <v>45041</v>
      </c>
      <c r="H2348">
        <v>36.64</v>
      </c>
      <c r="I2348" s="1">
        <v>45041</v>
      </c>
      <c r="J2348">
        <v>17.72</v>
      </c>
      <c r="K2348" s="1">
        <v>44931</v>
      </c>
      <c r="L2348">
        <v>105.042</v>
      </c>
    </row>
    <row r="2349" spans="1:12" x14ac:dyDescent="0.25">
      <c r="A2349" s="1">
        <v>45037</v>
      </c>
      <c r="B2349">
        <v>16.77</v>
      </c>
      <c r="C2349" s="1">
        <v>45048</v>
      </c>
      <c r="D2349">
        <v>20.67</v>
      </c>
      <c r="E2349" s="1">
        <v>45001</v>
      </c>
      <c r="F2349">
        <v>167.96</v>
      </c>
      <c r="G2349" s="1">
        <v>45042</v>
      </c>
      <c r="H2349">
        <v>39.25</v>
      </c>
      <c r="I2349" s="1">
        <v>45042</v>
      </c>
      <c r="J2349">
        <v>17.739999999999998</v>
      </c>
      <c r="K2349" s="1">
        <v>44932</v>
      </c>
      <c r="L2349">
        <v>103.879</v>
      </c>
    </row>
    <row r="2350" spans="1:12" x14ac:dyDescent="0.25">
      <c r="A2350" s="1">
        <v>45040</v>
      </c>
      <c r="B2350">
        <v>16.89</v>
      </c>
      <c r="C2350" s="1">
        <v>45049</v>
      </c>
      <c r="D2350">
        <v>19.34</v>
      </c>
      <c r="E2350" s="1">
        <v>45002</v>
      </c>
      <c r="F2350">
        <v>180.11</v>
      </c>
      <c r="G2350" s="1">
        <v>45043</v>
      </c>
      <c r="H2350">
        <v>37.76</v>
      </c>
      <c r="I2350" s="1">
        <v>45043</v>
      </c>
      <c r="J2350">
        <v>17.28</v>
      </c>
      <c r="K2350" s="1">
        <v>44935</v>
      </c>
      <c r="L2350">
        <v>103.001</v>
      </c>
    </row>
    <row r="2351" spans="1:12" x14ac:dyDescent="0.25">
      <c r="A2351" s="1">
        <v>45041</v>
      </c>
      <c r="B2351">
        <v>18.760000000000002</v>
      </c>
      <c r="C2351" s="1">
        <v>45050</v>
      </c>
      <c r="D2351">
        <v>18.86</v>
      </c>
      <c r="E2351" s="1">
        <v>45005</v>
      </c>
      <c r="F2351">
        <v>182.64</v>
      </c>
      <c r="G2351" s="1">
        <v>45044</v>
      </c>
      <c r="H2351">
        <v>35.630000000000003</v>
      </c>
      <c r="I2351" s="1">
        <v>45044</v>
      </c>
      <c r="J2351">
        <v>16.47</v>
      </c>
      <c r="K2351" s="1">
        <v>44936</v>
      </c>
      <c r="L2351">
        <v>103.236</v>
      </c>
    </row>
    <row r="2352" spans="1:12" x14ac:dyDescent="0.25">
      <c r="A2352" s="1">
        <v>45042</v>
      </c>
      <c r="B2352">
        <v>18.84</v>
      </c>
      <c r="C2352" s="1">
        <v>45051</v>
      </c>
      <c r="D2352">
        <v>17.57</v>
      </c>
      <c r="E2352" s="1">
        <v>45006</v>
      </c>
      <c r="F2352">
        <v>162.31</v>
      </c>
      <c r="G2352" s="1">
        <v>45047</v>
      </c>
      <c r="H2352">
        <v>35.94</v>
      </c>
      <c r="I2352" s="1">
        <v>45047</v>
      </c>
      <c r="J2352">
        <v>16.63</v>
      </c>
      <c r="K2352" s="1">
        <v>44937</v>
      </c>
      <c r="L2352">
        <v>103.188</v>
      </c>
    </row>
    <row r="2353" spans="1:12" x14ac:dyDescent="0.25">
      <c r="A2353" s="1">
        <v>45043</v>
      </c>
      <c r="B2353">
        <v>17.03</v>
      </c>
      <c r="C2353" s="1">
        <v>45054</v>
      </c>
      <c r="D2353">
        <v>17.36</v>
      </c>
      <c r="E2353" s="1">
        <v>45007</v>
      </c>
      <c r="F2353">
        <v>142.84</v>
      </c>
      <c r="G2353" s="1">
        <v>45048</v>
      </c>
      <c r="H2353">
        <v>39.479999999999997</v>
      </c>
      <c r="I2353" s="1">
        <v>45048</v>
      </c>
      <c r="J2353">
        <v>18.690000000000001</v>
      </c>
      <c r="K2353" s="1">
        <v>44938</v>
      </c>
      <c r="L2353">
        <v>102.246</v>
      </c>
    </row>
    <row r="2354" spans="1:12" x14ac:dyDescent="0.25">
      <c r="A2354" s="1">
        <v>45044</v>
      </c>
      <c r="B2354">
        <v>15.78</v>
      </c>
      <c r="C2354" s="1">
        <v>45055</v>
      </c>
      <c r="D2354">
        <v>18.11</v>
      </c>
      <c r="E2354" s="1">
        <v>45008</v>
      </c>
      <c r="F2354">
        <v>151.4</v>
      </c>
      <c r="G2354" s="1">
        <v>45049</v>
      </c>
      <c r="H2354">
        <v>43.23</v>
      </c>
      <c r="I2354" s="1">
        <v>45049</v>
      </c>
      <c r="J2354">
        <v>18.7</v>
      </c>
      <c r="K2354" s="1">
        <v>44939</v>
      </c>
      <c r="L2354">
        <v>102.20399999999999</v>
      </c>
    </row>
    <row r="2355" spans="1:12" x14ac:dyDescent="0.25">
      <c r="A2355" s="1">
        <v>45047</v>
      </c>
      <c r="B2355">
        <v>16.079999999999998</v>
      </c>
      <c r="C2355" s="1">
        <v>45056</v>
      </c>
      <c r="D2355">
        <v>17.760000000000002</v>
      </c>
      <c r="E2355" s="1">
        <v>45009</v>
      </c>
      <c r="F2355">
        <v>173.66</v>
      </c>
      <c r="G2355" s="1">
        <v>45050</v>
      </c>
      <c r="H2355">
        <v>43.75</v>
      </c>
      <c r="I2355" s="1">
        <v>45050</v>
      </c>
      <c r="J2355">
        <v>20.350000000000001</v>
      </c>
      <c r="K2355" s="1">
        <v>44942</v>
      </c>
      <c r="L2355">
        <v>102.20399999999999</v>
      </c>
    </row>
    <row r="2356" spans="1:12" x14ac:dyDescent="0.25">
      <c r="A2356" s="1">
        <v>45048</v>
      </c>
      <c r="B2356">
        <v>17.78</v>
      </c>
      <c r="C2356" s="1">
        <v>45057</v>
      </c>
      <c r="D2356">
        <v>17.82</v>
      </c>
      <c r="E2356" s="1">
        <v>45012</v>
      </c>
      <c r="F2356">
        <v>161.66999999999999</v>
      </c>
      <c r="G2356" s="1">
        <v>45051</v>
      </c>
      <c r="H2356">
        <v>37.35</v>
      </c>
      <c r="I2356" s="1">
        <v>45051</v>
      </c>
      <c r="J2356">
        <v>18.5</v>
      </c>
      <c r="K2356" s="1">
        <v>44943</v>
      </c>
      <c r="L2356">
        <v>102.39</v>
      </c>
    </row>
    <row r="2357" spans="1:12" x14ac:dyDescent="0.25">
      <c r="A2357" s="1">
        <v>45049</v>
      </c>
      <c r="B2357">
        <v>18.34</v>
      </c>
      <c r="C2357" s="1">
        <v>45058</v>
      </c>
      <c r="D2357">
        <v>18.260000000000002</v>
      </c>
      <c r="E2357" s="1">
        <v>45013</v>
      </c>
      <c r="F2357">
        <v>155.96</v>
      </c>
      <c r="G2357" s="1">
        <v>45054</v>
      </c>
      <c r="H2357">
        <v>35.54</v>
      </c>
      <c r="I2357" s="1">
        <v>45054</v>
      </c>
      <c r="J2357">
        <v>18.670000000000002</v>
      </c>
      <c r="K2357" s="1">
        <v>44944</v>
      </c>
      <c r="L2357">
        <v>102.363</v>
      </c>
    </row>
    <row r="2358" spans="1:12" x14ac:dyDescent="0.25">
      <c r="A2358" s="1">
        <v>45050</v>
      </c>
      <c r="B2358">
        <v>20.09</v>
      </c>
      <c r="C2358" s="1">
        <v>45061</v>
      </c>
      <c r="D2358">
        <v>17.670000000000002</v>
      </c>
      <c r="E2358" s="1">
        <v>45014</v>
      </c>
      <c r="F2358">
        <v>150.58000000000001</v>
      </c>
      <c r="G2358" s="1">
        <v>45055</v>
      </c>
      <c r="H2358">
        <v>35.130000000000003</v>
      </c>
      <c r="I2358" s="1">
        <v>45055</v>
      </c>
      <c r="J2358">
        <v>18.73</v>
      </c>
      <c r="K2358" s="1">
        <v>44945</v>
      </c>
      <c r="L2358">
        <v>102.05800000000001</v>
      </c>
    </row>
    <row r="2359" spans="1:12" x14ac:dyDescent="0.25">
      <c r="A2359" s="1">
        <v>45051</v>
      </c>
      <c r="B2359">
        <v>17.190000000000001</v>
      </c>
      <c r="C2359" s="1">
        <v>45062</v>
      </c>
      <c r="D2359">
        <v>19.059999999999999</v>
      </c>
      <c r="E2359" s="1">
        <v>45015</v>
      </c>
      <c r="F2359">
        <v>141.24</v>
      </c>
      <c r="G2359" s="1">
        <v>45056</v>
      </c>
      <c r="H2359">
        <v>34.130000000000003</v>
      </c>
      <c r="I2359" s="1">
        <v>45056</v>
      </c>
      <c r="J2359">
        <v>18.37</v>
      </c>
      <c r="K2359" s="1">
        <v>44946</v>
      </c>
      <c r="L2359">
        <v>102.012</v>
      </c>
    </row>
    <row r="2360" spans="1:12" x14ac:dyDescent="0.25">
      <c r="A2360" s="1">
        <v>45054</v>
      </c>
      <c r="B2360">
        <v>16.98</v>
      </c>
      <c r="C2360" s="1">
        <v>45063</v>
      </c>
      <c r="D2360">
        <v>17.59</v>
      </c>
      <c r="E2360" s="1">
        <v>45016</v>
      </c>
      <c r="F2360">
        <v>135.93</v>
      </c>
      <c r="G2360" s="1">
        <v>45057</v>
      </c>
      <c r="H2360">
        <v>35.74</v>
      </c>
      <c r="I2360" s="1">
        <v>45057</v>
      </c>
      <c r="J2360">
        <v>17.77</v>
      </c>
      <c r="K2360" s="1">
        <v>44949</v>
      </c>
      <c r="L2360">
        <v>102.13800000000001</v>
      </c>
    </row>
    <row r="2361" spans="1:12" x14ac:dyDescent="0.25">
      <c r="A2361" s="1">
        <v>45055</v>
      </c>
      <c r="B2361">
        <v>17.71</v>
      </c>
      <c r="C2361" s="1">
        <v>45064</v>
      </c>
      <c r="D2361">
        <v>17.829999999999998</v>
      </c>
      <c r="E2361" s="1">
        <v>45019</v>
      </c>
      <c r="F2361">
        <v>138.16999999999999</v>
      </c>
      <c r="G2361" s="1">
        <v>45058</v>
      </c>
      <c r="H2361">
        <v>37.32</v>
      </c>
      <c r="I2361" s="1">
        <v>45058</v>
      </c>
      <c r="J2361">
        <v>17.37</v>
      </c>
      <c r="K2361" s="1">
        <v>44950</v>
      </c>
      <c r="L2361">
        <v>101.91800000000001</v>
      </c>
    </row>
    <row r="2362" spans="1:12" x14ac:dyDescent="0.25">
      <c r="A2362" s="1">
        <v>45056</v>
      </c>
      <c r="B2362">
        <v>16.940000000000001</v>
      </c>
      <c r="C2362" s="1">
        <v>45065</v>
      </c>
      <c r="D2362">
        <v>16.739999999999998</v>
      </c>
      <c r="E2362" s="1">
        <v>45020</v>
      </c>
      <c r="F2362">
        <v>147.75</v>
      </c>
      <c r="G2362" s="1">
        <v>45061</v>
      </c>
      <c r="H2362">
        <v>35.159999999999997</v>
      </c>
      <c r="I2362" s="1">
        <v>45061</v>
      </c>
      <c r="J2362">
        <v>17.52</v>
      </c>
      <c r="K2362" s="1">
        <v>44951</v>
      </c>
      <c r="L2362">
        <v>101.64100000000001</v>
      </c>
    </row>
    <row r="2363" spans="1:12" x14ac:dyDescent="0.25">
      <c r="A2363" s="1">
        <v>45057</v>
      </c>
      <c r="B2363">
        <v>16.93</v>
      </c>
      <c r="C2363" s="1">
        <v>45068</v>
      </c>
      <c r="D2363">
        <v>16.350000000000001</v>
      </c>
      <c r="E2363" s="1">
        <v>45021</v>
      </c>
      <c r="F2363">
        <v>153.9</v>
      </c>
      <c r="G2363" s="1">
        <v>45062</v>
      </c>
      <c r="H2363">
        <v>35.979999999999997</v>
      </c>
      <c r="I2363" s="1">
        <v>45062</v>
      </c>
      <c r="J2363">
        <v>17.62</v>
      </c>
      <c r="K2363" s="1">
        <v>44952</v>
      </c>
      <c r="L2363">
        <v>101.839</v>
      </c>
    </row>
    <row r="2364" spans="1:12" x14ac:dyDescent="0.25">
      <c r="A2364" s="1">
        <v>45058</v>
      </c>
      <c r="B2364">
        <v>17.03</v>
      </c>
      <c r="C2364" s="1">
        <v>45069</v>
      </c>
      <c r="D2364">
        <v>17.88</v>
      </c>
      <c r="E2364" s="1">
        <v>45022</v>
      </c>
      <c r="F2364">
        <v>147.72999999999999</v>
      </c>
      <c r="G2364" s="1">
        <v>45063</v>
      </c>
      <c r="H2364">
        <v>36.44</v>
      </c>
      <c r="I2364" s="1">
        <v>45063</v>
      </c>
      <c r="J2364">
        <v>16.989999999999998</v>
      </c>
      <c r="K2364" s="1">
        <v>44953</v>
      </c>
      <c r="L2364">
        <v>101.92700000000001</v>
      </c>
    </row>
    <row r="2365" spans="1:12" x14ac:dyDescent="0.25">
      <c r="A2365" s="1">
        <v>45061</v>
      </c>
      <c r="B2365">
        <v>17.12</v>
      </c>
      <c r="C2365" s="1">
        <v>45070</v>
      </c>
      <c r="D2365">
        <v>20.38</v>
      </c>
      <c r="E2365" s="1">
        <v>45023</v>
      </c>
      <c r="F2365">
        <v>139.19999999999999</v>
      </c>
      <c r="G2365" s="1">
        <v>45064</v>
      </c>
      <c r="H2365">
        <v>36.020000000000003</v>
      </c>
      <c r="I2365" s="1">
        <v>45064</v>
      </c>
      <c r="J2365">
        <v>16.95</v>
      </c>
      <c r="K2365" s="1">
        <v>44956</v>
      </c>
      <c r="L2365">
        <v>102.276</v>
      </c>
    </row>
    <row r="2366" spans="1:12" x14ac:dyDescent="0.25">
      <c r="A2366" s="1">
        <v>45062</v>
      </c>
      <c r="B2366">
        <v>17.989999999999998</v>
      </c>
      <c r="C2366" s="1">
        <v>45071</v>
      </c>
      <c r="D2366">
        <v>20.41</v>
      </c>
      <c r="E2366" s="1">
        <v>45026</v>
      </c>
      <c r="F2366">
        <v>143</v>
      </c>
      <c r="G2366" s="1">
        <v>45065</v>
      </c>
      <c r="H2366">
        <v>35.85</v>
      </c>
      <c r="I2366" s="1">
        <v>45065</v>
      </c>
      <c r="J2366">
        <v>17.22</v>
      </c>
      <c r="K2366" s="1">
        <v>44957</v>
      </c>
      <c r="L2366">
        <v>102.09699999999999</v>
      </c>
    </row>
    <row r="2367" spans="1:12" x14ac:dyDescent="0.25">
      <c r="A2367" s="1">
        <v>45063</v>
      </c>
      <c r="B2367">
        <v>16.87</v>
      </c>
      <c r="C2367" s="1">
        <v>45072</v>
      </c>
      <c r="D2367">
        <v>18.36</v>
      </c>
      <c r="E2367" s="1">
        <v>45027</v>
      </c>
      <c r="F2367">
        <v>139.78</v>
      </c>
      <c r="G2367" s="1">
        <v>45068</v>
      </c>
      <c r="H2367">
        <v>35.520000000000003</v>
      </c>
      <c r="I2367" s="1">
        <v>45068</v>
      </c>
      <c r="J2367">
        <v>17.55</v>
      </c>
      <c r="K2367" s="1">
        <v>44958</v>
      </c>
      <c r="L2367">
        <v>101.217</v>
      </c>
    </row>
    <row r="2368" spans="1:12" x14ac:dyDescent="0.25">
      <c r="A2368" s="1">
        <v>45064</v>
      </c>
      <c r="B2368">
        <v>16.05</v>
      </c>
      <c r="C2368" s="1">
        <v>45076</v>
      </c>
      <c r="D2368">
        <v>18.91</v>
      </c>
      <c r="E2368" s="1">
        <v>45028</v>
      </c>
      <c r="F2368">
        <v>129.68</v>
      </c>
      <c r="G2368" s="1">
        <v>45069</v>
      </c>
      <c r="H2368">
        <v>35.11</v>
      </c>
      <c r="I2368" s="1">
        <v>45069</v>
      </c>
      <c r="J2368">
        <v>17.66</v>
      </c>
      <c r="K2368" s="1">
        <v>44959</v>
      </c>
      <c r="L2368">
        <v>101.75</v>
      </c>
    </row>
    <row r="2369" spans="1:12" x14ac:dyDescent="0.25">
      <c r="A2369" s="1">
        <v>45065</v>
      </c>
      <c r="B2369">
        <v>16.809999999999999</v>
      </c>
      <c r="C2369" s="1">
        <v>45077</v>
      </c>
      <c r="D2369">
        <v>19.329999999999998</v>
      </c>
      <c r="E2369" s="1">
        <v>45029</v>
      </c>
      <c r="F2369">
        <v>119.95</v>
      </c>
      <c r="G2369" s="1">
        <v>45070</v>
      </c>
      <c r="H2369">
        <v>35.86</v>
      </c>
      <c r="I2369" s="1">
        <v>45070</v>
      </c>
      <c r="J2369">
        <v>17.559999999999999</v>
      </c>
      <c r="K2369" s="1">
        <v>44960</v>
      </c>
      <c r="L2369">
        <v>102.91500000000001</v>
      </c>
    </row>
    <row r="2370" spans="1:12" x14ac:dyDescent="0.25">
      <c r="A2370" s="1">
        <v>45068</v>
      </c>
      <c r="B2370">
        <v>17.21</v>
      </c>
      <c r="C2370" s="1">
        <v>45078</v>
      </c>
      <c r="D2370">
        <v>17.920000000000002</v>
      </c>
      <c r="E2370" s="1">
        <v>45030</v>
      </c>
      <c r="F2370">
        <v>118.84</v>
      </c>
      <c r="G2370" s="1">
        <v>45071</v>
      </c>
      <c r="H2370">
        <v>36.74</v>
      </c>
      <c r="I2370" s="1">
        <v>45071</v>
      </c>
      <c r="J2370">
        <v>16.84</v>
      </c>
      <c r="K2370" s="1">
        <v>44963</v>
      </c>
      <c r="L2370">
        <v>103.621</v>
      </c>
    </row>
    <row r="2371" spans="1:12" x14ac:dyDescent="0.25">
      <c r="A2371" s="1">
        <v>45069</v>
      </c>
      <c r="B2371">
        <v>18.53</v>
      </c>
      <c r="C2371" s="1">
        <v>45079</v>
      </c>
      <c r="D2371">
        <v>16.61</v>
      </c>
      <c r="E2371" s="1">
        <v>45033</v>
      </c>
      <c r="F2371">
        <v>122.69</v>
      </c>
      <c r="G2371" s="1">
        <v>45072</v>
      </c>
      <c r="H2371">
        <v>35.950000000000003</v>
      </c>
      <c r="I2371" s="1">
        <v>45072</v>
      </c>
      <c r="J2371">
        <v>16.3</v>
      </c>
      <c r="K2371" s="1">
        <v>44964</v>
      </c>
      <c r="L2371">
        <v>103.42700000000001</v>
      </c>
    </row>
    <row r="2372" spans="1:12" x14ac:dyDescent="0.25">
      <c r="A2372" s="1">
        <v>45070</v>
      </c>
      <c r="B2372">
        <v>20.03</v>
      </c>
      <c r="C2372" s="1">
        <v>45082</v>
      </c>
      <c r="D2372">
        <v>17.22</v>
      </c>
      <c r="E2372" s="1">
        <v>45034</v>
      </c>
      <c r="F2372">
        <v>122.78</v>
      </c>
      <c r="G2372" s="1">
        <v>45076</v>
      </c>
      <c r="H2372">
        <v>39.68</v>
      </c>
      <c r="I2372" s="1">
        <v>45076</v>
      </c>
      <c r="J2372">
        <v>15.88</v>
      </c>
      <c r="K2372" s="1">
        <v>44965</v>
      </c>
      <c r="L2372">
        <v>103.40900000000001</v>
      </c>
    </row>
    <row r="2373" spans="1:12" x14ac:dyDescent="0.25">
      <c r="A2373" s="1">
        <v>45071</v>
      </c>
      <c r="B2373">
        <v>19.14</v>
      </c>
      <c r="C2373" s="1">
        <v>45083</v>
      </c>
      <c r="D2373">
        <v>17.02</v>
      </c>
      <c r="E2373" s="1">
        <v>45035</v>
      </c>
      <c r="F2373">
        <v>124.02</v>
      </c>
      <c r="G2373" s="1">
        <v>45077</v>
      </c>
      <c r="H2373">
        <v>40.68</v>
      </c>
      <c r="I2373" s="1">
        <v>45077</v>
      </c>
      <c r="J2373">
        <v>15.63</v>
      </c>
      <c r="K2373" s="1">
        <v>44966</v>
      </c>
      <c r="L2373">
        <v>103.221</v>
      </c>
    </row>
    <row r="2374" spans="1:12" x14ac:dyDescent="0.25">
      <c r="A2374" s="1">
        <v>45072</v>
      </c>
      <c r="B2374">
        <v>17.95</v>
      </c>
      <c r="C2374" s="1">
        <v>45084</v>
      </c>
      <c r="D2374">
        <v>15.87</v>
      </c>
      <c r="E2374" s="1">
        <v>45036</v>
      </c>
      <c r="F2374">
        <v>120.61</v>
      </c>
      <c r="G2374" s="1">
        <v>45078</v>
      </c>
      <c r="H2374">
        <v>40.5</v>
      </c>
      <c r="I2374" s="1">
        <v>45078</v>
      </c>
      <c r="J2374">
        <v>15.5</v>
      </c>
      <c r="K2374" s="1">
        <v>44967</v>
      </c>
      <c r="L2374">
        <v>103.63</v>
      </c>
    </row>
    <row r="2375" spans="1:12" x14ac:dyDescent="0.25">
      <c r="A2375" s="1">
        <v>45075</v>
      </c>
      <c r="B2375">
        <v>17.46</v>
      </c>
      <c r="C2375" s="1">
        <v>45085</v>
      </c>
      <c r="D2375">
        <v>15.54</v>
      </c>
      <c r="E2375" s="1">
        <v>45037</v>
      </c>
      <c r="F2375">
        <v>120.84</v>
      </c>
      <c r="G2375" s="1">
        <v>45079</v>
      </c>
      <c r="H2375">
        <v>39.6</v>
      </c>
      <c r="I2375" s="1">
        <v>45079</v>
      </c>
      <c r="J2375">
        <v>14.32</v>
      </c>
      <c r="K2375" s="1">
        <v>44970</v>
      </c>
      <c r="L2375">
        <v>103.345</v>
      </c>
    </row>
    <row r="2376" spans="1:12" x14ac:dyDescent="0.25">
      <c r="A2376" s="1">
        <v>45076</v>
      </c>
      <c r="B2376">
        <v>17.46</v>
      </c>
      <c r="C2376" s="1">
        <v>45086</v>
      </c>
      <c r="D2376">
        <v>14.86</v>
      </c>
      <c r="E2376" s="1">
        <v>45040</v>
      </c>
      <c r="F2376">
        <v>126.28</v>
      </c>
      <c r="G2376" s="1">
        <v>45082</v>
      </c>
      <c r="H2376">
        <v>37.450000000000003</v>
      </c>
      <c r="I2376" s="1">
        <v>45082</v>
      </c>
      <c r="J2376">
        <v>14.27</v>
      </c>
      <c r="K2376" s="1">
        <v>44971</v>
      </c>
      <c r="L2376">
        <v>103.233</v>
      </c>
    </row>
    <row r="2377" spans="1:12" x14ac:dyDescent="0.25">
      <c r="A2377" s="1">
        <v>45077</v>
      </c>
      <c r="B2377">
        <v>17.940000000000001</v>
      </c>
      <c r="C2377" s="1">
        <v>45089</v>
      </c>
      <c r="D2377">
        <v>13.11</v>
      </c>
      <c r="E2377" s="1">
        <v>45041</v>
      </c>
      <c r="F2377">
        <v>137.13</v>
      </c>
      <c r="G2377" s="1">
        <v>45083</v>
      </c>
      <c r="H2377">
        <v>36.07</v>
      </c>
      <c r="I2377" s="1">
        <v>45083</v>
      </c>
      <c r="J2377">
        <v>13.94</v>
      </c>
      <c r="K2377" s="1">
        <v>44972</v>
      </c>
      <c r="L2377">
        <v>103.923</v>
      </c>
    </row>
    <row r="2378" spans="1:12" x14ac:dyDescent="0.25">
      <c r="A2378" s="1">
        <v>45078</v>
      </c>
      <c r="B2378">
        <v>15.65</v>
      </c>
      <c r="C2378" s="1">
        <v>45090</v>
      </c>
      <c r="D2378">
        <v>14.43</v>
      </c>
      <c r="E2378" s="1">
        <v>45042</v>
      </c>
      <c r="F2378">
        <v>130.38999999999999</v>
      </c>
      <c r="G2378" s="1">
        <v>45084</v>
      </c>
      <c r="H2378">
        <v>34.130000000000003</v>
      </c>
      <c r="I2378" s="1">
        <v>45084</v>
      </c>
      <c r="J2378">
        <v>13.81</v>
      </c>
      <c r="K2378" s="1">
        <v>44973</v>
      </c>
      <c r="L2378">
        <v>103.85599999999999</v>
      </c>
    </row>
    <row r="2379" spans="1:12" x14ac:dyDescent="0.25">
      <c r="A2379" s="1">
        <v>45079</v>
      </c>
      <c r="B2379">
        <v>14.6</v>
      </c>
      <c r="C2379" s="1">
        <v>45091</v>
      </c>
      <c r="D2379">
        <v>14.96</v>
      </c>
      <c r="E2379" s="1">
        <v>45043</v>
      </c>
      <c r="F2379">
        <v>122.43</v>
      </c>
      <c r="G2379" s="1">
        <v>45085</v>
      </c>
      <c r="H2379">
        <v>35.18</v>
      </c>
      <c r="I2379" s="1">
        <v>45085</v>
      </c>
      <c r="J2379">
        <v>13.94</v>
      </c>
      <c r="K2379" s="1">
        <v>44974</v>
      </c>
      <c r="L2379">
        <v>103.86199999999999</v>
      </c>
    </row>
    <row r="2380" spans="1:12" x14ac:dyDescent="0.25">
      <c r="A2380" s="1">
        <v>45082</v>
      </c>
      <c r="B2380">
        <v>14.73</v>
      </c>
      <c r="C2380" s="1">
        <v>45092</v>
      </c>
      <c r="D2380">
        <v>15.49</v>
      </c>
      <c r="E2380" s="1">
        <v>45044</v>
      </c>
      <c r="F2380">
        <v>122.46</v>
      </c>
      <c r="G2380" s="1">
        <v>45086</v>
      </c>
      <c r="H2380">
        <v>33.700000000000003</v>
      </c>
      <c r="I2380" s="1">
        <v>45086</v>
      </c>
      <c r="J2380">
        <v>13.69</v>
      </c>
      <c r="K2380" s="1">
        <v>44977</v>
      </c>
      <c r="L2380">
        <v>103.86199999999999</v>
      </c>
    </row>
    <row r="2381" spans="1:12" x14ac:dyDescent="0.25">
      <c r="A2381" s="1">
        <v>45083</v>
      </c>
      <c r="B2381">
        <v>13.96</v>
      </c>
      <c r="C2381" s="1">
        <v>45093</v>
      </c>
      <c r="D2381">
        <v>17</v>
      </c>
      <c r="E2381" s="1">
        <v>45047</v>
      </c>
      <c r="F2381">
        <v>128.18</v>
      </c>
      <c r="G2381" s="1">
        <v>45089</v>
      </c>
      <c r="H2381">
        <v>36.35</v>
      </c>
      <c r="I2381" s="1">
        <v>45089</v>
      </c>
      <c r="J2381">
        <v>13.7</v>
      </c>
      <c r="K2381" s="1">
        <v>44978</v>
      </c>
      <c r="L2381">
        <v>104.176</v>
      </c>
    </row>
    <row r="2382" spans="1:12" x14ac:dyDescent="0.25">
      <c r="A2382" s="1">
        <v>45084</v>
      </c>
      <c r="B2382">
        <v>13.94</v>
      </c>
      <c r="C2382" s="1">
        <v>45097</v>
      </c>
      <c r="D2382">
        <v>16.96</v>
      </c>
      <c r="E2382" s="1">
        <v>45048</v>
      </c>
      <c r="F2382">
        <v>137.55000000000001</v>
      </c>
      <c r="G2382" s="1">
        <v>45090</v>
      </c>
      <c r="H2382">
        <v>32.380000000000003</v>
      </c>
      <c r="I2382" s="1">
        <v>45090</v>
      </c>
      <c r="J2382">
        <v>13.45</v>
      </c>
      <c r="K2382" s="1">
        <v>44979</v>
      </c>
      <c r="L2382">
        <v>104.58499999999999</v>
      </c>
    </row>
    <row r="2383" spans="1:12" x14ac:dyDescent="0.25">
      <c r="A2383" s="1">
        <v>45085</v>
      </c>
      <c r="B2383">
        <v>13.65</v>
      </c>
      <c r="C2383" s="1">
        <v>45098</v>
      </c>
      <c r="D2383">
        <v>16.420000000000002</v>
      </c>
      <c r="E2383" s="1">
        <v>45049</v>
      </c>
      <c r="F2383">
        <v>134.5</v>
      </c>
      <c r="G2383" s="1">
        <v>45091</v>
      </c>
      <c r="H2383">
        <v>33.659999999999997</v>
      </c>
      <c r="I2383" s="1">
        <v>45091</v>
      </c>
      <c r="J2383">
        <v>12.84</v>
      </c>
      <c r="K2383" s="1">
        <v>44980</v>
      </c>
      <c r="L2383">
        <v>104.598</v>
      </c>
    </row>
    <row r="2384" spans="1:12" x14ac:dyDescent="0.25">
      <c r="A2384" s="1">
        <v>45086</v>
      </c>
      <c r="B2384">
        <v>13.83</v>
      </c>
      <c r="C2384" s="1">
        <v>45099</v>
      </c>
      <c r="D2384">
        <v>17.920000000000002</v>
      </c>
      <c r="E2384" s="1">
        <v>45050</v>
      </c>
      <c r="F2384">
        <v>140.71</v>
      </c>
      <c r="G2384" s="1">
        <v>45092</v>
      </c>
      <c r="H2384">
        <v>33.07</v>
      </c>
      <c r="I2384" s="1">
        <v>45092</v>
      </c>
      <c r="J2384">
        <v>13</v>
      </c>
      <c r="K2384" s="1">
        <v>44981</v>
      </c>
      <c r="L2384">
        <v>105.214</v>
      </c>
    </row>
    <row r="2385" spans="1:12" x14ac:dyDescent="0.25">
      <c r="A2385" s="1">
        <v>45089</v>
      </c>
      <c r="B2385">
        <v>15.01</v>
      </c>
      <c r="C2385" s="1">
        <v>45100</v>
      </c>
      <c r="D2385">
        <v>16.010000000000002</v>
      </c>
      <c r="E2385" s="1">
        <v>45051</v>
      </c>
      <c r="F2385">
        <v>130.21</v>
      </c>
      <c r="G2385" s="1">
        <v>45093</v>
      </c>
      <c r="H2385">
        <v>32.99</v>
      </c>
      <c r="I2385" s="1">
        <v>45093</v>
      </c>
      <c r="J2385">
        <v>12.4</v>
      </c>
      <c r="K2385" s="1">
        <v>44984</v>
      </c>
      <c r="L2385">
        <v>104.673</v>
      </c>
    </row>
    <row r="2386" spans="1:12" x14ac:dyDescent="0.25">
      <c r="A2386" s="1">
        <v>45090</v>
      </c>
      <c r="B2386">
        <v>14.61</v>
      </c>
      <c r="C2386" s="1">
        <v>45103</v>
      </c>
      <c r="D2386">
        <v>17.22</v>
      </c>
      <c r="E2386" s="1">
        <v>45054</v>
      </c>
      <c r="F2386">
        <v>135.07</v>
      </c>
      <c r="G2386" s="1">
        <v>45097</v>
      </c>
      <c r="H2386">
        <v>34.75</v>
      </c>
      <c r="I2386" s="1">
        <v>45097</v>
      </c>
      <c r="J2386">
        <v>12.73</v>
      </c>
      <c r="K2386" s="1">
        <v>44985</v>
      </c>
      <c r="L2386">
        <v>104.869</v>
      </c>
    </row>
    <row r="2387" spans="1:12" x14ac:dyDescent="0.25">
      <c r="A2387" s="1">
        <v>45091</v>
      </c>
      <c r="B2387">
        <v>13.88</v>
      </c>
      <c r="C2387" s="1">
        <v>45104</v>
      </c>
      <c r="D2387">
        <v>16.63</v>
      </c>
      <c r="E2387" s="1">
        <v>45055</v>
      </c>
      <c r="F2387">
        <v>133.93</v>
      </c>
      <c r="G2387" s="1">
        <v>45098</v>
      </c>
      <c r="H2387">
        <v>33.26</v>
      </c>
      <c r="I2387" s="1">
        <v>45098</v>
      </c>
      <c r="J2387">
        <v>12.98</v>
      </c>
      <c r="K2387" s="1">
        <v>44986</v>
      </c>
      <c r="L2387">
        <v>104.483</v>
      </c>
    </row>
    <row r="2388" spans="1:12" x14ac:dyDescent="0.25">
      <c r="A2388" s="1">
        <v>45092</v>
      </c>
      <c r="B2388">
        <v>14.5</v>
      </c>
      <c r="C2388" s="1">
        <v>45105</v>
      </c>
      <c r="D2388">
        <v>16.82</v>
      </c>
      <c r="E2388" s="1">
        <v>45056</v>
      </c>
      <c r="F2388">
        <v>125.6</v>
      </c>
      <c r="G2388" s="1">
        <v>45099</v>
      </c>
      <c r="H2388">
        <v>34.93</v>
      </c>
      <c r="I2388" s="1">
        <v>45099</v>
      </c>
      <c r="J2388">
        <v>12.96</v>
      </c>
      <c r="K2388" s="1">
        <v>44987</v>
      </c>
      <c r="L2388">
        <v>105.027</v>
      </c>
    </row>
    <row r="2389" spans="1:12" x14ac:dyDescent="0.25">
      <c r="A2389" s="1">
        <v>45093</v>
      </c>
      <c r="B2389">
        <v>13.54</v>
      </c>
      <c r="C2389" s="1">
        <v>45106</v>
      </c>
      <c r="D2389">
        <v>16.649999999999999</v>
      </c>
      <c r="E2389" s="1">
        <v>45057</v>
      </c>
      <c r="F2389">
        <v>128.21</v>
      </c>
      <c r="G2389" s="1">
        <v>45100</v>
      </c>
      <c r="H2389">
        <v>35.36</v>
      </c>
      <c r="I2389" s="1">
        <v>45100</v>
      </c>
      <c r="J2389">
        <v>12.73</v>
      </c>
      <c r="K2389" s="1">
        <v>44988</v>
      </c>
      <c r="L2389">
        <v>104.521</v>
      </c>
    </row>
    <row r="2390" spans="1:12" x14ac:dyDescent="0.25">
      <c r="A2390" s="1">
        <v>45096</v>
      </c>
      <c r="B2390">
        <v>14.19</v>
      </c>
      <c r="C2390" s="1">
        <v>45107</v>
      </c>
      <c r="D2390">
        <v>15.48</v>
      </c>
      <c r="E2390" s="1">
        <v>45058</v>
      </c>
      <c r="F2390">
        <v>120.52</v>
      </c>
      <c r="G2390" s="1">
        <v>45103</v>
      </c>
      <c r="H2390">
        <v>36.67</v>
      </c>
      <c r="I2390" s="1">
        <v>45103</v>
      </c>
      <c r="J2390">
        <v>13.08</v>
      </c>
      <c r="K2390" s="1">
        <v>44991</v>
      </c>
      <c r="L2390">
        <v>104.35</v>
      </c>
    </row>
    <row r="2391" spans="1:12" x14ac:dyDescent="0.25">
      <c r="A2391" s="1">
        <v>45097</v>
      </c>
      <c r="B2391">
        <v>13.88</v>
      </c>
      <c r="C2391" s="1">
        <v>45110</v>
      </c>
      <c r="D2391">
        <v>15.96</v>
      </c>
      <c r="E2391" s="1">
        <v>45061</v>
      </c>
      <c r="F2391">
        <v>127.89</v>
      </c>
      <c r="G2391" s="1">
        <v>45104</v>
      </c>
      <c r="H2391">
        <v>39.299999999999997</v>
      </c>
      <c r="I2391" s="1">
        <v>45104</v>
      </c>
      <c r="J2391">
        <v>12.88</v>
      </c>
      <c r="K2391" s="1">
        <v>44992</v>
      </c>
      <c r="L2391">
        <v>105.61499999999999</v>
      </c>
    </row>
    <row r="2392" spans="1:12" x14ac:dyDescent="0.25">
      <c r="A2392" s="1">
        <v>45098</v>
      </c>
      <c r="B2392">
        <v>13.2</v>
      </c>
      <c r="C2392" s="1">
        <v>45112</v>
      </c>
      <c r="D2392">
        <v>16.739999999999998</v>
      </c>
      <c r="E2392" s="1">
        <v>45062</v>
      </c>
      <c r="F2392">
        <v>130.30000000000001</v>
      </c>
      <c r="G2392" s="1">
        <v>45105</v>
      </c>
      <c r="H2392">
        <v>36.86</v>
      </c>
      <c r="I2392" s="1">
        <v>45105</v>
      </c>
      <c r="J2392">
        <v>12.53</v>
      </c>
      <c r="K2392" s="1">
        <v>44993</v>
      </c>
      <c r="L2392">
        <v>105.658</v>
      </c>
    </row>
    <row r="2393" spans="1:12" x14ac:dyDescent="0.25">
      <c r="A2393" s="1">
        <v>45099</v>
      </c>
      <c r="B2393">
        <v>12.91</v>
      </c>
      <c r="C2393" s="1">
        <v>45113</v>
      </c>
      <c r="D2393">
        <v>18.510000000000002</v>
      </c>
      <c r="E2393" s="1">
        <v>45063</v>
      </c>
      <c r="F2393">
        <v>120.78</v>
      </c>
      <c r="G2393" s="1">
        <v>45106</v>
      </c>
      <c r="H2393">
        <v>35.42</v>
      </c>
      <c r="I2393" s="1">
        <v>45106</v>
      </c>
      <c r="J2393">
        <v>12.21</v>
      </c>
      <c r="K2393" s="1">
        <v>44994</v>
      </c>
      <c r="L2393">
        <v>105.309</v>
      </c>
    </row>
    <row r="2394" spans="1:12" x14ac:dyDescent="0.25">
      <c r="A2394" s="1">
        <v>45100</v>
      </c>
      <c r="B2394">
        <v>13.44</v>
      </c>
      <c r="C2394" s="1">
        <v>45114</v>
      </c>
      <c r="D2394">
        <v>17.940000000000001</v>
      </c>
      <c r="E2394" s="1">
        <v>45064</v>
      </c>
      <c r="F2394">
        <v>122.5</v>
      </c>
      <c r="G2394" s="1">
        <v>45107</v>
      </c>
      <c r="H2394">
        <v>33.28</v>
      </c>
      <c r="I2394" s="1">
        <v>45107</v>
      </c>
      <c r="J2394">
        <v>12.04</v>
      </c>
      <c r="K2394" s="1">
        <v>44995</v>
      </c>
      <c r="L2394">
        <v>104.57599999999999</v>
      </c>
    </row>
    <row r="2395" spans="1:12" x14ac:dyDescent="0.25">
      <c r="A2395" s="1">
        <v>45103</v>
      </c>
      <c r="B2395">
        <v>14.25</v>
      </c>
      <c r="C2395" s="1">
        <v>45117</v>
      </c>
      <c r="D2395">
        <v>18.190000000000001</v>
      </c>
      <c r="E2395" s="1">
        <v>45065</v>
      </c>
      <c r="F2395">
        <v>127.51</v>
      </c>
      <c r="G2395" s="1">
        <v>45110</v>
      </c>
      <c r="H2395">
        <v>33.880000000000003</v>
      </c>
      <c r="I2395" s="1">
        <v>45110</v>
      </c>
      <c r="J2395">
        <v>12.22</v>
      </c>
      <c r="K2395" s="1">
        <v>44998</v>
      </c>
      <c r="L2395">
        <v>103.595</v>
      </c>
    </row>
    <row r="2396" spans="1:12" x14ac:dyDescent="0.25">
      <c r="A2396" s="1">
        <v>45104</v>
      </c>
      <c r="B2396">
        <v>13.74</v>
      </c>
      <c r="C2396" s="1">
        <v>45118</v>
      </c>
      <c r="D2396">
        <v>17.95</v>
      </c>
      <c r="E2396" s="1">
        <v>45068</v>
      </c>
      <c r="F2396">
        <v>132.29</v>
      </c>
      <c r="G2396" s="1">
        <v>45112</v>
      </c>
      <c r="H2396">
        <v>33.909999999999997</v>
      </c>
      <c r="I2396" s="1">
        <v>45112</v>
      </c>
      <c r="J2396">
        <v>12.46</v>
      </c>
      <c r="K2396" s="1">
        <v>44999</v>
      </c>
      <c r="L2396">
        <v>103.59699999999999</v>
      </c>
    </row>
    <row r="2397" spans="1:12" x14ac:dyDescent="0.25">
      <c r="A2397" s="1">
        <v>45105</v>
      </c>
      <c r="B2397">
        <v>13.43</v>
      </c>
      <c r="C2397" s="1">
        <v>45119</v>
      </c>
      <c r="D2397">
        <v>17.91</v>
      </c>
      <c r="E2397" s="1">
        <v>45069</v>
      </c>
      <c r="F2397">
        <v>131.69999999999999</v>
      </c>
      <c r="G2397" s="1">
        <v>45113</v>
      </c>
      <c r="H2397">
        <v>35.130000000000003</v>
      </c>
      <c r="I2397" s="1">
        <v>45113</v>
      </c>
      <c r="J2397">
        <v>12.25</v>
      </c>
      <c r="K2397" s="1">
        <v>45000</v>
      </c>
      <c r="L2397">
        <v>104.646</v>
      </c>
    </row>
    <row r="2398" spans="1:12" x14ac:dyDescent="0.25">
      <c r="A2398" s="1">
        <v>45106</v>
      </c>
      <c r="B2398">
        <v>13.54</v>
      </c>
      <c r="C2398" s="1">
        <v>45120</v>
      </c>
      <c r="D2398">
        <v>18.23</v>
      </c>
      <c r="E2398" s="1">
        <v>45070</v>
      </c>
      <c r="F2398">
        <v>132.29</v>
      </c>
      <c r="G2398" s="1">
        <v>45114</v>
      </c>
      <c r="H2398">
        <v>34.549999999999997</v>
      </c>
      <c r="I2398" s="1">
        <v>45114</v>
      </c>
      <c r="J2398">
        <v>12.12</v>
      </c>
      <c r="K2398" s="1">
        <v>45001</v>
      </c>
      <c r="L2398">
        <v>104.41800000000001</v>
      </c>
    </row>
    <row r="2399" spans="1:12" x14ac:dyDescent="0.25">
      <c r="A2399" s="1">
        <v>45107</v>
      </c>
      <c r="B2399">
        <v>13.59</v>
      </c>
      <c r="C2399" s="1">
        <v>45121</v>
      </c>
      <c r="D2399">
        <v>18.920000000000002</v>
      </c>
      <c r="E2399" s="1">
        <v>45071</v>
      </c>
      <c r="F2399">
        <v>139.54</v>
      </c>
      <c r="G2399" s="1">
        <v>45117</v>
      </c>
      <c r="H2399">
        <v>38.35</v>
      </c>
      <c r="I2399" s="1">
        <v>45117</v>
      </c>
      <c r="J2399">
        <v>12.41</v>
      </c>
      <c r="K2399" s="1">
        <v>45002</v>
      </c>
      <c r="L2399">
        <v>103.708</v>
      </c>
    </row>
    <row r="2400" spans="1:12" x14ac:dyDescent="0.25">
      <c r="A2400" s="1">
        <v>45110</v>
      </c>
      <c r="B2400">
        <v>13.57</v>
      </c>
      <c r="C2400" s="1">
        <v>45124</v>
      </c>
      <c r="D2400">
        <v>18.38</v>
      </c>
      <c r="E2400" s="1">
        <v>45072</v>
      </c>
      <c r="F2400">
        <v>145.37</v>
      </c>
      <c r="G2400" s="1">
        <v>45118</v>
      </c>
      <c r="H2400">
        <v>32.43</v>
      </c>
      <c r="I2400" s="1">
        <v>45118</v>
      </c>
      <c r="J2400">
        <v>12.64</v>
      </c>
      <c r="K2400" s="1">
        <v>45005</v>
      </c>
      <c r="L2400">
        <v>103.28100000000001</v>
      </c>
    </row>
    <row r="2401" spans="1:12" x14ac:dyDescent="0.25">
      <c r="A2401" s="1">
        <v>45111</v>
      </c>
      <c r="B2401">
        <v>13.7</v>
      </c>
      <c r="C2401" s="1">
        <v>45125</v>
      </c>
      <c r="D2401">
        <v>19.079999999999998</v>
      </c>
      <c r="E2401" s="1">
        <v>45076</v>
      </c>
      <c r="F2401">
        <v>141.36000000000001</v>
      </c>
      <c r="G2401" s="1">
        <v>45119</v>
      </c>
      <c r="H2401">
        <v>32.69</v>
      </c>
      <c r="I2401" s="1">
        <v>45119</v>
      </c>
      <c r="J2401">
        <v>13.12</v>
      </c>
      <c r="K2401" s="1">
        <v>45006</v>
      </c>
      <c r="L2401">
        <v>103.256</v>
      </c>
    </row>
    <row r="2402" spans="1:12" x14ac:dyDescent="0.25">
      <c r="A2402" s="1">
        <v>45112</v>
      </c>
      <c r="B2402">
        <v>14.18</v>
      </c>
      <c r="C2402" s="1">
        <v>45126</v>
      </c>
      <c r="D2402">
        <v>18.47</v>
      </c>
      <c r="E2402" s="1">
        <v>45077</v>
      </c>
      <c r="F2402">
        <v>136.02000000000001</v>
      </c>
      <c r="G2402" s="1">
        <v>45120</v>
      </c>
      <c r="H2402">
        <v>30.04</v>
      </c>
      <c r="I2402" s="1">
        <v>45120</v>
      </c>
      <c r="J2402">
        <v>12.73</v>
      </c>
      <c r="K2402" s="1">
        <v>45007</v>
      </c>
      <c r="L2402">
        <v>102.346</v>
      </c>
    </row>
    <row r="2403" spans="1:12" x14ac:dyDescent="0.25">
      <c r="A2403" s="1">
        <v>45113</v>
      </c>
      <c r="B2403">
        <v>15.44</v>
      </c>
      <c r="C2403" s="1">
        <v>45127</v>
      </c>
      <c r="D2403">
        <v>18.87</v>
      </c>
      <c r="E2403" s="1">
        <v>45078</v>
      </c>
      <c r="F2403">
        <v>124.63</v>
      </c>
      <c r="G2403" s="1">
        <v>45121</v>
      </c>
      <c r="H2403">
        <v>30</v>
      </c>
      <c r="I2403" s="1">
        <v>45121</v>
      </c>
      <c r="J2403">
        <v>12.05</v>
      </c>
      <c r="K2403" s="1">
        <v>45008</v>
      </c>
      <c r="L2403">
        <v>102.532</v>
      </c>
    </row>
    <row r="2404" spans="1:12" x14ac:dyDescent="0.25">
      <c r="A2404" s="1">
        <v>45114</v>
      </c>
      <c r="B2404">
        <v>14.83</v>
      </c>
      <c r="C2404" s="1">
        <v>45128</v>
      </c>
      <c r="D2404">
        <v>18.05</v>
      </c>
      <c r="E2404" s="1">
        <v>45079</v>
      </c>
      <c r="F2404">
        <v>120.95</v>
      </c>
      <c r="G2404" s="1">
        <v>45124</v>
      </c>
      <c r="H2404">
        <v>31.34</v>
      </c>
      <c r="I2404" s="1">
        <v>45124</v>
      </c>
      <c r="J2404">
        <v>12.34</v>
      </c>
      <c r="K2404" s="1">
        <v>45009</v>
      </c>
      <c r="L2404">
        <v>103.116</v>
      </c>
    </row>
    <row r="2405" spans="1:12" x14ac:dyDescent="0.25">
      <c r="A2405" s="1">
        <v>45117</v>
      </c>
      <c r="B2405">
        <v>15.07</v>
      </c>
      <c r="C2405" s="1">
        <v>45131</v>
      </c>
      <c r="D2405">
        <v>18.989999999999998</v>
      </c>
      <c r="E2405" s="1">
        <v>45082</v>
      </c>
      <c r="F2405">
        <v>119.08</v>
      </c>
      <c r="G2405" s="1">
        <v>45125</v>
      </c>
      <c r="H2405">
        <v>30.66</v>
      </c>
      <c r="I2405" s="1">
        <v>45125</v>
      </c>
      <c r="J2405">
        <v>12.62</v>
      </c>
      <c r="K2405" s="1">
        <v>45012</v>
      </c>
      <c r="L2405">
        <v>102.857</v>
      </c>
    </row>
    <row r="2406" spans="1:12" x14ac:dyDescent="0.25">
      <c r="A2406" s="1">
        <v>45118</v>
      </c>
      <c r="B2406">
        <v>14.84</v>
      </c>
      <c r="C2406" s="1">
        <v>45132</v>
      </c>
      <c r="D2406">
        <v>19.63</v>
      </c>
      <c r="E2406" s="1">
        <v>45083</v>
      </c>
      <c r="F2406">
        <v>114.42</v>
      </c>
      <c r="G2406" s="1">
        <v>45126</v>
      </c>
      <c r="H2406">
        <v>31.06</v>
      </c>
      <c r="I2406" s="1">
        <v>45126</v>
      </c>
      <c r="J2406">
        <v>12.89</v>
      </c>
      <c r="K2406" s="1">
        <v>45013</v>
      </c>
      <c r="L2406">
        <v>102.43</v>
      </c>
    </row>
    <row r="2407" spans="1:12" x14ac:dyDescent="0.25">
      <c r="A2407" s="1">
        <v>45119</v>
      </c>
      <c r="B2407">
        <v>13.54</v>
      </c>
      <c r="C2407" s="1">
        <v>45133</v>
      </c>
      <c r="D2407">
        <v>18.3</v>
      </c>
      <c r="E2407" s="1">
        <v>45084</v>
      </c>
      <c r="F2407">
        <v>120.5</v>
      </c>
      <c r="G2407" s="1">
        <v>45127</v>
      </c>
      <c r="H2407">
        <v>30.15</v>
      </c>
      <c r="I2407" s="1">
        <v>45127</v>
      </c>
      <c r="J2407">
        <v>12.67</v>
      </c>
      <c r="K2407" s="1">
        <v>45014</v>
      </c>
      <c r="L2407">
        <v>102.64</v>
      </c>
    </row>
    <row r="2408" spans="1:12" x14ac:dyDescent="0.25">
      <c r="A2408" s="1">
        <v>45120</v>
      </c>
      <c r="B2408">
        <v>13.61</v>
      </c>
      <c r="C2408" s="1">
        <v>45134</v>
      </c>
      <c r="D2408">
        <v>17.39</v>
      </c>
      <c r="E2408" s="1">
        <v>45085</v>
      </c>
      <c r="F2408">
        <v>115.11</v>
      </c>
      <c r="G2408" s="1">
        <v>45128</v>
      </c>
      <c r="H2408">
        <v>29.65</v>
      </c>
      <c r="I2408" s="1">
        <v>45128</v>
      </c>
      <c r="J2408">
        <v>12.23</v>
      </c>
      <c r="K2408" s="1">
        <v>45015</v>
      </c>
      <c r="L2408">
        <v>102.14400000000001</v>
      </c>
    </row>
    <row r="2409" spans="1:12" x14ac:dyDescent="0.25">
      <c r="A2409" s="1">
        <v>45121</v>
      </c>
      <c r="B2409">
        <v>13.34</v>
      </c>
      <c r="C2409" s="1">
        <v>45135</v>
      </c>
      <c r="D2409">
        <v>17.88</v>
      </c>
      <c r="E2409" s="1">
        <v>45086</v>
      </c>
      <c r="F2409">
        <v>115.77</v>
      </c>
      <c r="G2409" s="1">
        <v>45131</v>
      </c>
      <c r="H2409">
        <v>30.11</v>
      </c>
      <c r="I2409" s="1">
        <v>45131</v>
      </c>
      <c r="J2409">
        <v>12.35</v>
      </c>
      <c r="K2409" s="1">
        <v>45016</v>
      </c>
      <c r="L2409">
        <v>102.506</v>
      </c>
    </row>
    <row r="2410" spans="1:12" x14ac:dyDescent="0.25">
      <c r="A2410" s="1">
        <v>45124</v>
      </c>
      <c r="B2410">
        <v>13.48</v>
      </c>
      <c r="C2410" s="1">
        <v>45138</v>
      </c>
      <c r="D2410">
        <v>18.32</v>
      </c>
      <c r="E2410" s="1">
        <v>45089</v>
      </c>
      <c r="F2410">
        <v>119.8</v>
      </c>
      <c r="G2410" s="1">
        <v>45132</v>
      </c>
      <c r="H2410">
        <v>30.63</v>
      </c>
      <c r="I2410" s="1">
        <v>45132</v>
      </c>
      <c r="J2410">
        <v>12.42</v>
      </c>
      <c r="K2410" s="1">
        <v>45019</v>
      </c>
      <c r="L2410">
        <v>102.093</v>
      </c>
    </row>
    <row r="2411" spans="1:12" x14ac:dyDescent="0.25">
      <c r="A2411" s="1">
        <v>45125</v>
      </c>
      <c r="B2411">
        <v>13.3</v>
      </c>
      <c r="C2411" s="1">
        <v>45139</v>
      </c>
      <c r="D2411">
        <v>19.66</v>
      </c>
      <c r="E2411" s="1">
        <v>45090</v>
      </c>
      <c r="F2411">
        <v>118.8</v>
      </c>
      <c r="G2411" s="1">
        <v>45133</v>
      </c>
      <c r="H2411">
        <v>29.97</v>
      </c>
      <c r="I2411" s="1">
        <v>45133</v>
      </c>
      <c r="J2411">
        <v>12.11</v>
      </c>
      <c r="K2411" s="1">
        <v>45020</v>
      </c>
      <c r="L2411">
        <v>101.586</v>
      </c>
    </row>
    <row r="2412" spans="1:12" x14ac:dyDescent="0.25">
      <c r="A2412" s="1">
        <v>45126</v>
      </c>
      <c r="B2412">
        <v>13.76</v>
      </c>
      <c r="C2412" s="1">
        <v>45140</v>
      </c>
      <c r="D2412">
        <v>21.82</v>
      </c>
      <c r="E2412" s="1">
        <v>45091</v>
      </c>
      <c r="F2412">
        <v>114.37</v>
      </c>
      <c r="G2412" s="1">
        <v>45134</v>
      </c>
      <c r="H2412">
        <v>29.12</v>
      </c>
      <c r="I2412" s="1">
        <v>45134</v>
      </c>
      <c r="J2412">
        <v>12.29</v>
      </c>
      <c r="K2412" s="1">
        <v>45021</v>
      </c>
      <c r="L2412">
        <v>101.852</v>
      </c>
    </row>
    <row r="2413" spans="1:12" x14ac:dyDescent="0.25">
      <c r="A2413" s="1">
        <v>45127</v>
      </c>
      <c r="B2413">
        <v>13.99</v>
      </c>
      <c r="C2413" s="1">
        <v>45141</v>
      </c>
      <c r="D2413">
        <v>22</v>
      </c>
      <c r="E2413" s="1">
        <v>45092</v>
      </c>
      <c r="F2413">
        <v>107.34</v>
      </c>
      <c r="G2413" s="1">
        <v>45135</v>
      </c>
      <c r="H2413">
        <v>29.41</v>
      </c>
      <c r="I2413" s="1">
        <v>45135</v>
      </c>
      <c r="J2413">
        <v>11.78</v>
      </c>
      <c r="K2413" s="1">
        <v>45022</v>
      </c>
      <c r="L2413">
        <v>101.822</v>
      </c>
    </row>
    <row r="2414" spans="1:12" x14ac:dyDescent="0.25">
      <c r="A2414" s="1">
        <v>45128</v>
      </c>
      <c r="B2414">
        <v>13.6</v>
      </c>
      <c r="C2414" s="1">
        <v>45142</v>
      </c>
      <c r="D2414">
        <v>20.78</v>
      </c>
      <c r="E2414" s="1">
        <v>45093</v>
      </c>
      <c r="F2414">
        <v>104.43</v>
      </c>
      <c r="G2414" s="1">
        <v>45138</v>
      </c>
      <c r="H2414">
        <v>28.48</v>
      </c>
      <c r="I2414" s="1">
        <v>45138</v>
      </c>
      <c r="J2414">
        <v>12.16</v>
      </c>
      <c r="K2414" s="1">
        <v>45023</v>
      </c>
      <c r="L2414">
        <v>102.092</v>
      </c>
    </row>
    <row r="2415" spans="1:12" x14ac:dyDescent="0.25">
      <c r="A2415" s="1">
        <v>45131</v>
      </c>
      <c r="B2415">
        <v>13.91</v>
      </c>
      <c r="C2415" s="1">
        <v>45145</v>
      </c>
      <c r="D2415">
        <v>21.47</v>
      </c>
      <c r="E2415" s="1">
        <v>45097</v>
      </c>
      <c r="F2415">
        <v>114.19</v>
      </c>
      <c r="G2415" s="1">
        <v>45139</v>
      </c>
      <c r="H2415">
        <v>28.35</v>
      </c>
      <c r="I2415" s="1">
        <v>45139</v>
      </c>
      <c r="J2415">
        <v>11.83</v>
      </c>
      <c r="K2415" s="1">
        <v>45026</v>
      </c>
      <c r="L2415">
        <v>102.578</v>
      </c>
    </row>
    <row r="2416" spans="1:12" x14ac:dyDescent="0.25">
      <c r="A2416" s="1">
        <v>45132</v>
      </c>
      <c r="B2416">
        <v>13.86</v>
      </c>
      <c r="C2416" s="1">
        <v>45146</v>
      </c>
      <c r="D2416">
        <v>23.37</v>
      </c>
      <c r="E2416" s="1">
        <v>45098</v>
      </c>
      <c r="F2416">
        <v>110.84</v>
      </c>
      <c r="G2416" s="1">
        <v>45140</v>
      </c>
      <c r="H2416">
        <v>28.74</v>
      </c>
      <c r="I2416" s="1">
        <v>45140</v>
      </c>
      <c r="J2416">
        <v>12.45</v>
      </c>
      <c r="K2416" s="1">
        <v>45027</v>
      </c>
      <c r="L2416">
        <v>102.20399999999999</v>
      </c>
    </row>
    <row r="2417" spans="1:12" x14ac:dyDescent="0.25">
      <c r="A2417" s="1">
        <v>45133</v>
      </c>
      <c r="B2417">
        <v>13.19</v>
      </c>
      <c r="C2417" s="1">
        <v>45147</v>
      </c>
      <c r="D2417">
        <v>20.5</v>
      </c>
      <c r="E2417" s="1">
        <v>45099</v>
      </c>
      <c r="F2417">
        <v>107.7</v>
      </c>
      <c r="G2417" s="1">
        <v>45141</v>
      </c>
      <c r="H2417">
        <v>28.54</v>
      </c>
      <c r="I2417" s="1">
        <v>45141</v>
      </c>
      <c r="J2417">
        <v>12.79</v>
      </c>
      <c r="K2417" s="1">
        <v>45028</v>
      </c>
      <c r="L2417">
        <v>101.5</v>
      </c>
    </row>
    <row r="2418" spans="1:12" x14ac:dyDescent="0.25">
      <c r="A2418" s="1">
        <v>45134</v>
      </c>
      <c r="B2418">
        <v>14.41</v>
      </c>
      <c r="C2418" s="1">
        <v>45148</v>
      </c>
      <c r="D2418">
        <v>19.77</v>
      </c>
      <c r="E2418" s="1">
        <v>45100</v>
      </c>
      <c r="F2418">
        <v>105.74</v>
      </c>
      <c r="G2418" s="1">
        <v>45142</v>
      </c>
      <c r="H2418">
        <v>28.06</v>
      </c>
      <c r="I2418" s="1">
        <v>45142</v>
      </c>
      <c r="J2418">
        <v>12.22</v>
      </c>
      <c r="K2418" s="1">
        <v>45029</v>
      </c>
      <c r="L2418">
        <v>101.011</v>
      </c>
    </row>
    <row r="2419" spans="1:12" x14ac:dyDescent="0.25">
      <c r="A2419" s="1">
        <v>45135</v>
      </c>
      <c r="B2419">
        <v>13.33</v>
      </c>
      <c r="C2419" s="1">
        <v>45149</v>
      </c>
      <c r="D2419">
        <v>20.149999999999999</v>
      </c>
      <c r="E2419" s="1">
        <v>45103</v>
      </c>
      <c r="F2419">
        <v>109.02</v>
      </c>
      <c r="G2419" s="1">
        <v>45145</v>
      </c>
      <c r="H2419">
        <v>27.73</v>
      </c>
      <c r="I2419" s="1">
        <v>45145</v>
      </c>
      <c r="J2419">
        <v>12.24</v>
      </c>
      <c r="K2419" s="1">
        <v>45030</v>
      </c>
      <c r="L2419">
        <v>101.55200000000001</v>
      </c>
    </row>
    <row r="2420" spans="1:12" x14ac:dyDescent="0.25">
      <c r="A2420" s="1">
        <v>45138</v>
      </c>
      <c r="B2420">
        <v>13.63</v>
      </c>
      <c r="C2420" s="1">
        <v>45152</v>
      </c>
      <c r="D2420">
        <v>20.03</v>
      </c>
      <c r="E2420" s="1">
        <v>45104</v>
      </c>
      <c r="F2420">
        <v>110.85</v>
      </c>
      <c r="G2420" s="1">
        <v>45146</v>
      </c>
      <c r="H2420">
        <v>27.14</v>
      </c>
      <c r="I2420" s="1">
        <v>45146</v>
      </c>
      <c r="J2420">
        <v>12.21</v>
      </c>
      <c r="K2420" s="1">
        <v>45033</v>
      </c>
      <c r="L2420">
        <v>102.10299999999999</v>
      </c>
    </row>
    <row r="2421" spans="1:12" x14ac:dyDescent="0.25">
      <c r="A2421" s="1">
        <v>45139</v>
      </c>
      <c r="B2421">
        <v>13.93</v>
      </c>
      <c r="C2421" s="1">
        <v>45153</v>
      </c>
      <c r="D2421">
        <v>20.53</v>
      </c>
      <c r="E2421" s="1">
        <v>45105</v>
      </c>
      <c r="F2421">
        <v>108.3</v>
      </c>
      <c r="G2421" s="1">
        <v>45147</v>
      </c>
      <c r="H2421">
        <v>28.56</v>
      </c>
      <c r="I2421" s="1">
        <v>45147</v>
      </c>
      <c r="J2421">
        <v>12.33</v>
      </c>
      <c r="K2421" s="1">
        <v>45034</v>
      </c>
      <c r="L2421">
        <v>101.745</v>
      </c>
    </row>
    <row r="2422" spans="1:12" x14ac:dyDescent="0.25">
      <c r="A2422" s="1">
        <v>45140</v>
      </c>
      <c r="B2422">
        <v>16.09</v>
      </c>
      <c r="C2422" s="1">
        <v>45154</v>
      </c>
      <c r="D2422">
        <v>20.16</v>
      </c>
      <c r="E2422" s="1">
        <v>45106</v>
      </c>
      <c r="F2422">
        <v>113.45</v>
      </c>
      <c r="G2422" s="1">
        <v>45148</v>
      </c>
      <c r="H2422">
        <v>27.27</v>
      </c>
      <c r="I2422" s="1">
        <v>45148</v>
      </c>
      <c r="J2422">
        <v>11.84</v>
      </c>
      <c r="K2422" s="1">
        <v>45035</v>
      </c>
      <c r="L2422">
        <v>101.968</v>
      </c>
    </row>
    <row r="2423" spans="1:12" x14ac:dyDescent="0.25">
      <c r="A2423" s="1">
        <v>45141</v>
      </c>
      <c r="B2423">
        <v>15.92</v>
      </c>
      <c r="C2423" s="1">
        <v>45155</v>
      </c>
      <c r="D2423">
        <v>19.36</v>
      </c>
      <c r="E2423" s="1">
        <v>45107</v>
      </c>
      <c r="F2423">
        <v>110.64</v>
      </c>
      <c r="G2423" s="1">
        <v>45149</v>
      </c>
      <c r="H2423">
        <v>28.04</v>
      </c>
      <c r="I2423" s="1">
        <v>45149</v>
      </c>
      <c r="J2423">
        <v>11.54</v>
      </c>
      <c r="K2423" s="1">
        <v>45036</v>
      </c>
      <c r="L2423">
        <v>101.84</v>
      </c>
    </row>
    <row r="2424" spans="1:12" x14ac:dyDescent="0.25">
      <c r="A2424" s="1">
        <v>45142</v>
      </c>
      <c r="B2424">
        <v>17.100000000000001</v>
      </c>
      <c r="C2424" s="1">
        <v>45156</v>
      </c>
      <c r="D2424">
        <v>21.5</v>
      </c>
      <c r="E2424" s="1">
        <v>45110</v>
      </c>
      <c r="F2424">
        <v>110.77</v>
      </c>
      <c r="G2424" s="1">
        <v>45152</v>
      </c>
      <c r="H2424">
        <v>27.55</v>
      </c>
      <c r="I2424" s="1">
        <v>45152</v>
      </c>
      <c r="J2424">
        <v>11.97</v>
      </c>
      <c r="K2424" s="1">
        <v>45037</v>
      </c>
      <c r="L2424">
        <v>101.822</v>
      </c>
    </row>
    <row r="2425" spans="1:12" x14ac:dyDescent="0.25">
      <c r="A2425" s="1">
        <v>45145</v>
      </c>
      <c r="B2425">
        <v>15.77</v>
      </c>
      <c r="C2425" s="1">
        <v>45159</v>
      </c>
      <c r="D2425">
        <v>19.96</v>
      </c>
      <c r="E2425" s="1">
        <v>45112</v>
      </c>
      <c r="F2425">
        <v>110.53</v>
      </c>
      <c r="G2425" s="1">
        <v>45153</v>
      </c>
      <c r="H2425">
        <v>28.3</v>
      </c>
      <c r="I2425" s="1">
        <v>45153</v>
      </c>
      <c r="J2425">
        <v>12.11</v>
      </c>
      <c r="K2425" s="1">
        <v>45040</v>
      </c>
      <c r="L2425">
        <v>101.348</v>
      </c>
    </row>
    <row r="2426" spans="1:12" x14ac:dyDescent="0.25">
      <c r="A2426" s="1">
        <v>45146</v>
      </c>
      <c r="B2426">
        <v>15.99</v>
      </c>
      <c r="C2426" s="1">
        <v>45160</v>
      </c>
      <c r="D2426">
        <v>18.46</v>
      </c>
      <c r="E2426" s="1">
        <v>45113</v>
      </c>
      <c r="F2426">
        <v>134.63</v>
      </c>
      <c r="G2426" s="1">
        <v>45154</v>
      </c>
      <c r="H2426">
        <v>28.54</v>
      </c>
      <c r="I2426" s="1">
        <v>45154</v>
      </c>
      <c r="J2426">
        <v>12.43</v>
      </c>
      <c r="K2426" s="1">
        <v>45041</v>
      </c>
      <c r="L2426">
        <v>101.863</v>
      </c>
    </row>
    <row r="2427" spans="1:12" x14ac:dyDescent="0.25">
      <c r="A2427" s="1">
        <v>45147</v>
      </c>
      <c r="B2427">
        <v>15.96</v>
      </c>
      <c r="C2427" s="1">
        <v>45161</v>
      </c>
      <c r="D2427">
        <v>18.5</v>
      </c>
      <c r="E2427" s="1">
        <v>45114</v>
      </c>
      <c r="F2427">
        <v>130.41</v>
      </c>
      <c r="G2427" s="1">
        <v>45155</v>
      </c>
      <c r="H2427">
        <v>29.3</v>
      </c>
      <c r="I2427" s="1">
        <v>45155</v>
      </c>
      <c r="J2427">
        <v>12.89</v>
      </c>
      <c r="K2427" s="1">
        <v>45042</v>
      </c>
      <c r="L2427">
        <v>101.467</v>
      </c>
    </row>
    <row r="2428" spans="1:12" x14ac:dyDescent="0.25">
      <c r="A2428" s="1">
        <v>45148</v>
      </c>
      <c r="B2428">
        <v>15.85</v>
      </c>
      <c r="C2428" s="1">
        <v>45162</v>
      </c>
      <c r="D2428">
        <v>19.059999999999999</v>
      </c>
      <c r="E2428" s="1">
        <v>45117</v>
      </c>
      <c r="F2428">
        <v>131.72999999999999</v>
      </c>
      <c r="G2428" s="1">
        <v>45156</v>
      </c>
      <c r="H2428">
        <v>28.43</v>
      </c>
      <c r="I2428" s="1">
        <v>45156</v>
      </c>
      <c r="J2428">
        <v>12.63</v>
      </c>
      <c r="K2428" s="1">
        <v>45043</v>
      </c>
      <c r="L2428">
        <v>101.503</v>
      </c>
    </row>
    <row r="2429" spans="1:12" x14ac:dyDescent="0.25">
      <c r="A2429" s="1">
        <v>45149</v>
      </c>
      <c r="B2429">
        <v>14.84</v>
      </c>
      <c r="C2429" s="1">
        <v>45163</v>
      </c>
      <c r="D2429">
        <v>18.46</v>
      </c>
      <c r="E2429" s="1">
        <v>45118</v>
      </c>
      <c r="F2429">
        <v>127.07</v>
      </c>
      <c r="G2429" s="1">
        <v>45159</v>
      </c>
      <c r="H2429">
        <v>28.9</v>
      </c>
      <c r="I2429" s="1">
        <v>45159</v>
      </c>
      <c r="J2429">
        <v>12.91</v>
      </c>
      <c r="K2429" s="1">
        <v>45044</v>
      </c>
      <c r="L2429">
        <v>101.65900000000001</v>
      </c>
    </row>
    <row r="2430" spans="1:12" x14ac:dyDescent="0.25">
      <c r="A2430" s="1">
        <v>45152</v>
      </c>
      <c r="B2430">
        <v>14.82</v>
      </c>
      <c r="C2430" s="1">
        <v>45166</v>
      </c>
      <c r="D2430">
        <v>17.79</v>
      </c>
      <c r="E2430" s="1">
        <v>45119</v>
      </c>
      <c r="F2430">
        <v>114.07</v>
      </c>
      <c r="G2430" s="1">
        <v>45160</v>
      </c>
      <c r="H2430">
        <v>28.56</v>
      </c>
      <c r="I2430" s="1">
        <v>45160</v>
      </c>
      <c r="J2430">
        <v>12.58</v>
      </c>
      <c r="K2430" s="1">
        <v>45047</v>
      </c>
      <c r="L2430">
        <v>102.151</v>
      </c>
    </row>
    <row r="2431" spans="1:12" x14ac:dyDescent="0.25">
      <c r="A2431" s="1">
        <v>45153</v>
      </c>
      <c r="B2431">
        <v>16.46</v>
      </c>
      <c r="C2431" s="1">
        <v>45167</v>
      </c>
      <c r="D2431">
        <v>17.399999999999999</v>
      </c>
      <c r="E2431" s="1">
        <v>45120</v>
      </c>
      <c r="F2431">
        <v>111.75</v>
      </c>
      <c r="G2431" s="1">
        <v>45161</v>
      </c>
      <c r="H2431">
        <v>28.47</v>
      </c>
      <c r="I2431" s="1">
        <v>45161</v>
      </c>
      <c r="J2431">
        <v>12.67</v>
      </c>
      <c r="K2431" s="1">
        <v>45048</v>
      </c>
      <c r="L2431">
        <v>101.958</v>
      </c>
    </row>
    <row r="2432" spans="1:12" x14ac:dyDescent="0.25">
      <c r="A2432" s="1">
        <v>45154</v>
      </c>
      <c r="B2432">
        <v>16.78</v>
      </c>
      <c r="C2432" s="1">
        <v>45168</v>
      </c>
      <c r="D2432">
        <v>16.88</v>
      </c>
      <c r="E2432" s="1">
        <v>45121</v>
      </c>
      <c r="F2432">
        <v>112.48</v>
      </c>
      <c r="G2432" s="1">
        <v>45162</v>
      </c>
      <c r="H2432">
        <v>28.88</v>
      </c>
      <c r="I2432" s="1">
        <v>45162</v>
      </c>
      <c r="J2432">
        <v>12.53</v>
      </c>
      <c r="K2432" s="1">
        <v>45049</v>
      </c>
      <c r="L2432">
        <v>101.343</v>
      </c>
    </row>
    <row r="2433" spans="1:12" x14ac:dyDescent="0.25">
      <c r="A2433" s="1">
        <v>45155</v>
      </c>
      <c r="B2433">
        <v>17.89</v>
      </c>
      <c r="C2433" s="1">
        <v>45169</v>
      </c>
      <c r="D2433">
        <v>16.989999999999998</v>
      </c>
      <c r="E2433" s="1">
        <v>45124</v>
      </c>
      <c r="F2433">
        <v>113.5</v>
      </c>
      <c r="G2433" s="1">
        <v>45163</v>
      </c>
      <c r="H2433">
        <v>28.81</v>
      </c>
      <c r="I2433" s="1">
        <v>45163</v>
      </c>
      <c r="J2433">
        <v>12.09</v>
      </c>
      <c r="K2433" s="1">
        <v>45050</v>
      </c>
      <c r="L2433">
        <v>101.399</v>
      </c>
    </row>
    <row r="2434" spans="1:12" x14ac:dyDescent="0.25">
      <c r="A2434" s="1">
        <v>45156</v>
      </c>
      <c r="B2434">
        <v>17.3</v>
      </c>
      <c r="C2434" s="1">
        <v>45170</v>
      </c>
      <c r="D2434">
        <v>16.14</v>
      </c>
      <c r="E2434" s="1">
        <v>45125</v>
      </c>
      <c r="F2434">
        <v>112.45</v>
      </c>
      <c r="G2434" s="1">
        <v>45166</v>
      </c>
      <c r="H2434">
        <v>28.66</v>
      </c>
      <c r="I2434" s="1">
        <v>45166</v>
      </c>
      <c r="J2434">
        <v>12.21</v>
      </c>
      <c r="K2434" s="1">
        <v>45051</v>
      </c>
      <c r="L2434">
        <v>101.214</v>
      </c>
    </row>
    <row r="2435" spans="1:12" x14ac:dyDescent="0.25">
      <c r="A2435" s="1">
        <v>45159</v>
      </c>
      <c r="B2435">
        <v>17.13</v>
      </c>
      <c r="C2435" s="1">
        <v>45174</v>
      </c>
      <c r="D2435">
        <v>17.09</v>
      </c>
      <c r="E2435" s="1">
        <v>45126</v>
      </c>
      <c r="F2435">
        <v>107.19</v>
      </c>
      <c r="G2435" s="1">
        <v>45167</v>
      </c>
      <c r="H2435">
        <v>27.63</v>
      </c>
      <c r="I2435" s="1">
        <v>45167</v>
      </c>
      <c r="J2435">
        <v>12.5</v>
      </c>
      <c r="K2435" s="1">
        <v>45054</v>
      </c>
      <c r="L2435">
        <v>101.377</v>
      </c>
    </row>
    <row r="2436" spans="1:12" x14ac:dyDescent="0.25">
      <c r="A2436" s="1">
        <v>45160</v>
      </c>
      <c r="B2436">
        <v>16.97</v>
      </c>
      <c r="C2436" s="1">
        <v>45175</v>
      </c>
      <c r="D2436">
        <v>17.61</v>
      </c>
      <c r="E2436" s="1">
        <v>45127</v>
      </c>
      <c r="F2436">
        <v>112.85</v>
      </c>
      <c r="G2436" s="1">
        <v>45168</v>
      </c>
      <c r="H2436">
        <v>26.63</v>
      </c>
      <c r="I2436" s="1">
        <v>45168</v>
      </c>
      <c r="J2436">
        <v>12.39</v>
      </c>
      <c r="K2436" s="1">
        <v>45055</v>
      </c>
      <c r="L2436">
        <v>101.605</v>
      </c>
    </row>
    <row r="2437" spans="1:12" x14ac:dyDescent="0.25">
      <c r="A2437" s="1">
        <v>45161</v>
      </c>
      <c r="B2437">
        <v>15.98</v>
      </c>
      <c r="C2437" s="1">
        <v>45176</v>
      </c>
      <c r="D2437">
        <v>18.68</v>
      </c>
      <c r="E2437" s="1">
        <v>45128</v>
      </c>
      <c r="F2437">
        <v>106.66</v>
      </c>
      <c r="G2437" s="1">
        <v>45169</v>
      </c>
      <c r="H2437">
        <v>26.56</v>
      </c>
      <c r="I2437" s="1">
        <v>45169</v>
      </c>
      <c r="J2437">
        <v>11.78</v>
      </c>
      <c r="K2437" s="1">
        <v>45056</v>
      </c>
      <c r="L2437">
        <v>101.477</v>
      </c>
    </row>
    <row r="2438" spans="1:12" x14ac:dyDescent="0.25">
      <c r="A2438" s="1">
        <v>45162</v>
      </c>
      <c r="B2438">
        <v>17.2</v>
      </c>
      <c r="C2438" s="1">
        <v>45177</v>
      </c>
      <c r="D2438">
        <v>17.07</v>
      </c>
      <c r="E2438" s="1">
        <v>45131</v>
      </c>
      <c r="F2438">
        <v>109.95</v>
      </c>
      <c r="G2438" s="1">
        <v>45170</v>
      </c>
      <c r="H2438">
        <v>27.48</v>
      </c>
      <c r="I2438" s="1">
        <v>45170</v>
      </c>
      <c r="J2438">
        <v>11.28</v>
      </c>
      <c r="K2438" s="1">
        <v>45057</v>
      </c>
      <c r="L2438">
        <v>102.05800000000001</v>
      </c>
    </row>
    <row r="2439" spans="1:12" x14ac:dyDescent="0.25">
      <c r="A2439" s="1">
        <v>45163</v>
      </c>
      <c r="B2439">
        <v>15.68</v>
      </c>
      <c r="C2439" s="1">
        <v>45180</v>
      </c>
      <c r="D2439">
        <v>15.71</v>
      </c>
      <c r="E2439" s="1">
        <v>45132</v>
      </c>
      <c r="F2439">
        <v>113.02</v>
      </c>
      <c r="G2439" s="1">
        <v>45174</v>
      </c>
      <c r="H2439">
        <v>28.65</v>
      </c>
      <c r="I2439" s="1">
        <v>45174</v>
      </c>
      <c r="J2439">
        <v>11.36</v>
      </c>
      <c r="K2439" s="1">
        <v>45058</v>
      </c>
      <c r="L2439">
        <v>102.681</v>
      </c>
    </row>
    <row r="2440" spans="1:12" x14ac:dyDescent="0.25">
      <c r="A2440" s="1">
        <v>45166</v>
      </c>
      <c r="B2440">
        <v>15.08</v>
      </c>
      <c r="C2440" s="1">
        <v>45181</v>
      </c>
      <c r="D2440">
        <v>15.86</v>
      </c>
      <c r="E2440" s="1">
        <v>45133</v>
      </c>
      <c r="F2440">
        <v>104.88</v>
      </c>
      <c r="G2440" s="1">
        <v>45175</v>
      </c>
      <c r="H2440">
        <v>28.33</v>
      </c>
      <c r="I2440" s="1">
        <v>45175</v>
      </c>
      <c r="J2440">
        <v>11.31</v>
      </c>
      <c r="K2440" s="1">
        <v>45061</v>
      </c>
      <c r="L2440">
        <v>102.434</v>
      </c>
    </row>
    <row r="2441" spans="1:12" x14ac:dyDescent="0.25">
      <c r="A2441" s="1">
        <v>45167</v>
      </c>
      <c r="B2441">
        <v>14.45</v>
      </c>
      <c r="C2441" s="1">
        <v>45182</v>
      </c>
      <c r="D2441">
        <v>14.26</v>
      </c>
      <c r="E2441" s="1">
        <v>45134</v>
      </c>
      <c r="F2441">
        <v>111.15</v>
      </c>
      <c r="G2441" s="1">
        <v>45176</v>
      </c>
      <c r="H2441">
        <v>27.59</v>
      </c>
      <c r="I2441" s="1">
        <v>45176</v>
      </c>
      <c r="J2441">
        <v>11.11</v>
      </c>
      <c r="K2441" s="1">
        <v>45062</v>
      </c>
      <c r="L2441">
        <v>102.56399999999999</v>
      </c>
    </row>
    <row r="2442" spans="1:12" x14ac:dyDescent="0.25">
      <c r="A2442" s="1">
        <v>45168</v>
      </c>
      <c r="B2442">
        <v>13.88</v>
      </c>
      <c r="C2442" s="1">
        <v>45183</v>
      </c>
      <c r="D2442">
        <v>13.42</v>
      </c>
      <c r="E2442" s="1">
        <v>45135</v>
      </c>
      <c r="F2442">
        <v>109.76</v>
      </c>
      <c r="G2442" s="1">
        <v>45177</v>
      </c>
      <c r="H2442">
        <v>27.16</v>
      </c>
      <c r="I2442" s="1">
        <v>45177</v>
      </c>
      <c r="J2442">
        <v>10.99</v>
      </c>
      <c r="K2442" s="1">
        <v>45063</v>
      </c>
      <c r="L2442">
        <v>102.88200000000001</v>
      </c>
    </row>
    <row r="2443" spans="1:12" x14ac:dyDescent="0.25">
      <c r="A2443" s="1">
        <v>45169</v>
      </c>
      <c r="B2443">
        <v>13.57</v>
      </c>
      <c r="C2443" s="1">
        <v>45184</v>
      </c>
      <c r="D2443">
        <v>15.46</v>
      </c>
      <c r="E2443" s="1">
        <v>45138</v>
      </c>
      <c r="F2443">
        <v>112.03</v>
      </c>
      <c r="G2443" s="1">
        <v>45180</v>
      </c>
      <c r="H2443">
        <v>24.37</v>
      </c>
      <c r="I2443" s="1">
        <v>45180</v>
      </c>
      <c r="J2443">
        <v>10.75</v>
      </c>
      <c r="K2443" s="1">
        <v>45064</v>
      </c>
      <c r="L2443">
        <v>103.584</v>
      </c>
    </row>
    <row r="2444" spans="1:12" x14ac:dyDescent="0.25">
      <c r="A2444" s="1">
        <v>45170</v>
      </c>
      <c r="B2444">
        <v>13.09</v>
      </c>
      <c r="C2444" s="1">
        <v>45187</v>
      </c>
      <c r="D2444">
        <v>15.01</v>
      </c>
      <c r="E2444" s="1">
        <v>45139</v>
      </c>
      <c r="F2444">
        <v>116.38</v>
      </c>
      <c r="G2444" s="1">
        <v>45181</v>
      </c>
      <c r="H2444">
        <v>24.23</v>
      </c>
      <c r="I2444" s="1">
        <v>45181</v>
      </c>
      <c r="J2444">
        <v>10.82</v>
      </c>
      <c r="K2444" s="1">
        <v>45065</v>
      </c>
      <c r="L2444">
        <v>103.19799999999999</v>
      </c>
    </row>
    <row r="2445" spans="1:12" x14ac:dyDescent="0.25">
      <c r="A2445" s="1">
        <v>45173</v>
      </c>
      <c r="B2445">
        <v>13.82</v>
      </c>
      <c r="C2445" s="1">
        <v>45188</v>
      </c>
      <c r="D2445">
        <v>15.68</v>
      </c>
      <c r="E2445" s="1">
        <v>45140</v>
      </c>
      <c r="F2445">
        <v>115.15</v>
      </c>
      <c r="G2445" s="1">
        <v>45182</v>
      </c>
      <c r="H2445">
        <v>25.06</v>
      </c>
      <c r="I2445" s="1">
        <v>45182</v>
      </c>
      <c r="J2445">
        <v>10.33</v>
      </c>
      <c r="K2445" s="1">
        <v>45068</v>
      </c>
      <c r="L2445">
        <v>103.19799999999999</v>
      </c>
    </row>
    <row r="2446" spans="1:12" x14ac:dyDescent="0.25">
      <c r="A2446" s="1">
        <v>45174</v>
      </c>
      <c r="B2446">
        <v>14.01</v>
      </c>
      <c r="C2446" s="1">
        <v>45189</v>
      </c>
      <c r="D2446">
        <v>20.71</v>
      </c>
      <c r="E2446" s="1">
        <v>45141</v>
      </c>
      <c r="F2446">
        <v>124.6</v>
      </c>
      <c r="G2446" s="1">
        <v>45183</v>
      </c>
      <c r="H2446">
        <v>26.56</v>
      </c>
      <c r="I2446" s="1">
        <v>45183</v>
      </c>
      <c r="J2446">
        <v>10.220000000000001</v>
      </c>
      <c r="K2446" s="1">
        <v>45069</v>
      </c>
      <c r="L2446">
        <v>103.488</v>
      </c>
    </row>
    <row r="2447" spans="1:12" x14ac:dyDescent="0.25">
      <c r="A2447" s="1">
        <v>45175</v>
      </c>
      <c r="B2447">
        <v>14.45</v>
      </c>
      <c r="C2447" s="1">
        <v>45190</v>
      </c>
      <c r="D2447">
        <v>18.829999999999998</v>
      </c>
      <c r="E2447" s="1">
        <v>45142</v>
      </c>
      <c r="F2447">
        <v>115.91</v>
      </c>
      <c r="G2447" s="1">
        <v>45184</v>
      </c>
      <c r="H2447">
        <v>27.16</v>
      </c>
      <c r="I2447" s="1">
        <v>45184</v>
      </c>
      <c r="J2447">
        <v>10.34</v>
      </c>
      <c r="K2447" s="1">
        <v>45070</v>
      </c>
      <c r="L2447">
        <v>103.887</v>
      </c>
    </row>
    <row r="2448" spans="1:12" x14ac:dyDescent="0.25">
      <c r="A2448" s="1">
        <v>45176</v>
      </c>
      <c r="B2448">
        <v>14.4</v>
      </c>
      <c r="C2448" s="1">
        <v>45191</v>
      </c>
      <c r="D2448">
        <v>17.73</v>
      </c>
      <c r="E2448" s="1">
        <v>45145</v>
      </c>
      <c r="F2448">
        <v>120.94</v>
      </c>
      <c r="G2448" s="1">
        <v>45187</v>
      </c>
      <c r="H2448">
        <v>27.91</v>
      </c>
      <c r="I2448" s="1">
        <v>45187</v>
      </c>
      <c r="J2448">
        <v>11.1</v>
      </c>
      <c r="K2448" s="1">
        <v>45071</v>
      </c>
      <c r="L2448">
        <v>104.251</v>
      </c>
    </row>
    <row r="2449" spans="1:12" x14ac:dyDescent="0.25">
      <c r="A2449" s="1">
        <v>45177</v>
      </c>
      <c r="B2449">
        <v>13.84</v>
      </c>
      <c r="C2449" s="1">
        <v>45194</v>
      </c>
      <c r="D2449">
        <v>18.59</v>
      </c>
      <c r="E2449" s="1">
        <v>45146</v>
      </c>
      <c r="F2449">
        <v>118.74</v>
      </c>
      <c r="G2449" s="1">
        <v>45188</v>
      </c>
      <c r="H2449">
        <v>30.32</v>
      </c>
      <c r="I2449" s="1">
        <v>45188</v>
      </c>
      <c r="J2449">
        <v>11.09</v>
      </c>
      <c r="K2449" s="1">
        <v>45072</v>
      </c>
      <c r="L2449">
        <v>104.206</v>
      </c>
    </row>
    <row r="2450" spans="1:12" x14ac:dyDescent="0.25">
      <c r="A2450" s="1">
        <v>45180</v>
      </c>
      <c r="B2450">
        <v>13.8</v>
      </c>
      <c r="C2450" s="1">
        <v>45195</v>
      </c>
      <c r="D2450">
        <v>20.260000000000002</v>
      </c>
      <c r="E2450" s="1">
        <v>45147</v>
      </c>
      <c r="F2450">
        <v>112.55</v>
      </c>
      <c r="G2450" s="1">
        <v>45189</v>
      </c>
      <c r="H2450">
        <v>30.38</v>
      </c>
      <c r="I2450" s="1">
        <v>45189</v>
      </c>
      <c r="J2450">
        <v>10.96</v>
      </c>
      <c r="K2450" s="1">
        <v>45075</v>
      </c>
      <c r="L2450">
        <v>104.206</v>
      </c>
    </row>
    <row r="2451" spans="1:12" x14ac:dyDescent="0.25">
      <c r="A2451" s="1">
        <v>45181</v>
      </c>
      <c r="B2451">
        <v>14.23</v>
      </c>
      <c r="C2451" s="1">
        <v>45196</v>
      </c>
      <c r="D2451">
        <v>20.32</v>
      </c>
      <c r="E2451" s="1">
        <v>45148</v>
      </c>
      <c r="F2451">
        <v>108.64</v>
      </c>
      <c r="G2451" s="1">
        <v>45190</v>
      </c>
      <c r="H2451">
        <v>31.35</v>
      </c>
      <c r="I2451" s="1">
        <v>45190</v>
      </c>
      <c r="J2451">
        <v>11.11</v>
      </c>
      <c r="K2451" s="1">
        <v>45076</v>
      </c>
      <c r="L2451">
        <v>104.16500000000001</v>
      </c>
    </row>
    <row r="2452" spans="1:12" x14ac:dyDescent="0.25">
      <c r="A2452" s="1">
        <v>45182</v>
      </c>
      <c r="B2452">
        <v>13.48</v>
      </c>
      <c r="C2452" s="1">
        <v>45197</v>
      </c>
      <c r="D2452">
        <v>19.98</v>
      </c>
      <c r="E2452" s="1">
        <v>45149</v>
      </c>
      <c r="F2452">
        <v>112.13</v>
      </c>
      <c r="G2452" s="1">
        <v>45191</v>
      </c>
      <c r="H2452">
        <v>30.61</v>
      </c>
      <c r="I2452" s="1">
        <v>45191</v>
      </c>
      <c r="J2452">
        <v>10.87</v>
      </c>
      <c r="K2452" s="1">
        <v>45077</v>
      </c>
      <c r="L2452">
        <v>104.32599999999999</v>
      </c>
    </row>
    <row r="2453" spans="1:12" x14ac:dyDescent="0.25">
      <c r="A2453" s="1">
        <v>45183</v>
      </c>
      <c r="B2453">
        <v>12.82</v>
      </c>
      <c r="C2453" s="1">
        <v>45198</v>
      </c>
      <c r="D2453">
        <v>18.739999999999998</v>
      </c>
      <c r="E2453" s="1">
        <v>45152</v>
      </c>
      <c r="F2453">
        <v>119.94</v>
      </c>
      <c r="G2453" s="1">
        <v>45194</v>
      </c>
      <c r="H2453">
        <v>30.96</v>
      </c>
      <c r="I2453" s="1">
        <v>45194</v>
      </c>
      <c r="J2453">
        <v>11.43</v>
      </c>
      <c r="K2453" s="1">
        <v>45078</v>
      </c>
      <c r="L2453">
        <v>103.56</v>
      </c>
    </row>
    <row r="2454" spans="1:12" x14ac:dyDescent="0.25">
      <c r="A2454" s="1">
        <v>45184</v>
      </c>
      <c r="B2454">
        <v>13.79</v>
      </c>
      <c r="C2454" s="1">
        <v>45201</v>
      </c>
      <c r="D2454">
        <v>19.38</v>
      </c>
      <c r="E2454" s="1">
        <v>45153</v>
      </c>
      <c r="F2454">
        <v>121.8</v>
      </c>
      <c r="G2454" s="1">
        <v>45195</v>
      </c>
      <c r="H2454">
        <v>31.3</v>
      </c>
      <c r="I2454" s="1">
        <v>45195</v>
      </c>
      <c r="J2454">
        <v>13.63</v>
      </c>
      <c r="K2454" s="1">
        <v>45079</v>
      </c>
      <c r="L2454">
        <v>104.015</v>
      </c>
    </row>
    <row r="2455" spans="1:12" x14ac:dyDescent="0.25">
      <c r="A2455" s="1">
        <v>45187</v>
      </c>
      <c r="B2455">
        <v>14</v>
      </c>
      <c r="C2455" s="1">
        <v>45202</v>
      </c>
      <c r="D2455">
        <v>21.56</v>
      </c>
      <c r="E2455" s="1">
        <v>45154</v>
      </c>
      <c r="F2455">
        <v>117.24</v>
      </c>
      <c r="G2455" s="1">
        <v>45196</v>
      </c>
      <c r="H2455">
        <v>32.479999999999997</v>
      </c>
      <c r="I2455" s="1">
        <v>45196</v>
      </c>
      <c r="J2455">
        <v>13.86</v>
      </c>
      <c r="K2455" s="1">
        <v>45082</v>
      </c>
      <c r="L2455">
        <v>104.002</v>
      </c>
    </row>
    <row r="2456" spans="1:12" x14ac:dyDescent="0.25">
      <c r="A2456" s="1">
        <v>45188</v>
      </c>
      <c r="B2456">
        <v>14.11</v>
      </c>
      <c r="C2456" s="1">
        <v>45203</v>
      </c>
      <c r="D2456">
        <v>20.68</v>
      </c>
      <c r="E2456" s="1">
        <v>45155</v>
      </c>
      <c r="F2456">
        <v>121.14</v>
      </c>
      <c r="G2456" s="1">
        <v>45197</v>
      </c>
      <c r="H2456">
        <v>31.62</v>
      </c>
      <c r="I2456" s="1">
        <v>45197</v>
      </c>
      <c r="J2456">
        <v>13.09</v>
      </c>
      <c r="K2456" s="1">
        <v>45083</v>
      </c>
      <c r="L2456">
        <v>104.125</v>
      </c>
    </row>
    <row r="2457" spans="1:12" x14ac:dyDescent="0.25">
      <c r="A2457" s="1">
        <v>45189</v>
      </c>
      <c r="B2457">
        <v>15.14</v>
      </c>
      <c r="C2457" s="1">
        <v>45204</v>
      </c>
      <c r="D2457">
        <v>20.07</v>
      </c>
      <c r="E2457" s="1">
        <v>45156</v>
      </c>
      <c r="F2457">
        <v>120.51</v>
      </c>
      <c r="G2457" s="1">
        <v>45198</v>
      </c>
      <c r="H2457">
        <v>32.24</v>
      </c>
      <c r="I2457" s="1">
        <v>45198</v>
      </c>
      <c r="J2457">
        <v>12.94</v>
      </c>
      <c r="K2457" s="1">
        <v>45084</v>
      </c>
      <c r="L2457">
        <v>104.099</v>
      </c>
    </row>
    <row r="2458" spans="1:12" x14ac:dyDescent="0.25">
      <c r="A2458" s="1">
        <v>45190</v>
      </c>
      <c r="B2458">
        <v>17.54</v>
      </c>
      <c r="C2458" s="1">
        <v>45205</v>
      </c>
      <c r="D2458">
        <v>19.23</v>
      </c>
      <c r="E2458" s="1">
        <v>45159</v>
      </c>
      <c r="F2458">
        <v>130.69</v>
      </c>
      <c r="G2458" s="1">
        <v>45201</v>
      </c>
      <c r="H2458">
        <v>32</v>
      </c>
      <c r="I2458" s="1">
        <v>45201</v>
      </c>
      <c r="J2458">
        <v>14.13</v>
      </c>
      <c r="K2458" s="1">
        <v>45085</v>
      </c>
      <c r="L2458">
        <v>103.343</v>
      </c>
    </row>
    <row r="2459" spans="1:12" x14ac:dyDescent="0.25">
      <c r="A2459" s="1">
        <v>45191</v>
      </c>
      <c r="B2459">
        <v>17.2</v>
      </c>
      <c r="C2459" s="1">
        <v>45208</v>
      </c>
      <c r="D2459">
        <v>20.05</v>
      </c>
      <c r="E2459" s="1">
        <v>45160</v>
      </c>
      <c r="F2459">
        <v>126.65</v>
      </c>
      <c r="G2459" s="1">
        <v>45202</v>
      </c>
      <c r="H2459">
        <v>33.25</v>
      </c>
      <c r="I2459" s="1">
        <v>45202</v>
      </c>
      <c r="J2459">
        <v>15.31</v>
      </c>
      <c r="K2459" s="1">
        <v>45086</v>
      </c>
      <c r="L2459">
        <v>103.557</v>
      </c>
    </row>
    <row r="2460" spans="1:12" x14ac:dyDescent="0.25">
      <c r="A2460" s="1">
        <v>45194</v>
      </c>
      <c r="B2460">
        <v>16.899999999999999</v>
      </c>
      <c r="C2460" s="1">
        <v>45209</v>
      </c>
      <c r="D2460">
        <v>19.05</v>
      </c>
      <c r="E2460" s="1">
        <v>45161</v>
      </c>
      <c r="F2460">
        <v>118.4</v>
      </c>
      <c r="G2460" s="1">
        <v>45203</v>
      </c>
      <c r="H2460">
        <v>35.35</v>
      </c>
      <c r="I2460" s="1">
        <v>45203</v>
      </c>
      <c r="J2460">
        <v>14.58</v>
      </c>
      <c r="K2460" s="1">
        <v>45089</v>
      </c>
      <c r="L2460">
        <v>103.654</v>
      </c>
    </row>
    <row r="2461" spans="1:12" x14ac:dyDescent="0.25">
      <c r="A2461" s="1">
        <v>45195</v>
      </c>
      <c r="B2461">
        <v>18.940000000000001</v>
      </c>
      <c r="C2461" s="1">
        <v>45210</v>
      </c>
      <c r="D2461">
        <v>18.59</v>
      </c>
      <c r="E2461" s="1">
        <v>45162</v>
      </c>
      <c r="F2461">
        <v>117.56</v>
      </c>
      <c r="G2461" s="1">
        <v>45204</v>
      </c>
      <c r="H2461">
        <v>36.590000000000003</v>
      </c>
      <c r="I2461" s="1">
        <v>45204</v>
      </c>
      <c r="J2461">
        <v>14.7</v>
      </c>
      <c r="K2461" s="1">
        <v>45090</v>
      </c>
      <c r="L2461">
        <v>103.33799999999999</v>
      </c>
    </row>
    <row r="2462" spans="1:12" x14ac:dyDescent="0.25">
      <c r="A2462" s="1">
        <v>45196</v>
      </c>
      <c r="B2462">
        <v>18.22</v>
      </c>
      <c r="C2462" s="1">
        <v>45211</v>
      </c>
      <c r="D2462">
        <v>18.489999999999998</v>
      </c>
      <c r="E2462" s="1">
        <v>45163</v>
      </c>
      <c r="F2462">
        <v>110.37</v>
      </c>
      <c r="G2462" s="1">
        <v>45205</v>
      </c>
      <c r="H2462">
        <v>35.68</v>
      </c>
      <c r="I2462" s="1">
        <v>45205</v>
      </c>
      <c r="J2462">
        <v>14.03</v>
      </c>
      <c r="K2462" s="1">
        <v>45091</v>
      </c>
      <c r="L2462">
        <v>102.94799999999999</v>
      </c>
    </row>
    <row r="2463" spans="1:12" x14ac:dyDescent="0.25">
      <c r="A2463" s="1">
        <v>45197</v>
      </c>
      <c r="B2463">
        <v>17.34</v>
      </c>
      <c r="C2463" s="1">
        <v>45212</v>
      </c>
      <c r="D2463">
        <v>19.25</v>
      </c>
      <c r="E2463" s="1">
        <v>45166</v>
      </c>
      <c r="F2463">
        <v>110.45</v>
      </c>
      <c r="G2463" s="1">
        <v>45208</v>
      </c>
      <c r="H2463">
        <v>39.85</v>
      </c>
      <c r="I2463" s="1">
        <v>45208</v>
      </c>
      <c r="J2463">
        <v>15.18</v>
      </c>
      <c r="K2463" s="1">
        <v>45092</v>
      </c>
      <c r="L2463">
        <v>102.11499999999999</v>
      </c>
    </row>
    <row r="2464" spans="1:12" x14ac:dyDescent="0.25">
      <c r="A2464" s="1">
        <v>45198</v>
      </c>
      <c r="B2464">
        <v>17.52</v>
      </c>
      <c r="C2464" s="1">
        <v>45215</v>
      </c>
      <c r="D2464">
        <v>18.059999999999999</v>
      </c>
      <c r="E2464" s="1">
        <v>45167</v>
      </c>
      <c r="F2464">
        <v>110.68</v>
      </c>
      <c r="G2464" s="1">
        <v>45209</v>
      </c>
      <c r="H2464">
        <v>39.54</v>
      </c>
      <c r="I2464" s="1">
        <v>45209</v>
      </c>
      <c r="J2464">
        <v>14.49</v>
      </c>
      <c r="K2464" s="1">
        <v>45093</v>
      </c>
      <c r="L2464">
        <v>102.24299999999999</v>
      </c>
    </row>
    <row r="2465" spans="1:12" x14ac:dyDescent="0.25">
      <c r="A2465" s="1">
        <v>45201</v>
      </c>
      <c r="B2465">
        <v>17.61</v>
      </c>
      <c r="C2465" s="1">
        <v>45216</v>
      </c>
      <c r="D2465">
        <v>18.739999999999998</v>
      </c>
      <c r="E2465" s="1">
        <v>45168</v>
      </c>
      <c r="F2465">
        <v>109.84</v>
      </c>
      <c r="G2465" s="1">
        <v>45210</v>
      </c>
      <c r="H2465">
        <v>38.94</v>
      </c>
      <c r="I2465" s="1">
        <v>45210</v>
      </c>
      <c r="J2465">
        <v>14.38</v>
      </c>
      <c r="K2465" s="1">
        <v>45096</v>
      </c>
      <c r="L2465">
        <v>102.52200000000001</v>
      </c>
    </row>
    <row r="2466" spans="1:12" x14ac:dyDescent="0.25">
      <c r="A2466" s="1">
        <v>45202</v>
      </c>
      <c r="B2466">
        <v>19.78</v>
      </c>
      <c r="C2466" s="1">
        <v>45217</v>
      </c>
      <c r="D2466">
        <v>19.89</v>
      </c>
      <c r="E2466" s="1">
        <v>45169</v>
      </c>
      <c r="F2466">
        <v>107.93</v>
      </c>
      <c r="G2466" s="1">
        <v>45211</v>
      </c>
      <c r="H2466">
        <v>38.520000000000003</v>
      </c>
      <c r="I2466" s="1">
        <v>45211</v>
      </c>
      <c r="J2466">
        <v>13.98</v>
      </c>
      <c r="K2466" s="1">
        <v>45097</v>
      </c>
      <c r="L2466">
        <v>102.54</v>
      </c>
    </row>
    <row r="2467" spans="1:12" x14ac:dyDescent="0.25">
      <c r="A2467" s="1">
        <v>45203</v>
      </c>
      <c r="B2467">
        <v>18.579999999999998</v>
      </c>
      <c r="C2467" s="1">
        <v>45218</v>
      </c>
      <c r="D2467">
        <v>20.149999999999999</v>
      </c>
      <c r="E2467" s="1">
        <v>45170</v>
      </c>
      <c r="F2467">
        <v>102.92</v>
      </c>
      <c r="G2467" s="1">
        <v>45212</v>
      </c>
      <c r="H2467">
        <v>44.24</v>
      </c>
      <c r="I2467" s="1">
        <v>45212</v>
      </c>
      <c r="J2467">
        <v>18.91</v>
      </c>
      <c r="K2467" s="1">
        <v>45098</v>
      </c>
      <c r="L2467">
        <v>102.071</v>
      </c>
    </row>
    <row r="2468" spans="1:12" x14ac:dyDescent="0.25">
      <c r="A2468" s="1">
        <v>45204</v>
      </c>
      <c r="B2468">
        <v>18.489999999999998</v>
      </c>
      <c r="C2468" s="1">
        <v>45219</v>
      </c>
      <c r="D2468">
        <v>20.86</v>
      </c>
      <c r="E2468" s="1">
        <v>45174</v>
      </c>
      <c r="F2468">
        <v>109.64</v>
      </c>
      <c r="G2468" s="1">
        <v>45215</v>
      </c>
      <c r="H2468">
        <v>40.700000000000003</v>
      </c>
      <c r="I2468" s="1">
        <v>45215</v>
      </c>
      <c r="J2468">
        <v>16.22</v>
      </c>
      <c r="K2468" s="1">
        <v>45099</v>
      </c>
      <c r="L2468">
        <v>102.386</v>
      </c>
    </row>
    <row r="2469" spans="1:12" x14ac:dyDescent="0.25">
      <c r="A2469" s="1">
        <v>45205</v>
      </c>
      <c r="B2469">
        <v>17.45</v>
      </c>
      <c r="C2469" s="1">
        <v>45222</v>
      </c>
      <c r="D2469">
        <v>20.91</v>
      </c>
      <c r="E2469" s="1">
        <v>45175</v>
      </c>
      <c r="F2469">
        <v>111.31</v>
      </c>
      <c r="G2469" s="1">
        <v>45216</v>
      </c>
      <c r="H2469">
        <v>41.37</v>
      </c>
      <c r="I2469" s="1">
        <v>45216</v>
      </c>
      <c r="J2469">
        <v>16.59</v>
      </c>
      <c r="K2469" s="1">
        <v>45100</v>
      </c>
      <c r="L2469">
        <v>102.90300000000001</v>
      </c>
    </row>
    <row r="2470" spans="1:12" x14ac:dyDescent="0.25">
      <c r="A2470" s="1">
        <v>45208</v>
      </c>
      <c r="B2470">
        <v>17.7</v>
      </c>
      <c r="C2470" s="1">
        <v>45223</v>
      </c>
      <c r="D2470">
        <v>19.510000000000002</v>
      </c>
      <c r="E2470" s="1">
        <v>45176</v>
      </c>
      <c r="F2470">
        <v>105.2</v>
      </c>
      <c r="G2470" s="1">
        <v>45217</v>
      </c>
      <c r="H2470">
        <v>44.4</v>
      </c>
      <c r="I2470" s="1">
        <v>45217</v>
      </c>
      <c r="J2470">
        <v>17.38</v>
      </c>
      <c r="K2470" s="1">
        <v>45103</v>
      </c>
      <c r="L2470">
        <v>102.69199999999999</v>
      </c>
    </row>
    <row r="2471" spans="1:12" x14ac:dyDescent="0.25">
      <c r="A2471" s="1">
        <v>45209</v>
      </c>
      <c r="B2471">
        <v>17.03</v>
      </c>
      <c r="C2471" s="1">
        <v>45224</v>
      </c>
      <c r="D2471">
        <v>20.65</v>
      </c>
      <c r="E2471" s="1">
        <v>45177</v>
      </c>
      <c r="F2471">
        <v>104.34</v>
      </c>
      <c r="G2471" s="1">
        <v>45218</v>
      </c>
      <c r="H2471">
        <v>45.7</v>
      </c>
      <c r="I2471" s="1">
        <v>45218</v>
      </c>
      <c r="J2471">
        <v>19.399999999999999</v>
      </c>
      <c r="K2471" s="1">
        <v>45104</v>
      </c>
      <c r="L2471">
        <v>102.492</v>
      </c>
    </row>
    <row r="2472" spans="1:12" x14ac:dyDescent="0.25">
      <c r="A2472" s="1">
        <v>45210</v>
      </c>
      <c r="B2472">
        <v>16.09</v>
      </c>
      <c r="C2472" s="1">
        <v>45225</v>
      </c>
      <c r="D2472">
        <v>21.11</v>
      </c>
      <c r="E2472" s="1">
        <v>45180</v>
      </c>
      <c r="F2472">
        <v>107.23</v>
      </c>
      <c r="G2472" s="1">
        <v>45219</v>
      </c>
      <c r="H2472">
        <v>43.79</v>
      </c>
      <c r="I2472" s="1">
        <v>45219</v>
      </c>
      <c r="J2472">
        <v>18.559999999999999</v>
      </c>
      <c r="K2472" s="1">
        <v>45105</v>
      </c>
      <c r="L2472">
        <v>102.905</v>
      </c>
    </row>
    <row r="2473" spans="1:12" x14ac:dyDescent="0.25">
      <c r="A2473" s="1">
        <v>45211</v>
      </c>
      <c r="B2473">
        <v>16.690000000000001</v>
      </c>
      <c r="C2473" s="1">
        <v>45226</v>
      </c>
      <c r="D2473">
        <v>20.83</v>
      </c>
      <c r="E2473" s="1">
        <v>45181</v>
      </c>
      <c r="F2473">
        <v>105.11</v>
      </c>
      <c r="G2473" s="1">
        <v>45222</v>
      </c>
      <c r="H2473">
        <v>41.74</v>
      </c>
      <c r="I2473" s="1">
        <v>45222</v>
      </c>
      <c r="J2473">
        <v>17.28</v>
      </c>
      <c r="K2473" s="1">
        <v>45106</v>
      </c>
      <c r="L2473">
        <v>103.342</v>
      </c>
    </row>
    <row r="2474" spans="1:12" x14ac:dyDescent="0.25">
      <c r="A2474" s="1">
        <v>45212</v>
      </c>
      <c r="B2474">
        <v>19.32</v>
      </c>
      <c r="C2474" s="1">
        <v>45229</v>
      </c>
      <c r="D2474">
        <v>20.11</v>
      </c>
      <c r="E2474" s="1">
        <v>45182</v>
      </c>
      <c r="F2474">
        <v>101.86</v>
      </c>
      <c r="G2474" s="1">
        <v>45223</v>
      </c>
      <c r="H2474">
        <v>41.08</v>
      </c>
      <c r="I2474" s="1">
        <v>45223</v>
      </c>
      <c r="J2474">
        <v>16.05</v>
      </c>
      <c r="K2474" s="1">
        <v>45107</v>
      </c>
      <c r="L2474">
        <v>102.91200000000001</v>
      </c>
    </row>
    <row r="2475" spans="1:12" x14ac:dyDescent="0.25">
      <c r="A2475" s="1">
        <v>45215</v>
      </c>
      <c r="B2475">
        <v>17.21</v>
      </c>
      <c r="C2475" s="1">
        <v>45230</v>
      </c>
      <c r="D2475">
        <v>19.809999999999999</v>
      </c>
      <c r="E2475" s="1">
        <v>45183</v>
      </c>
      <c r="F2475">
        <v>97.11</v>
      </c>
      <c r="G2475" s="1">
        <v>45224</v>
      </c>
      <c r="H2475">
        <v>44.91</v>
      </c>
      <c r="I2475" s="1">
        <v>45224</v>
      </c>
      <c r="J2475">
        <v>16.760000000000002</v>
      </c>
      <c r="K2475" s="1">
        <v>45110</v>
      </c>
      <c r="L2475">
        <v>102.988</v>
      </c>
    </row>
    <row r="2476" spans="1:12" x14ac:dyDescent="0.25">
      <c r="A2476" s="1">
        <v>45216</v>
      </c>
      <c r="B2476">
        <v>17.88</v>
      </c>
      <c r="C2476" s="1">
        <v>45231</v>
      </c>
      <c r="D2476">
        <v>18.670000000000002</v>
      </c>
      <c r="E2476" s="1">
        <v>45184</v>
      </c>
      <c r="F2476">
        <v>96.61</v>
      </c>
      <c r="G2476" s="1">
        <v>45225</v>
      </c>
      <c r="H2476">
        <v>43.93</v>
      </c>
      <c r="I2476" s="1">
        <v>45225</v>
      </c>
      <c r="J2476">
        <v>16.53</v>
      </c>
      <c r="K2476" s="1">
        <v>45111</v>
      </c>
      <c r="L2476">
        <v>103.039</v>
      </c>
    </row>
    <row r="2477" spans="1:12" x14ac:dyDescent="0.25">
      <c r="A2477" s="1">
        <v>45217</v>
      </c>
      <c r="B2477">
        <v>19.22</v>
      </c>
      <c r="C2477" s="1">
        <v>45232</v>
      </c>
      <c r="D2477">
        <v>18.61</v>
      </c>
      <c r="E2477" s="1">
        <v>45187</v>
      </c>
      <c r="F2477">
        <v>99.32</v>
      </c>
      <c r="G2477" s="1">
        <v>45226</v>
      </c>
      <c r="H2477">
        <v>46.64</v>
      </c>
      <c r="I2477" s="1">
        <v>45226</v>
      </c>
      <c r="J2477">
        <v>17.690000000000001</v>
      </c>
      <c r="K2477" s="1">
        <v>45112</v>
      </c>
      <c r="L2477">
        <v>103.373</v>
      </c>
    </row>
    <row r="2478" spans="1:12" x14ac:dyDescent="0.25">
      <c r="A2478" s="1">
        <v>45218</v>
      </c>
      <c r="B2478">
        <v>21.4</v>
      </c>
      <c r="C2478" s="1">
        <v>45233</v>
      </c>
      <c r="D2478">
        <v>18.07</v>
      </c>
      <c r="E2478" s="1">
        <v>45188</v>
      </c>
      <c r="F2478">
        <v>101.31</v>
      </c>
      <c r="G2478" s="1">
        <v>45229</v>
      </c>
      <c r="H2478">
        <v>44.01</v>
      </c>
      <c r="I2478" s="1">
        <v>45229</v>
      </c>
      <c r="J2478">
        <v>16.84</v>
      </c>
      <c r="K2478" s="1">
        <v>45113</v>
      </c>
      <c r="L2478">
        <v>103.166</v>
      </c>
    </row>
    <row r="2479" spans="1:12" x14ac:dyDescent="0.25">
      <c r="A2479" s="1">
        <v>45219</v>
      </c>
      <c r="B2479">
        <v>21.71</v>
      </c>
      <c r="C2479" s="1">
        <v>45236</v>
      </c>
      <c r="D2479">
        <v>18.68</v>
      </c>
      <c r="E2479" s="1">
        <v>45189</v>
      </c>
      <c r="F2479">
        <v>97.04</v>
      </c>
      <c r="G2479" s="1">
        <v>45230</v>
      </c>
      <c r="H2479">
        <v>41.99</v>
      </c>
      <c r="I2479" s="1">
        <v>45230</v>
      </c>
      <c r="J2479">
        <v>16.23</v>
      </c>
      <c r="K2479" s="1">
        <v>45114</v>
      </c>
      <c r="L2479">
        <v>102.27200000000001</v>
      </c>
    </row>
    <row r="2480" spans="1:12" x14ac:dyDescent="0.25">
      <c r="A2480" s="1">
        <v>45222</v>
      </c>
      <c r="B2480">
        <v>20.37</v>
      </c>
      <c r="C2480" s="1">
        <v>45237</v>
      </c>
      <c r="D2480">
        <v>17.8</v>
      </c>
      <c r="E2480" s="1">
        <v>45190</v>
      </c>
      <c r="F2480">
        <v>106</v>
      </c>
      <c r="G2480" s="1">
        <v>45231</v>
      </c>
      <c r="H2480">
        <v>40.520000000000003</v>
      </c>
      <c r="I2480" s="1">
        <v>45231</v>
      </c>
      <c r="J2480">
        <v>15.36</v>
      </c>
      <c r="K2480" s="1">
        <v>45117</v>
      </c>
      <c r="L2480">
        <v>101.97199999999999</v>
      </c>
    </row>
    <row r="2481" spans="1:12" x14ac:dyDescent="0.25">
      <c r="A2481" s="1">
        <v>45223</v>
      </c>
      <c r="B2481">
        <v>18.97</v>
      </c>
      <c r="C2481" s="1">
        <v>45238</v>
      </c>
      <c r="D2481">
        <v>17.52</v>
      </c>
      <c r="E2481" s="1">
        <v>45191</v>
      </c>
      <c r="F2481">
        <v>101.11</v>
      </c>
      <c r="G2481" s="1">
        <v>45232</v>
      </c>
      <c r="H2481">
        <v>39.79</v>
      </c>
      <c r="I2481" s="1">
        <v>45232</v>
      </c>
      <c r="J2481">
        <v>14.76</v>
      </c>
      <c r="K2481" s="1">
        <v>45118</v>
      </c>
      <c r="L2481">
        <v>101.732</v>
      </c>
    </row>
    <row r="2482" spans="1:12" x14ac:dyDescent="0.25">
      <c r="A2482" s="1">
        <v>45224</v>
      </c>
      <c r="B2482">
        <v>20.190000000000001</v>
      </c>
      <c r="C2482" s="1">
        <v>45239</v>
      </c>
      <c r="D2482">
        <v>17.37</v>
      </c>
      <c r="E2482" s="1">
        <v>45194</v>
      </c>
      <c r="F2482">
        <v>117.33</v>
      </c>
      <c r="G2482" s="1">
        <v>45233</v>
      </c>
      <c r="H2482">
        <v>38.53</v>
      </c>
      <c r="I2482" s="1">
        <v>45233</v>
      </c>
      <c r="J2482">
        <v>14.04</v>
      </c>
      <c r="K2482" s="1">
        <v>45119</v>
      </c>
      <c r="L2482">
        <v>100.521</v>
      </c>
    </row>
    <row r="2483" spans="1:12" x14ac:dyDescent="0.25">
      <c r="A2483" s="1">
        <v>45225</v>
      </c>
      <c r="B2483">
        <v>20.68</v>
      </c>
      <c r="C2483" s="1">
        <v>45240</v>
      </c>
      <c r="D2483">
        <v>16.670000000000002</v>
      </c>
      <c r="E2483" s="1">
        <v>45195</v>
      </c>
      <c r="F2483">
        <v>117.72</v>
      </c>
      <c r="G2483" s="1">
        <v>45236</v>
      </c>
      <c r="H2483">
        <v>36.31</v>
      </c>
      <c r="I2483" s="1">
        <v>45236</v>
      </c>
      <c r="J2483">
        <v>13.25</v>
      </c>
      <c r="K2483" s="1">
        <v>45120</v>
      </c>
      <c r="L2483">
        <v>99.77</v>
      </c>
    </row>
    <row r="2484" spans="1:12" x14ac:dyDescent="0.25">
      <c r="A2484" s="1">
        <v>45226</v>
      </c>
      <c r="B2484">
        <v>21.27</v>
      </c>
      <c r="C2484" s="1">
        <v>45243</v>
      </c>
      <c r="D2484">
        <v>17.079999999999998</v>
      </c>
      <c r="E2484" s="1">
        <v>45196</v>
      </c>
      <c r="F2484">
        <v>122.09</v>
      </c>
      <c r="G2484" s="1">
        <v>45237</v>
      </c>
      <c r="H2484">
        <v>38.72</v>
      </c>
      <c r="I2484" s="1">
        <v>45237</v>
      </c>
      <c r="J2484">
        <v>13.33</v>
      </c>
      <c r="K2484" s="1">
        <v>45121</v>
      </c>
      <c r="L2484">
        <v>99.914000000000001</v>
      </c>
    </row>
    <row r="2485" spans="1:12" x14ac:dyDescent="0.25">
      <c r="A2485" s="1">
        <v>45229</v>
      </c>
      <c r="B2485">
        <v>19.75</v>
      </c>
      <c r="C2485" s="1">
        <v>45244</v>
      </c>
      <c r="D2485">
        <v>17.41</v>
      </c>
      <c r="E2485" s="1">
        <v>45197</v>
      </c>
      <c r="F2485">
        <v>115.24</v>
      </c>
      <c r="G2485" s="1">
        <v>45238</v>
      </c>
      <c r="H2485">
        <v>40.44</v>
      </c>
      <c r="I2485" s="1">
        <v>45238</v>
      </c>
      <c r="J2485">
        <v>14.07</v>
      </c>
      <c r="K2485" s="1">
        <v>45124</v>
      </c>
      <c r="L2485">
        <v>99.841999999999999</v>
      </c>
    </row>
    <row r="2486" spans="1:12" x14ac:dyDescent="0.25">
      <c r="A2486" s="1">
        <v>45230</v>
      </c>
      <c r="B2486">
        <v>18.14</v>
      </c>
      <c r="C2486" s="1">
        <v>45245</v>
      </c>
      <c r="D2486">
        <v>17.82</v>
      </c>
      <c r="E2486" s="1">
        <v>45198</v>
      </c>
      <c r="F2486">
        <v>113.55</v>
      </c>
      <c r="G2486" s="1">
        <v>45239</v>
      </c>
      <c r="H2486">
        <v>41.23</v>
      </c>
      <c r="I2486" s="1">
        <v>45239</v>
      </c>
      <c r="J2486">
        <v>14.06</v>
      </c>
      <c r="K2486" s="1">
        <v>45125</v>
      </c>
      <c r="L2486">
        <v>99.941000000000003</v>
      </c>
    </row>
    <row r="2487" spans="1:12" x14ac:dyDescent="0.25">
      <c r="A2487" s="1">
        <v>45231</v>
      </c>
      <c r="B2487">
        <v>16.87</v>
      </c>
      <c r="C2487" s="1">
        <v>45246</v>
      </c>
      <c r="D2487">
        <v>16.78</v>
      </c>
      <c r="E2487" s="1">
        <v>45201</v>
      </c>
      <c r="F2487">
        <v>127.59</v>
      </c>
      <c r="G2487" s="1">
        <v>45240</v>
      </c>
      <c r="H2487">
        <v>39.29</v>
      </c>
      <c r="I2487" s="1">
        <v>45240</v>
      </c>
      <c r="J2487">
        <v>13.96</v>
      </c>
      <c r="K2487" s="1">
        <v>45126</v>
      </c>
      <c r="L2487">
        <v>100.28100000000001</v>
      </c>
    </row>
    <row r="2488" spans="1:12" x14ac:dyDescent="0.25">
      <c r="A2488" s="1">
        <v>45232</v>
      </c>
      <c r="B2488">
        <v>15.66</v>
      </c>
      <c r="C2488" s="1">
        <v>45247</v>
      </c>
      <c r="D2488">
        <v>16.57</v>
      </c>
      <c r="E2488" s="1">
        <v>45202</v>
      </c>
      <c r="F2488">
        <v>141.66999999999999</v>
      </c>
      <c r="G2488" s="1">
        <v>45243</v>
      </c>
      <c r="H2488">
        <v>39.4</v>
      </c>
      <c r="I2488" s="1">
        <v>45243</v>
      </c>
      <c r="J2488">
        <v>13.92</v>
      </c>
      <c r="K2488" s="1">
        <v>45127</v>
      </c>
      <c r="L2488">
        <v>100.88</v>
      </c>
    </row>
    <row r="2489" spans="1:12" x14ac:dyDescent="0.25">
      <c r="A2489" s="1">
        <v>45233</v>
      </c>
      <c r="B2489">
        <v>14.91</v>
      </c>
      <c r="C2489" s="1">
        <v>45250</v>
      </c>
      <c r="D2489">
        <v>17.29</v>
      </c>
      <c r="E2489" s="1">
        <v>45203</v>
      </c>
      <c r="F2489">
        <v>128.22999999999999</v>
      </c>
      <c r="G2489" s="1">
        <v>45244</v>
      </c>
      <c r="H2489">
        <v>38.29</v>
      </c>
      <c r="I2489" s="1">
        <v>45244</v>
      </c>
      <c r="J2489">
        <v>13.73</v>
      </c>
      <c r="K2489" s="1">
        <v>45128</v>
      </c>
      <c r="L2489">
        <v>101.071</v>
      </c>
    </row>
    <row r="2490" spans="1:12" x14ac:dyDescent="0.25">
      <c r="A2490" s="1">
        <v>45236</v>
      </c>
      <c r="B2490">
        <v>14.89</v>
      </c>
      <c r="C2490" s="1">
        <v>45251</v>
      </c>
      <c r="D2490">
        <v>17.420000000000002</v>
      </c>
      <c r="E2490" s="1">
        <v>45204</v>
      </c>
      <c r="F2490">
        <v>130.18</v>
      </c>
      <c r="G2490" s="1">
        <v>45245</v>
      </c>
      <c r="H2490">
        <v>39.51</v>
      </c>
      <c r="I2490" s="1">
        <v>45245</v>
      </c>
      <c r="J2490">
        <v>12.98</v>
      </c>
      <c r="K2490" s="1">
        <v>45131</v>
      </c>
      <c r="L2490">
        <v>101.346</v>
      </c>
    </row>
    <row r="2491" spans="1:12" x14ac:dyDescent="0.25">
      <c r="A2491" s="1">
        <v>45237</v>
      </c>
      <c r="B2491">
        <v>14.81</v>
      </c>
      <c r="C2491" s="1">
        <v>45252</v>
      </c>
      <c r="D2491">
        <v>17.329999999999998</v>
      </c>
      <c r="E2491" s="1">
        <v>45205</v>
      </c>
      <c r="F2491">
        <v>126.64</v>
      </c>
      <c r="G2491" s="1">
        <v>45246</v>
      </c>
      <c r="H2491">
        <v>42.53</v>
      </c>
      <c r="I2491" s="1">
        <v>45246</v>
      </c>
      <c r="J2491">
        <v>13.04</v>
      </c>
      <c r="K2491" s="1">
        <v>45132</v>
      </c>
      <c r="L2491">
        <v>101.349</v>
      </c>
    </row>
    <row r="2492" spans="1:12" x14ac:dyDescent="0.25">
      <c r="A2492" s="1">
        <v>45238</v>
      </c>
      <c r="B2492">
        <v>14.45</v>
      </c>
      <c r="C2492" s="1">
        <v>45254</v>
      </c>
      <c r="D2492">
        <v>16.489999999999998</v>
      </c>
      <c r="E2492" s="1">
        <v>45209</v>
      </c>
      <c r="F2492">
        <v>136.16999999999999</v>
      </c>
      <c r="G2492" s="1">
        <v>45247</v>
      </c>
      <c r="H2492">
        <v>40.43</v>
      </c>
      <c r="I2492" s="1">
        <v>45247</v>
      </c>
      <c r="J2492">
        <v>12.97</v>
      </c>
      <c r="K2492" s="1">
        <v>45133</v>
      </c>
      <c r="L2492">
        <v>100.887</v>
      </c>
    </row>
    <row r="2493" spans="1:12" x14ac:dyDescent="0.25">
      <c r="A2493" s="1">
        <v>45239</v>
      </c>
      <c r="B2493">
        <v>15.29</v>
      </c>
      <c r="C2493" s="1">
        <v>45257</v>
      </c>
      <c r="D2493">
        <v>16.399999999999999</v>
      </c>
      <c r="E2493" s="1">
        <v>45210</v>
      </c>
      <c r="F2493">
        <v>127.18</v>
      </c>
      <c r="G2493" s="1">
        <v>45250</v>
      </c>
      <c r="H2493">
        <v>39</v>
      </c>
      <c r="I2493" s="1">
        <v>45250</v>
      </c>
      <c r="J2493">
        <v>12.59</v>
      </c>
      <c r="K2493" s="1">
        <v>45134</v>
      </c>
      <c r="L2493">
        <v>101.773</v>
      </c>
    </row>
    <row r="2494" spans="1:12" x14ac:dyDescent="0.25">
      <c r="A2494" s="1">
        <v>45240</v>
      </c>
      <c r="B2494">
        <v>14.17</v>
      </c>
      <c r="C2494" s="1">
        <v>45258</v>
      </c>
      <c r="D2494">
        <v>17.55</v>
      </c>
      <c r="E2494" s="1">
        <v>45211</v>
      </c>
      <c r="F2494">
        <v>126.37</v>
      </c>
      <c r="G2494" s="1">
        <v>45251</v>
      </c>
      <c r="H2494">
        <v>38.520000000000003</v>
      </c>
      <c r="I2494" s="1">
        <v>45251</v>
      </c>
      <c r="J2494">
        <v>14.09</v>
      </c>
      <c r="K2494" s="1">
        <v>45135</v>
      </c>
      <c r="L2494">
        <v>101.622</v>
      </c>
    </row>
    <row r="2495" spans="1:12" x14ac:dyDescent="0.25">
      <c r="A2495" s="1">
        <v>45243</v>
      </c>
      <c r="B2495">
        <v>14.76</v>
      </c>
      <c r="C2495" s="1">
        <v>45259</v>
      </c>
      <c r="D2495">
        <v>16.8</v>
      </c>
      <c r="E2495" s="1">
        <v>45212</v>
      </c>
      <c r="F2495">
        <v>128.33000000000001</v>
      </c>
      <c r="G2495" s="1">
        <v>45252</v>
      </c>
      <c r="H2495">
        <v>42.76</v>
      </c>
      <c r="I2495" s="1">
        <v>45252</v>
      </c>
      <c r="J2495">
        <v>13.35</v>
      </c>
      <c r="K2495" s="1">
        <v>45138</v>
      </c>
      <c r="L2495">
        <v>101.855</v>
      </c>
    </row>
    <row r="2496" spans="1:12" x14ac:dyDescent="0.25">
      <c r="A2496" s="1">
        <v>45244</v>
      </c>
      <c r="B2496">
        <v>14.16</v>
      </c>
      <c r="C2496" s="1">
        <v>45260</v>
      </c>
      <c r="D2496">
        <v>19.25</v>
      </c>
      <c r="E2496" s="1">
        <v>45215</v>
      </c>
      <c r="F2496">
        <v>130.16</v>
      </c>
      <c r="G2496" s="1">
        <v>45254</v>
      </c>
      <c r="H2496">
        <v>43.38</v>
      </c>
      <c r="I2496" s="1">
        <v>45254</v>
      </c>
      <c r="J2496">
        <v>13.05</v>
      </c>
      <c r="K2496" s="1">
        <v>45139</v>
      </c>
      <c r="L2496">
        <v>102.303</v>
      </c>
    </row>
    <row r="2497" spans="1:12" x14ac:dyDescent="0.25">
      <c r="A2497" s="1">
        <v>45245</v>
      </c>
      <c r="B2497">
        <v>14.18</v>
      </c>
      <c r="C2497" s="1">
        <v>45261</v>
      </c>
      <c r="D2497">
        <v>18.63</v>
      </c>
      <c r="E2497" s="1">
        <v>45216</v>
      </c>
      <c r="F2497">
        <v>130.16999999999999</v>
      </c>
      <c r="G2497" s="1">
        <v>45257</v>
      </c>
      <c r="H2497">
        <v>43.9</v>
      </c>
      <c r="I2497" s="1">
        <v>45257</v>
      </c>
      <c r="J2497">
        <v>13.31</v>
      </c>
      <c r="K2497" s="1">
        <v>45140</v>
      </c>
      <c r="L2497">
        <v>102.59</v>
      </c>
    </row>
    <row r="2498" spans="1:12" x14ac:dyDescent="0.25">
      <c r="A2498" s="1">
        <v>45246</v>
      </c>
      <c r="B2498">
        <v>14.32</v>
      </c>
      <c r="C2498" s="1">
        <v>45264</v>
      </c>
      <c r="D2498">
        <v>18.86</v>
      </c>
      <c r="E2498" s="1">
        <v>45217</v>
      </c>
      <c r="F2498">
        <v>129.16999999999999</v>
      </c>
      <c r="G2498" s="1">
        <v>45258</v>
      </c>
      <c r="H2498">
        <v>43.14</v>
      </c>
      <c r="I2498" s="1">
        <v>45258</v>
      </c>
      <c r="J2498">
        <v>15.54</v>
      </c>
      <c r="K2498" s="1">
        <v>45141</v>
      </c>
      <c r="L2498">
        <v>102.542</v>
      </c>
    </row>
    <row r="2499" spans="1:12" x14ac:dyDescent="0.25">
      <c r="A2499" s="1">
        <v>45247</v>
      </c>
      <c r="B2499">
        <v>13.8</v>
      </c>
      <c r="C2499" s="1">
        <v>45265</v>
      </c>
      <c r="D2499">
        <v>20.38</v>
      </c>
      <c r="E2499" s="1">
        <v>45218</v>
      </c>
      <c r="F2499">
        <v>134.62</v>
      </c>
      <c r="G2499" s="1">
        <v>45259</v>
      </c>
      <c r="H2499">
        <v>42.9</v>
      </c>
      <c r="I2499" s="1">
        <v>45259</v>
      </c>
      <c r="J2499">
        <v>15.04</v>
      </c>
      <c r="K2499" s="1">
        <v>45142</v>
      </c>
      <c r="L2499">
        <v>102.017</v>
      </c>
    </row>
    <row r="2500" spans="1:12" x14ac:dyDescent="0.25">
      <c r="A2500" s="1">
        <v>45250</v>
      </c>
      <c r="B2500">
        <v>13.41</v>
      </c>
      <c r="C2500" s="1">
        <v>45266</v>
      </c>
      <c r="D2500">
        <v>19.61</v>
      </c>
      <c r="E2500" s="1">
        <v>45219</v>
      </c>
      <c r="F2500">
        <v>135.44999999999999</v>
      </c>
      <c r="G2500" s="1">
        <v>45260</v>
      </c>
      <c r="H2500">
        <v>39.4</v>
      </c>
      <c r="I2500" s="1">
        <v>45260</v>
      </c>
      <c r="J2500">
        <v>14.22</v>
      </c>
      <c r="K2500" s="1">
        <v>45145</v>
      </c>
      <c r="L2500">
        <v>102.047</v>
      </c>
    </row>
    <row r="2501" spans="1:12" x14ac:dyDescent="0.25">
      <c r="A2501" s="1">
        <v>45251</v>
      </c>
      <c r="B2501">
        <v>13.35</v>
      </c>
      <c r="C2501" s="1">
        <v>45267</v>
      </c>
      <c r="D2501">
        <v>21.45</v>
      </c>
      <c r="E2501" s="1">
        <v>45222</v>
      </c>
      <c r="F2501">
        <v>131.83000000000001</v>
      </c>
      <c r="G2501" s="1">
        <v>45261</v>
      </c>
      <c r="H2501">
        <v>35.700000000000003</v>
      </c>
      <c r="I2501" s="1">
        <v>45261</v>
      </c>
      <c r="J2501">
        <v>16.96</v>
      </c>
      <c r="K2501" s="1">
        <v>45146</v>
      </c>
      <c r="L2501">
        <v>102.52800000000001</v>
      </c>
    </row>
    <row r="2502" spans="1:12" x14ac:dyDescent="0.25">
      <c r="A2502" s="1">
        <v>45252</v>
      </c>
      <c r="B2502">
        <v>12.85</v>
      </c>
      <c r="C2502" s="1">
        <v>45268</v>
      </c>
      <c r="D2502">
        <v>20.350000000000001</v>
      </c>
      <c r="E2502" s="1">
        <v>45223</v>
      </c>
      <c r="F2502">
        <v>128.13</v>
      </c>
      <c r="G2502" s="1">
        <v>45264</v>
      </c>
      <c r="H2502">
        <v>38.08</v>
      </c>
      <c r="I2502" s="1">
        <v>45264</v>
      </c>
      <c r="J2502">
        <v>17.13</v>
      </c>
      <c r="K2502" s="1">
        <v>45147</v>
      </c>
      <c r="L2502">
        <v>102.49</v>
      </c>
    </row>
    <row r="2503" spans="1:12" x14ac:dyDescent="0.25">
      <c r="A2503" s="1">
        <v>45253</v>
      </c>
      <c r="B2503">
        <v>12.8</v>
      </c>
      <c r="C2503" s="1">
        <v>45271</v>
      </c>
      <c r="D2503">
        <v>16.98</v>
      </c>
      <c r="E2503" s="1">
        <v>45224</v>
      </c>
      <c r="F2503">
        <v>131.21</v>
      </c>
      <c r="G2503" s="1">
        <v>45265</v>
      </c>
      <c r="H2503">
        <v>36.36</v>
      </c>
      <c r="I2503" s="1">
        <v>45265</v>
      </c>
      <c r="J2503">
        <v>15.46</v>
      </c>
      <c r="K2503" s="1">
        <v>45148</v>
      </c>
      <c r="L2503">
        <v>102.524</v>
      </c>
    </row>
    <row r="2504" spans="1:12" x14ac:dyDescent="0.25">
      <c r="A2504" s="1">
        <v>45254</v>
      </c>
      <c r="B2504">
        <v>12.46</v>
      </c>
      <c r="C2504" s="1">
        <v>45272</v>
      </c>
      <c r="D2504">
        <v>14.24</v>
      </c>
      <c r="E2504" s="1">
        <v>45225</v>
      </c>
      <c r="F2504">
        <v>130.94</v>
      </c>
      <c r="G2504" s="1">
        <v>45266</v>
      </c>
      <c r="H2504">
        <v>39.72</v>
      </c>
      <c r="I2504" s="1">
        <v>45266</v>
      </c>
      <c r="J2504">
        <v>15.4</v>
      </c>
      <c r="K2504" s="1">
        <v>45149</v>
      </c>
      <c r="L2504">
        <v>102.842</v>
      </c>
    </row>
    <row r="2505" spans="1:12" x14ac:dyDescent="0.25">
      <c r="A2505" s="1">
        <v>45257</v>
      </c>
      <c r="B2505">
        <v>12.69</v>
      </c>
      <c r="C2505" s="1">
        <v>45273</v>
      </c>
      <c r="D2505">
        <v>15.31</v>
      </c>
      <c r="E2505" s="1">
        <v>45226</v>
      </c>
      <c r="F2505">
        <v>129.16</v>
      </c>
      <c r="G2505" s="1">
        <v>45267</v>
      </c>
      <c r="H2505">
        <v>37.82</v>
      </c>
      <c r="I2505" s="1">
        <v>45267</v>
      </c>
      <c r="J2505">
        <v>14.93</v>
      </c>
      <c r="K2505" s="1">
        <v>45152</v>
      </c>
      <c r="L2505">
        <v>103.19</v>
      </c>
    </row>
    <row r="2506" spans="1:12" x14ac:dyDescent="0.25">
      <c r="A2506" s="1">
        <v>45258</v>
      </c>
      <c r="B2506">
        <v>12.69</v>
      </c>
      <c r="C2506" s="1">
        <v>45274</v>
      </c>
      <c r="D2506">
        <v>16.940000000000001</v>
      </c>
      <c r="E2506" s="1">
        <v>45229</v>
      </c>
      <c r="F2506">
        <v>131.9</v>
      </c>
      <c r="G2506" s="1">
        <v>45268</v>
      </c>
      <c r="H2506">
        <v>36.24</v>
      </c>
      <c r="I2506" s="1">
        <v>45268</v>
      </c>
      <c r="J2506">
        <v>14.14</v>
      </c>
      <c r="K2506" s="1">
        <v>45153</v>
      </c>
      <c r="L2506">
        <v>103.209</v>
      </c>
    </row>
    <row r="2507" spans="1:12" x14ac:dyDescent="0.25">
      <c r="A2507" s="1">
        <v>45259</v>
      </c>
      <c r="B2507">
        <v>12.98</v>
      </c>
      <c r="C2507" s="1">
        <v>45275</v>
      </c>
      <c r="D2507">
        <v>20.69</v>
      </c>
      <c r="E2507" s="1">
        <v>45230</v>
      </c>
      <c r="F2507">
        <v>126.86</v>
      </c>
      <c r="G2507" s="1">
        <v>45271</v>
      </c>
      <c r="H2507">
        <v>35.299999999999997</v>
      </c>
      <c r="I2507" s="1">
        <v>45271</v>
      </c>
      <c r="J2507">
        <v>13.99</v>
      </c>
      <c r="K2507" s="1">
        <v>45154</v>
      </c>
      <c r="L2507">
        <v>103.431</v>
      </c>
    </row>
    <row r="2508" spans="1:12" x14ac:dyDescent="0.25">
      <c r="A2508" s="1">
        <v>45260</v>
      </c>
      <c r="B2508">
        <v>12.92</v>
      </c>
      <c r="C2508" s="1">
        <v>45278</v>
      </c>
      <c r="D2508">
        <v>16.59</v>
      </c>
      <c r="E2508" s="1">
        <v>45231</v>
      </c>
      <c r="F2508">
        <v>120.55</v>
      </c>
      <c r="G2508" s="1">
        <v>45272</v>
      </c>
      <c r="H2508">
        <v>36.380000000000003</v>
      </c>
      <c r="I2508" s="1">
        <v>45272</v>
      </c>
      <c r="J2508">
        <v>12.82</v>
      </c>
      <c r="K2508" s="1">
        <v>45155</v>
      </c>
      <c r="L2508">
        <v>103.572</v>
      </c>
    </row>
    <row r="2509" spans="1:12" x14ac:dyDescent="0.25">
      <c r="A2509" s="1">
        <v>45261</v>
      </c>
      <c r="B2509">
        <v>12.63</v>
      </c>
      <c r="C2509" s="1">
        <v>45279</v>
      </c>
      <c r="D2509">
        <v>16.21</v>
      </c>
      <c r="E2509" s="1">
        <v>45232</v>
      </c>
      <c r="F2509">
        <v>118.64</v>
      </c>
      <c r="G2509" s="1">
        <v>45273</v>
      </c>
      <c r="H2509">
        <v>36.6</v>
      </c>
      <c r="I2509" s="1">
        <v>45273</v>
      </c>
      <c r="J2509">
        <v>13.67</v>
      </c>
      <c r="K2509" s="1">
        <v>45156</v>
      </c>
      <c r="L2509">
        <v>103.375</v>
      </c>
    </row>
    <row r="2510" spans="1:12" x14ac:dyDescent="0.25">
      <c r="A2510" s="1">
        <v>45264</v>
      </c>
      <c r="B2510">
        <v>13.08</v>
      </c>
      <c r="C2510" s="1">
        <v>45280</v>
      </c>
      <c r="D2510">
        <v>17.8</v>
      </c>
      <c r="E2510" s="1">
        <v>45233</v>
      </c>
      <c r="F2510">
        <v>118.74</v>
      </c>
      <c r="G2510" s="1">
        <v>45274</v>
      </c>
      <c r="H2510">
        <v>33.979999999999997</v>
      </c>
      <c r="I2510" s="1">
        <v>45274</v>
      </c>
      <c r="J2510">
        <v>13.96</v>
      </c>
      <c r="K2510" s="1">
        <v>45159</v>
      </c>
      <c r="L2510">
        <v>103.3</v>
      </c>
    </row>
    <row r="2511" spans="1:12" x14ac:dyDescent="0.25">
      <c r="A2511" s="1">
        <v>45265</v>
      </c>
      <c r="B2511">
        <v>12.85</v>
      </c>
      <c r="C2511" s="1">
        <v>45281</v>
      </c>
      <c r="D2511">
        <v>18.559999999999999</v>
      </c>
      <c r="E2511" s="1">
        <v>45236</v>
      </c>
      <c r="F2511">
        <v>121.74</v>
      </c>
      <c r="G2511" s="1">
        <v>45275</v>
      </c>
      <c r="H2511">
        <v>35.130000000000003</v>
      </c>
      <c r="I2511" s="1">
        <v>45275</v>
      </c>
      <c r="J2511">
        <v>13.49</v>
      </c>
      <c r="K2511" s="1">
        <v>45160</v>
      </c>
      <c r="L2511">
        <v>103.563</v>
      </c>
    </row>
    <row r="2512" spans="1:12" x14ac:dyDescent="0.25">
      <c r="A2512" s="1">
        <v>45266</v>
      </c>
      <c r="B2512">
        <v>12.97</v>
      </c>
      <c r="C2512" s="1">
        <v>45282</v>
      </c>
      <c r="D2512">
        <v>17.309999999999999</v>
      </c>
      <c r="E2512" s="1">
        <v>45237</v>
      </c>
      <c r="F2512">
        <v>120.09</v>
      </c>
      <c r="G2512" s="1">
        <v>45278</v>
      </c>
      <c r="H2512">
        <v>37.090000000000003</v>
      </c>
      <c r="I2512" s="1">
        <v>45278</v>
      </c>
      <c r="J2512">
        <v>13.79</v>
      </c>
      <c r="K2512" s="1">
        <v>45161</v>
      </c>
      <c r="L2512">
        <v>103.419</v>
      </c>
    </row>
    <row r="2513" spans="1:12" x14ac:dyDescent="0.25">
      <c r="A2513" s="1">
        <v>45267</v>
      </c>
      <c r="B2513">
        <v>13.06</v>
      </c>
      <c r="C2513" s="1">
        <v>45286</v>
      </c>
      <c r="D2513">
        <v>17.34</v>
      </c>
      <c r="E2513" s="1">
        <v>45238</v>
      </c>
      <c r="F2513">
        <v>117.1</v>
      </c>
      <c r="G2513" s="1">
        <v>45279</v>
      </c>
      <c r="H2513">
        <v>35.04</v>
      </c>
      <c r="I2513" s="1">
        <v>45279</v>
      </c>
      <c r="J2513">
        <v>13.75</v>
      </c>
      <c r="K2513" s="1">
        <v>45162</v>
      </c>
      <c r="L2513">
        <v>103.982</v>
      </c>
    </row>
    <row r="2514" spans="1:12" x14ac:dyDescent="0.25">
      <c r="A2514" s="1">
        <v>45268</v>
      </c>
      <c r="B2514">
        <v>12.35</v>
      </c>
      <c r="C2514" s="1">
        <v>45287</v>
      </c>
      <c r="D2514">
        <v>17.29</v>
      </c>
      <c r="E2514" s="1">
        <v>45239</v>
      </c>
      <c r="F2514">
        <v>117.05</v>
      </c>
      <c r="G2514" s="1">
        <v>45280</v>
      </c>
      <c r="H2514">
        <v>34.979999999999997</v>
      </c>
      <c r="I2514" s="1">
        <v>45280</v>
      </c>
      <c r="J2514">
        <v>13.82</v>
      </c>
      <c r="K2514" s="1">
        <v>45163</v>
      </c>
      <c r="L2514">
        <v>104.077</v>
      </c>
    </row>
    <row r="2515" spans="1:12" x14ac:dyDescent="0.25">
      <c r="A2515" s="1">
        <v>45271</v>
      </c>
      <c r="B2515">
        <v>12.63</v>
      </c>
      <c r="C2515" s="1">
        <v>45288</v>
      </c>
      <c r="D2515">
        <v>18.64</v>
      </c>
      <c r="E2515" s="1">
        <v>45240</v>
      </c>
      <c r="F2515">
        <v>116.79</v>
      </c>
      <c r="G2515" s="1">
        <v>45281</v>
      </c>
      <c r="H2515">
        <v>35.44</v>
      </c>
      <c r="I2515" s="1">
        <v>45281</v>
      </c>
      <c r="J2515">
        <v>14.27</v>
      </c>
      <c r="K2515" s="1">
        <v>45166</v>
      </c>
      <c r="L2515">
        <v>104.05800000000001</v>
      </c>
    </row>
    <row r="2516" spans="1:12" x14ac:dyDescent="0.25">
      <c r="A2516" s="1">
        <v>45272</v>
      </c>
      <c r="B2516">
        <v>12.07</v>
      </c>
      <c r="C2516" s="1">
        <v>45289</v>
      </c>
      <c r="D2516">
        <v>21.14</v>
      </c>
      <c r="E2516" s="1">
        <v>45243</v>
      </c>
      <c r="F2516">
        <v>124.47</v>
      </c>
      <c r="G2516" s="1">
        <v>45282</v>
      </c>
      <c r="H2516">
        <v>33.32</v>
      </c>
      <c r="I2516" s="1">
        <v>45282</v>
      </c>
      <c r="J2516">
        <v>15.25</v>
      </c>
      <c r="K2516" s="1">
        <v>45167</v>
      </c>
      <c r="L2516">
        <v>103.53100000000001</v>
      </c>
    </row>
    <row r="2517" spans="1:12" x14ac:dyDescent="0.25">
      <c r="A2517" s="1">
        <v>45273</v>
      </c>
      <c r="B2517">
        <v>12.19</v>
      </c>
      <c r="C2517" s="1">
        <v>45293</v>
      </c>
      <c r="D2517">
        <v>18.670000000000002</v>
      </c>
      <c r="E2517" s="1">
        <v>45244</v>
      </c>
      <c r="F2517">
        <v>124.11</v>
      </c>
      <c r="G2517" s="1">
        <v>45286</v>
      </c>
      <c r="H2517">
        <v>34.53</v>
      </c>
      <c r="I2517" s="1">
        <v>45286</v>
      </c>
      <c r="J2517">
        <v>15.83</v>
      </c>
      <c r="K2517" s="1">
        <v>45168</v>
      </c>
      <c r="L2517">
        <v>103.157</v>
      </c>
    </row>
    <row r="2518" spans="1:12" x14ac:dyDescent="0.25">
      <c r="A2518" s="1">
        <v>45274</v>
      </c>
      <c r="B2518">
        <v>12.48</v>
      </c>
      <c r="C2518" s="1">
        <v>45294</v>
      </c>
      <c r="D2518">
        <v>18.23</v>
      </c>
      <c r="E2518" s="1">
        <v>45245</v>
      </c>
      <c r="F2518">
        <v>122.19</v>
      </c>
      <c r="G2518" s="1">
        <v>45287</v>
      </c>
      <c r="H2518">
        <v>35.409999999999997</v>
      </c>
      <c r="I2518" s="1">
        <v>45287</v>
      </c>
      <c r="J2518">
        <v>16.96</v>
      </c>
      <c r="K2518" s="1">
        <v>45169</v>
      </c>
      <c r="L2518">
        <v>103.619</v>
      </c>
    </row>
    <row r="2519" spans="1:12" x14ac:dyDescent="0.25">
      <c r="A2519" s="1">
        <v>45275</v>
      </c>
      <c r="B2519">
        <v>12.28</v>
      </c>
      <c r="C2519" s="1">
        <v>45295</v>
      </c>
      <c r="D2519">
        <v>17.71</v>
      </c>
      <c r="E2519" s="1">
        <v>45246</v>
      </c>
      <c r="F2519">
        <v>116.08</v>
      </c>
      <c r="G2519" s="1">
        <v>45288</v>
      </c>
      <c r="H2519">
        <v>36.450000000000003</v>
      </c>
      <c r="I2519" s="1">
        <v>45288</v>
      </c>
      <c r="J2519">
        <v>16.05</v>
      </c>
      <c r="K2519" s="1">
        <v>45170</v>
      </c>
      <c r="L2519">
        <v>104.236</v>
      </c>
    </row>
    <row r="2520" spans="1:12" x14ac:dyDescent="0.25">
      <c r="A2520" s="1">
        <v>45278</v>
      </c>
      <c r="B2520">
        <v>12.56</v>
      </c>
      <c r="C2520" s="1">
        <v>45296</v>
      </c>
      <c r="D2520">
        <v>17.07</v>
      </c>
      <c r="E2520" s="1">
        <v>45247</v>
      </c>
      <c r="F2520">
        <v>113.11</v>
      </c>
      <c r="G2520" s="1">
        <v>45289</v>
      </c>
      <c r="H2520">
        <v>36.22</v>
      </c>
      <c r="I2520" s="1">
        <v>45289</v>
      </c>
      <c r="J2520">
        <v>15.85</v>
      </c>
      <c r="K2520" s="1">
        <v>45173</v>
      </c>
      <c r="L2520">
        <v>104.236</v>
      </c>
    </row>
    <row r="2521" spans="1:12" x14ac:dyDescent="0.25">
      <c r="A2521" s="1">
        <v>45279</v>
      </c>
      <c r="B2521">
        <v>12.53</v>
      </c>
      <c r="C2521" s="1">
        <v>45299</v>
      </c>
      <c r="D2521">
        <v>16.309999999999999</v>
      </c>
      <c r="E2521" s="1">
        <v>45250</v>
      </c>
      <c r="F2521">
        <v>115.09</v>
      </c>
      <c r="G2521" s="1">
        <v>45293</v>
      </c>
      <c r="H2521">
        <v>39.049999999999997</v>
      </c>
      <c r="I2521" s="1">
        <v>45293</v>
      </c>
      <c r="J2521">
        <v>15.73</v>
      </c>
      <c r="K2521" s="1">
        <v>45174</v>
      </c>
      <c r="L2521">
        <v>104.807</v>
      </c>
    </row>
    <row r="2522" spans="1:12" x14ac:dyDescent="0.25">
      <c r="A2522" s="1">
        <v>45280</v>
      </c>
      <c r="B2522">
        <v>13.67</v>
      </c>
      <c r="C2522" s="1">
        <v>45300</v>
      </c>
      <c r="D2522">
        <v>16.22</v>
      </c>
      <c r="E2522" s="1">
        <v>45251</v>
      </c>
      <c r="F2522">
        <v>112.79</v>
      </c>
      <c r="G2522" s="1">
        <v>45294</v>
      </c>
      <c r="H2522">
        <v>38.22</v>
      </c>
      <c r="I2522" s="1">
        <v>45294</v>
      </c>
      <c r="J2522">
        <v>14.85</v>
      </c>
      <c r="K2522" s="1">
        <v>45175</v>
      </c>
      <c r="L2522">
        <v>104.861</v>
      </c>
    </row>
    <row r="2523" spans="1:12" x14ac:dyDescent="0.25">
      <c r="A2523" s="1">
        <v>45281</v>
      </c>
      <c r="B2523">
        <v>13.65</v>
      </c>
      <c r="C2523" s="1">
        <v>45301</v>
      </c>
      <c r="D2523">
        <v>16.440000000000001</v>
      </c>
      <c r="E2523" s="1">
        <v>45252</v>
      </c>
      <c r="F2523">
        <v>111.57</v>
      </c>
      <c r="G2523" s="1">
        <v>45295</v>
      </c>
      <c r="H2523">
        <v>37.58</v>
      </c>
      <c r="I2523" s="1">
        <v>45295</v>
      </c>
      <c r="J2523">
        <v>14.2</v>
      </c>
      <c r="K2523" s="1">
        <v>45176</v>
      </c>
      <c r="L2523">
        <v>105.059</v>
      </c>
    </row>
    <row r="2524" spans="1:12" x14ac:dyDescent="0.25">
      <c r="A2524" s="1">
        <v>45282</v>
      </c>
      <c r="B2524">
        <v>13.03</v>
      </c>
      <c r="C2524" s="1">
        <v>45302</v>
      </c>
      <c r="D2524">
        <v>16.77</v>
      </c>
      <c r="E2524" s="1">
        <v>45254</v>
      </c>
      <c r="F2524">
        <v>107.43</v>
      </c>
      <c r="G2524" s="1">
        <v>45296</v>
      </c>
      <c r="H2524">
        <v>36.07</v>
      </c>
      <c r="I2524" s="1">
        <v>45296</v>
      </c>
      <c r="J2524">
        <v>13.81</v>
      </c>
      <c r="K2524" s="1">
        <v>45177</v>
      </c>
      <c r="L2524">
        <v>105.09</v>
      </c>
    </row>
    <row r="2525" spans="1:12" x14ac:dyDescent="0.25">
      <c r="A2525" s="1">
        <v>45286</v>
      </c>
      <c r="B2525">
        <v>12.99</v>
      </c>
      <c r="C2525" s="1">
        <v>45303</v>
      </c>
      <c r="D2525">
        <v>16.47</v>
      </c>
      <c r="E2525" s="1">
        <v>45257</v>
      </c>
      <c r="F2525">
        <v>109.31</v>
      </c>
      <c r="G2525" s="1">
        <v>45299</v>
      </c>
      <c r="H2525">
        <v>36.79</v>
      </c>
      <c r="I2525" s="1">
        <v>45299</v>
      </c>
      <c r="J2525">
        <v>13.56</v>
      </c>
      <c r="K2525" s="1">
        <v>45180</v>
      </c>
      <c r="L2525">
        <v>104.569</v>
      </c>
    </row>
    <row r="2526" spans="1:12" x14ac:dyDescent="0.25">
      <c r="A2526" s="1">
        <v>45287</v>
      </c>
      <c r="B2526">
        <v>12.43</v>
      </c>
      <c r="C2526" s="1">
        <v>45307</v>
      </c>
      <c r="D2526">
        <v>18.07</v>
      </c>
      <c r="E2526" s="1">
        <v>45258</v>
      </c>
      <c r="F2526">
        <v>110.06</v>
      </c>
      <c r="G2526" s="1">
        <v>45300</v>
      </c>
      <c r="H2526">
        <v>36.090000000000003</v>
      </c>
      <c r="I2526" s="1">
        <v>45300</v>
      </c>
      <c r="J2526">
        <v>13.16</v>
      </c>
      <c r="K2526" s="1">
        <v>45181</v>
      </c>
      <c r="L2526">
        <v>104.711</v>
      </c>
    </row>
    <row r="2527" spans="1:12" x14ac:dyDescent="0.25">
      <c r="A2527" s="1">
        <v>45288</v>
      </c>
      <c r="B2527">
        <v>12.47</v>
      </c>
      <c r="C2527" s="1">
        <v>45308</v>
      </c>
      <c r="D2527">
        <v>23.75</v>
      </c>
      <c r="E2527" s="1">
        <v>45259</v>
      </c>
      <c r="F2527">
        <v>114.59</v>
      </c>
      <c r="G2527" s="1">
        <v>45301</v>
      </c>
      <c r="H2527">
        <v>36.35</v>
      </c>
      <c r="I2527" s="1">
        <v>45301</v>
      </c>
      <c r="J2527">
        <v>13.26</v>
      </c>
      <c r="K2527" s="1">
        <v>45182</v>
      </c>
      <c r="L2527">
        <v>104.76600000000001</v>
      </c>
    </row>
    <row r="2528" spans="1:12" x14ac:dyDescent="0.25">
      <c r="A2528" s="1">
        <v>45289</v>
      </c>
      <c r="B2528">
        <v>12.45</v>
      </c>
      <c r="C2528" s="1">
        <v>45309</v>
      </c>
      <c r="D2528">
        <v>19.010000000000002</v>
      </c>
      <c r="E2528" s="1">
        <v>45260</v>
      </c>
      <c r="F2528">
        <v>115.32</v>
      </c>
      <c r="G2528" s="1">
        <v>45302</v>
      </c>
      <c r="H2528">
        <v>36.78</v>
      </c>
      <c r="I2528" s="1">
        <v>45302</v>
      </c>
      <c r="J2528">
        <v>12.8</v>
      </c>
      <c r="K2528" s="1">
        <v>45183</v>
      </c>
      <c r="L2528">
        <v>105.405</v>
      </c>
    </row>
    <row r="2529" spans="1:12" x14ac:dyDescent="0.25">
      <c r="A2529" s="1">
        <v>45293</v>
      </c>
      <c r="B2529">
        <v>13.2</v>
      </c>
      <c r="C2529" s="1">
        <v>45310</v>
      </c>
      <c r="D2529">
        <v>18.5</v>
      </c>
      <c r="E2529" s="1">
        <v>45261</v>
      </c>
      <c r="F2529">
        <v>111.51</v>
      </c>
      <c r="G2529" s="1">
        <v>45303</v>
      </c>
      <c r="H2529">
        <v>40.64</v>
      </c>
      <c r="I2529" s="1">
        <v>45303</v>
      </c>
      <c r="J2529">
        <v>13.49</v>
      </c>
      <c r="K2529" s="1">
        <v>45184</v>
      </c>
      <c r="L2529">
        <v>105.322</v>
      </c>
    </row>
    <row r="2530" spans="1:12" x14ac:dyDescent="0.25">
      <c r="A2530" s="1">
        <v>45294</v>
      </c>
      <c r="B2530">
        <v>14.04</v>
      </c>
      <c r="C2530" s="1">
        <v>45313</v>
      </c>
      <c r="D2530">
        <v>21.45</v>
      </c>
      <c r="E2530" s="1">
        <v>45264</v>
      </c>
      <c r="F2530">
        <v>118.25</v>
      </c>
      <c r="G2530" s="1">
        <v>45307</v>
      </c>
      <c r="H2530">
        <v>38.340000000000003</v>
      </c>
      <c r="I2530" s="1">
        <v>45307</v>
      </c>
      <c r="J2530">
        <v>13.55</v>
      </c>
      <c r="K2530" s="1">
        <v>45187</v>
      </c>
      <c r="L2530">
        <v>105.202</v>
      </c>
    </row>
    <row r="2531" spans="1:12" x14ac:dyDescent="0.25">
      <c r="A2531" s="1">
        <v>45295</v>
      </c>
      <c r="B2531">
        <v>14.13</v>
      </c>
      <c r="C2531" s="1">
        <v>45314</v>
      </c>
      <c r="D2531">
        <v>17.84</v>
      </c>
      <c r="E2531" s="1">
        <v>45265</v>
      </c>
      <c r="F2531">
        <v>127.2</v>
      </c>
      <c r="G2531" s="1">
        <v>45308</v>
      </c>
      <c r="H2531">
        <v>37.06</v>
      </c>
      <c r="I2531" s="1">
        <v>45308</v>
      </c>
      <c r="J2531">
        <v>13.53</v>
      </c>
      <c r="K2531" s="1">
        <v>45188</v>
      </c>
      <c r="L2531">
        <v>105.133</v>
      </c>
    </row>
    <row r="2532" spans="1:12" x14ac:dyDescent="0.25">
      <c r="A2532" s="1">
        <v>45296</v>
      </c>
      <c r="B2532">
        <v>13.35</v>
      </c>
      <c r="C2532" s="1">
        <v>45315</v>
      </c>
      <c r="D2532">
        <v>19.11</v>
      </c>
      <c r="E2532" s="1">
        <v>45266</v>
      </c>
      <c r="F2532">
        <v>124.98</v>
      </c>
      <c r="G2532" s="1">
        <v>45309</v>
      </c>
      <c r="H2532">
        <v>35.979999999999997</v>
      </c>
      <c r="I2532" s="1">
        <v>45309</v>
      </c>
      <c r="J2532">
        <v>13.09</v>
      </c>
      <c r="K2532" s="1">
        <v>45189</v>
      </c>
      <c r="L2532">
        <v>105.328</v>
      </c>
    </row>
    <row r="2533" spans="1:12" x14ac:dyDescent="0.25">
      <c r="A2533" s="1">
        <v>45299</v>
      </c>
      <c r="B2533">
        <v>13.08</v>
      </c>
      <c r="C2533" s="1">
        <v>45316</v>
      </c>
      <c r="D2533">
        <v>18.63</v>
      </c>
      <c r="E2533" s="1">
        <v>45267</v>
      </c>
      <c r="F2533">
        <v>129.74</v>
      </c>
      <c r="G2533" s="1">
        <v>45310</v>
      </c>
      <c r="H2533">
        <v>35.79</v>
      </c>
      <c r="I2533" s="1">
        <v>45310</v>
      </c>
      <c r="J2533">
        <v>12.95</v>
      </c>
      <c r="K2533" s="1">
        <v>45190</v>
      </c>
      <c r="L2533">
        <v>105.363</v>
      </c>
    </row>
    <row r="2534" spans="1:12" x14ac:dyDescent="0.25">
      <c r="A2534" s="1">
        <v>45300</v>
      </c>
      <c r="B2534">
        <v>12.76</v>
      </c>
      <c r="C2534" s="1">
        <v>45317</v>
      </c>
      <c r="D2534">
        <v>17.329999999999998</v>
      </c>
      <c r="E2534" s="1">
        <v>45268</v>
      </c>
      <c r="F2534">
        <v>121.65</v>
      </c>
      <c r="G2534" s="1">
        <v>45313</v>
      </c>
      <c r="H2534">
        <v>35.71</v>
      </c>
      <c r="I2534" s="1">
        <v>45313</v>
      </c>
      <c r="J2534">
        <v>12.83</v>
      </c>
      <c r="K2534" s="1">
        <v>45191</v>
      </c>
      <c r="L2534">
        <v>105.583</v>
      </c>
    </row>
    <row r="2535" spans="1:12" x14ac:dyDescent="0.25">
      <c r="A2535" s="1">
        <v>45301</v>
      </c>
      <c r="B2535">
        <v>12.69</v>
      </c>
      <c r="C2535" s="1">
        <v>45320</v>
      </c>
      <c r="D2535">
        <v>16.87</v>
      </c>
      <c r="E2535" s="1">
        <v>45271</v>
      </c>
      <c r="F2535">
        <v>126.66</v>
      </c>
      <c r="G2535" s="1">
        <v>45314</v>
      </c>
      <c r="H2535">
        <v>34.99</v>
      </c>
      <c r="I2535" s="1">
        <v>45314</v>
      </c>
      <c r="J2535">
        <v>12.73</v>
      </c>
      <c r="K2535" s="1">
        <v>45194</v>
      </c>
      <c r="L2535">
        <v>105.998</v>
      </c>
    </row>
    <row r="2536" spans="1:12" x14ac:dyDescent="0.25">
      <c r="A2536" s="1">
        <v>45302</v>
      </c>
      <c r="B2536">
        <v>12.44</v>
      </c>
      <c r="C2536" s="1">
        <v>45321</v>
      </c>
      <c r="D2536">
        <v>17.18</v>
      </c>
      <c r="E2536" s="1">
        <v>45272</v>
      </c>
      <c r="F2536">
        <v>118.62</v>
      </c>
      <c r="G2536" s="1">
        <v>45315</v>
      </c>
      <c r="H2536">
        <v>33.99</v>
      </c>
      <c r="I2536" s="1">
        <v>45315</v>
      </c>
      <c r="J2536">
        <v>12.7</v>
      </c>
      <c r="K2536" s="1">
        <v>45195</v>
      </c>
      <c r="L2536">
        <v>106.23099999999999</v>
      </c>
    </row>
    <row r="2537" spans="1:12" x14ac:dyDescent="0.25">
      <c r="A2537" s="1">
        <v>45303</v>
      </c>
      <c r="B2537">
        <v>12.7</v>
      </c>
      <c r="C2537" s="1">
        <v>45322</v>
      </c>
      <c r="D2537">
        <v>16.95</v>
      </c>
      <c r="E2537" s="1">
        <v>45273</v>
      </c>
      <c r="F2537">
        <v>113.77</v>
      </c>
      <c r="G2537" s="1">
        <v>45316</v>
      </c>
      <c r="H2537">
        <v>35.1</v>
      </c>
      <c r="I2537" s="1">
        <v>45316</v>
      </c>
      <c r="J2537">
        <v>12.79</v>
      </c>
      <c r="K2537" s="1">
        <v>45196</v>
      </c>
      <c r="L2537">
        <v>106.666</v>
      </c>
    </row>
    <row r="2538" spans="1:12" x14ac:dyDescent="0.25">
      <c r="A2538" s="1">
        <v>45306</v>
      </c>
      <c r="B2538">
        <v>13.25</v>
      </c>
      <c r="C2538" s="1">
        <v>45323</v>
      </c>
      <c r="D2538">
        <v>16.46</v>
      </c>
      <c r="E2538" s="1">
        <v>45274</v>
      </c>
      <c r="F2538">
        <v>118.04</v>
      </c>
      <c r="G2538" s="1">
        <v>45317</v>
      </c>
      <c r="H2538">
        <v>34.78</v>
      </c>
      <c r="I2538" s="1">
        <v>45317</v>
      </c>
      <c r="J2538">
        <v>11.91</v>
      </c>
      <c r="K2538" s="1">
        <v>45197</v>
      </c>
      <c r="L2538">
        <v>106.224</v>
      </c>
    </row>
    <row r="2539" spans="1:12" x14ac:dyDescent="0.25">
      <c r="A2539" s="1">
        <v>45307</v>
      </c>
      <c r="B2539">
        <v>13.84</v>
      </c>
      <c r="C2539" s="1">
        <v>45324</v>
      </c>
      <c r="D2539">
        <v>17.66</v>
      </c>
      <c r="E2539" s="1">
        <v>45275</v>
      </c>
      <c r="F2539">
        <v>115.75</v>
      </c>
      <c r="G2539" s="1">
        <v>45320</v>
      </c>
      <c r="H2539">
        <v>36.32</v>
      </c>
      <c r="I2539" s="1">
        <v>45320</v>
      </c>
      <c r="J2539">
        <v>13.08</v>
      </c>
      <c r="K2539" s="1">
        <v>45198</v>
      </c>
      <c r="L2539">
        <v>106.17400000000001</v>
      </c>
    </row>
    <row r="2540" spans="1:12" x14ac:dyDescent="0.25">
      <c r="A2540" s="1">
        <v>45308</v>
      </c>
      <c r="B2540">
        <v>14.79</v>
      </c>
      <c r="C2540" s="1">
        <v>45327</v>
      </c>
      <c r="D2540">
        <v>17.8</v>
      </c>
      <c r="E2540" s="1">
        <v>45278</v>
      </c>
      <c r="F2540">
        <v>118.46</v>
      </c>
      <c r="G2540" s="1">
        <v>45321</v>
      </c>
      <c r="H2540">
        <v>36.19</v>
      </c>
      <c r="I2540" s="1">
        <v>45321</v>
      </c>
      <c r="J2540">
        <v>13.05</v>
      </c>
      <c r="K2540" s="1">
        <v>45201</v>
      </c>
      <c r="L2540">
        <v>106.904</v>
      </c>
    </row>
    <row r="2541" spans="1:12" x14ac:dyDescent="0.25">
      <c r="A2541" s="1">
        <v>45309</v>
      </c>
      <c r="B2541">
        <v>14.13</v>
      </c>
      <c r="C2541" s="1">
        <v>45328</v>
      </c>
      <c r="D2541">
        <v>16.989999999999998</v>
      </c>
      <c r="E2541" s="1">
        <v>45279</v>
      </c>
      <c r="F2541">
        <v>115.03</v>
      </c>
      <c r="G2541" s="1">
        <v>45322</v>
      </c>
      <c r="H2541">
        <v>37.25</v>
      </c>
      <c r="I2541" s="1">
        <v>45322</v>
      </c>
      <c r="J2541">
        <v>13.16</v>
      </c>
      <c r="K2541" s="1">
        <v>45202</v>
      </c>
      <c r="L2541">
        <v>107</v>
      </c>
    </row>
    <row r="2542" spans="1:12" x14ac:dyDescent="0.25">
      <c r="A2542" s="1">
        <v>45310</v>
      </c>
      <c r="B2542">
        <v>13.3</v>
      </c>
      <c r="C2542" s="1">
        <v>45329</v>
      </c>
      <c r="D2542">
        <v>16.45</v>
      </c>
      <c r="E2542" s="1">
        <v>45280</v>
      </c>
      <c r="F2542">
        <v>111.87</v>
      </c>
      <c r="G2542" s="1">
        <v>45323</v>
      </c>
      <c r="H2542">
        <v>35.380000000000003</v>
      </c>
      <c r="I2542" s="1">
        <v>45323</v>
      </c>
      <c r="J2542">
        <v>13.72</v>
      </c>
      <c r="K2542" s="1">
        <v>45203</v>
      </c>
      <c r="L2542">
        <v>106.79900000000001</v>
      </c>
    </row>
    <row r="2543" spans="1:12" x14ac:dyDescent="0.25">
      <c r="A2543" s="1">
        <v>45313</v>
      </c>
      <c r="B2543">
        <v>13.19</v>
      </c>
      <c r="C2543" s="1">
        <v>45330</v>
      </c>
      <c r="D2543">
        <v>16.559999999999999</v>
      </c>
      <c r="E2543" s="1">
        <v>45281</v>
      </c>
      <c r="F2543">
        <v>111.93</v>
      </c>
      <c r="G2543" s="1">
        <v>45324</v>
      </c>
      <c r="H2543">
        <v>34.85</v>
      </c>
      <c r="I2543" s="1">
        <v>45324</v>
      </c>
      <c r="J2543">
        <v>12.66</v>
      </c>
      <c r="K2543" s="1">
        <v>45204</v>
      </c>
      <c r="L2543">
        <v>106.33199999999999</v>
      </c>
    </row>
    <row r="2544" spans="1:12" x14ac:dyDescent="0.25">
      <c r="A2544" s="1">
        <v>45314</v>
      </c>
      <c r="B2544">
        <v>12.55</v>
      </c>
      <c r="C2544" s="1">
        <v>45331</v>
      </c>
      <c r="D2544">
        <v>16.170000000000002</v>
      </c>
      <c r="E2544" s="1">
        <v>45282</v>
      </c>
      <c r="F2544">
        <v>111.38</v>
      </c>
      <c r="G2544" s="1">
        <v>45327</v>
      </c>
      <c r="H2544">
        <v>34.43</v>
      </c>
      <c r="I2544" s="1">
        <v>45327</v>
      </c>
      <c r="J2544">
        <v>12.49</v>
      </c>
      <c r="K2544" s="1">
        <v>45205</v>
      </c>
      <c r="L2544">
        <v>106.044</v>
      </c>
    </row>
    <row r="2545" spans="1:12" x14ac:dyDescent="0.25">
      <c r="A2545" s="1">
        <v>45315</v>
      </c>
      <c r="B2545">
        <v>13.14</v>
      </c>
      <c r="C2545" s="1">
        <v>45334</v>
      </c>
      <c r="D2545">
        <v>16.46</v>
      </c>
      <c r="E2545" s="1">
        <v>45286</v>
      </c>
      <c r="F2545">
        <v>116</v>
      </c>
      <c r="G2545" s="1">
        <v>45328</v>
      </c>
      <c r="H2545">
        <v>33.01</v>
      </c>
      <c r="I2545" s="1">
        <v>45328</v>
      </c>
      <c r="J2545">
        <v>12.31</v>
      </c>
      <c r="K2545" s="1">
        <v>45208</v>
      </c>
      <c r="L2545">
        <v>106.083</v>
      </c>
    </row>
    <row r="2546" spans="1:12" x14ac:dyDescent="0.25">
      <c r="A2546" s="1">
        <v>45316</v>
      </c>
      <c r="B2546">
        <v>13.45</v>
      </c>
      <c r="C2546" s="1">
        <v>45335</v>
      </c>
      <c r="D2546">
        <v>16.84</v>
      </c>
      <c r="E2546" s="1">
        <v>45287</v>
      </c>
      <c r="F2546">
        <v>114.53</v>
      </c>
      <c r="G2546" s="1">
        <v>45329</v>
      </c>
      <c r="H2546">
        <v>31.21</v>
      </c>
      <c r="I2546" s="1">
        <v>45329</v>
      </c>
      <c r="J2546">
        <v>11.84</v>
      </c>
      <c r="K2546" s="1">
        <v>45209</v>
      </c>
      <c r="L2546">
        <v>105.825</v>
      </c>
    </row>
    <row r="2547" spans="1:12" x14ac:dyDescent="0.25">
      <c r="A2547" s="1">
        <v>45317</v>
      </c>
      <c r="B2547">
        <v>13.26</v>
      </c>
      <c r="C2547" s="1">
        <v>45336</v>
      </c>
      <c r="D2547">
        <v>16.04</v>
      </c>
      <c r="E2547" s="1">
        <v>45288</v>
      </c>
      <c r="F2547">
        <v>113.78</v>
      </c>
      <c r="G2547" s="1">
        <v>45330</v>
      </c>
      <c r="H2547">
        <v>31.64</v>
      </c>
      <c r="I2547" s="1">
        <v>45330</v>
      </c>
      <c r="J2547">
        <v>11.71</v>
      </c>
      <c r="K2547" s="1">
        <v>45210</v>
      </c>
      <c r="L2547">
        <v>105.82</v>
      </c>
    </row>
    <row r="2548" spans="1:12" x14ac:dyDescent="0.25">
      <c r="A2548" s="1">
        <v>45320</v>
      </c>
      <c r="B2548">
        <v>13.6</v>
      </c>
      <c r="C2548" s="1">
        <v>45337</v>
      </c>
      <c r="D2548">
        <v>17.22</v>
      </c>
      <c r="E2548" s="1">
        <v>45289</v>
      </c>
      <c r="F2548">
        <v>114.62</v>
      </c>
      <c r="G2548" s="1">
        <v>45331</v>
      </c>
      <c r="H2548">
        <v>32.44</v>
      </c>
      <c r="I2548" s="1">
        <v>45331</v>
      </c>
      <c r="J2548">
        <v>11.2</v>
      </c>
      <c r="K2548" s="1">
        <v>45211</v>
      </c>
      <c r="L2548">
        <v>106.599</v>
      </c>
    </row>
    <row r="2549" spans="1:12" x14ac:dyDescent="0.25">
      <c r="A2549" s="1">
        <v>45321</v>
      </c>
      <c r="B2549">
        <v>13.31</v>
      </c>
      <c r="C2549" s="1">
        <v>45338</v>
      </c>
      <c r="D2549">
        <v>15.87</v>
      </c>
      <c r="E2549" s="1">
        <v>45293</v>
      </c>
      <c r="F2549">
        <v>127.02</v>
      </c>
      <c r="G2549" s="1">
        <v>45334</v>
      </c>
      <c r="H2549">
        <v>32.69</v>
      </c>
      <c r="I2549" s="1">
        <v>45334</v>
      </c>
      <c r="J2549">
        <v>11.81</v>
      </c>
      <c r="K2549" s="1">
        <v>45212</v>
      </c>
      <c r="L2549">
        <v>106.648</v>
      </c>
    </row>
    <row r="2550" spans="1:12" x14ac:dyDescent="0.25">
      <c r="A2550" s="1">
        <v>45322</v>
      </c>
      <c r="B2550">
        <v>14.35</v>
      </c>
      <c r="C2550" s="1">
        <v>45342</v>
      </c>
      <c r="D2550">
        <v>17.2</v>
      </c>
      <c r="E2550" s="1">
        <v>45294</v>
      </c>
      <c r="F2550">
        <v>124.57</v>
      </c>
      <c r="G2550" s="1">
        <v>45335</v>
      </c>
      <c r="H2550">
        <v>32.369999999999997</v>
      </c>
      <c r="I2550" s="1">
        <v>45335</v>
      </c>
      <c r="J2550">
        <v>12.15</v>
      </c>
      <c r="K2550" s="1">
        <v>45215</v>
      </c>
      <c r="L2550">
        <v>106.24299999999999</v>
      </c>
    </row>
    <row r="2551" spans="1:12" x14ac:dyDescent="0.25">
      <c r="A2551" s="1">
        <v>45323</v>
      </c>
      <c r="B2551">
        <v>13.88</v>
      </c>
      <c r="C2551" s="1">
        <v>45343</v>
      </c>
      <c r="D2551">
        <v>17.02</v>
      </c>
      <c r="E2551" s="1">
        <v>45295</v>
      </c>
      <c r="F2551">
        <v>121.12</v>
      </c>
      <c r="G2551" s="1">
        <v>45336</v>
      </c>
      <c r="H2551">
        <v>32.76</v>
      </c>
      <c r="I2551" s="1">
        <v>45336</v>
      </c>
      <c r="J2551">
        <v>12.02</v>
      </c>
      <c r="K2551" s="1">
        <v>45216</v>
      </c>
      <c r="L2551">
        <v>106.25</v>
      </c>
    </row>
    <row r="2552" spans="1:12" x14ac:dyDescent="0.25">
      <c r="A2552" s="1">
        <v>45324</v>
      </c>
      <c r="B2552">
        <v>13.85</v>
      </c>
      <c r="C2552" s="1">
        <v>45344</v>
      </c>
      <c r="D2552">
        <v>15.97</v>
      </c>
      <c r="E2552" s="1">
        <v>45296</v>
      </c>
      <c r="F2552">
        <v>116.19</v>
      </c>
      <c r="G2552" s="1">
        <v>45337</v>
      </c>
      <c r="H2552">
        <v>32.020000000000003</v>
      </c>
      <c r="I2552" s="1">
        <v>45337</v>
      </c>
      <c r="J2552">
        <v>11.79</v>
      </c>
      <c r="K2552" s="1">
        <v>45217</v>
      </c>
      <c r="L2552">
        <v>106.565</v>
      </c>
    </row>
    <row r="2553" spans="1:12" x14ac:dyDescent="0.25">
      <c r="A2553" s="1">
        <v>45327</v>
      </c>
      <c r="B2553">
        <v>13.67</v>
      </c>
      <c r="C2553" s="1">
        <v>45345</v>
      </c>
      <c r="D2553">
        <v>15.02</v>
      </c>
      <c r="E2553" s="1">
        <v>45299</v>
      </c>
      <c r="F2553">
        <v>117.72</v>
      </c>
      <c r="G2553" s="1">
        <v>45338</v>
      </c>
      <c r="H2553">
        <v>30.84</v>
      </c>
      <c r="I2553" s="1">
        <v>45338</v>
      </c>
      <c r="J2553">
        <v>11.75</v>
      </c>
      <c r="K2553" s="1">
        <v>45218</v>
      </c>
      <c r="L2553">
        <v>106.253</v>
      </c>
    </row>
    <row r="2554" spans="1:12" x14ac:dyDescent="0.25">
      <c r="A2554" s="1">
        <v>45328</v>
      </c>
      <c r="B2554">
        <v>13.06</v>
      </c>
      <c r="C2554" s="1">
        <v>45348</v>
      </c>
      <c r="D2554">
        <v>15.12</v>
      </c>
      <c r="E2554" s="1">
        <v>45300</v>
      </c>
      <c r="F2554">
        <v>114.92</v>
      </c>
      <c r="G2554" s="1">
        <v>45342</v>
      </c>
      <c r="H2554">
        <v>31.81</v>
      </c>
      <c r="I2554" s="1">
        <v>45342</v>
      </c>
      <c r="J2554">
        <v>11.81</v>
      </c>
      <c r="K2554" s="1">
        <v>45219</v>
      </c>
      <c r="L2554">
        <v>106.163</v>
      </c>
    </row>
    <row r="2555" spans="1:12" x14ac:dyDescent="0.25">
      <c r="A2555" s="1">
        <v>45329</v>
      </c>
      <c r="B2555">
        <v>12.83</v>
      </c>
      <c r="C2555" s="1">
        <v>45349</v>
      </c>
      <c r="D2555">
        <v>15.15</v>
      </c>
      <c r="E2555" s="1">
        <v>45301</v>
      </c>
      <c r="F2555">
        <v>109.63</v>
      </c>
      <c r="G2555" s="1">
        <v>45343</v>
      </c>
      <c r="H2555">
        <v>31.05</v>
      </c>
      <c r="I2555" s="1">
        <v>45343</v>
      </c>
      <c r="J2555">
        <v>11.46</v>
      </c>
      <c r="K2555" s="1">
        <v>45222</v>
      </c>
      <c r="L2555">
        <v>105.536</v>
      </c>
    </row>
    <row r="2556" spans="1:12" x14ac:dyDescent="0.25">
      <c r="A2556" s="1">
        <v>45330</v>
      </c>
      <c r="B2556">
        <v>12.79</v>
      </c>
      <c r="C2556" s="1">
        <v>45350</v>
      </c>
      <c r="D2556">
        <v>16.04</v>
      </c>
      <c r="E2556" s="1">
        <v>45302</v>
      </c>
      <c r="F2556">
        <v>103.45</v>
      </c>
      <c r="G2556" s="1">
        <v>45344</v>
      </c>
      <c r="H2556">
        <v>30.55</v>
      </c>
      <c r="I2556" s="1">
        <v>45344</v>
      </c>
      <c r="J2556">
        <v>11.19</v>
      </c>
      <c r="K2556" s="1">
        <v>45223</v>
      </c>
      <c r="L2556">
        <v>106.27</v>
      </c>
    </row>
    <row r="2557" spans="1:12" x14ac:dyDescent="0.25">
      <c r="A2557" s="1">
        <v>45331</v>
      </c>
      <c r="B2557">
        <v>12.93</v>
      </c>
      <c r="C2557" s="1">
        <v>45351</v>
      </c>
      <c r="D2557">
        <v>15.14</v>
      </c>
      <c r="E2557" s="1">
        <v>45303</v>
      </c>
      <c r="F2557">
        <v>106.51</v>
      </c>
      <c r="G2557" s="1">
        <v>45345</v>
      </c>
      <c r="H2557">
        <v>31.31</v>
      </c>
      <c r="I2557" s="1">
        <v>45345</v>
      </c>
      <c r="J2557">
        <v>11.5</v>
      </c>
      <c r="K2557" s="1">
        <v>45224</v>
      </c>
      <c r="L2557">
        <v>106.52800000000001</v>
      </c>
    </row>
    <row r="2558" spans="1:12" x14ac:dyDescent="0.25">
      <c r="A2558" s="1">
        <v>45334</v>
      </c>
      <c r="B2558">
        <v>13.93</v>
      </c>
      <c r="C2558" s="1">
        <v>45352</v>
      </c>
      <c r="D2558">
        <v>15.16</v>
      </c>
      <c r="E2558" s="1">
        <v>45307</v>
      </c>
      <c r="F2558">
        <v>113.44</v>
      </c>
      <c r="G2558" s="1">
        <v>45348</v>
      </c>
      <c r="H2558">
        <v>31.71</v>
      </c>
      <c r="I2558" s="1">
        <v>45348</v>
      </c>
      <c r="J2558">
        <v>11.29</v>
      </c>
      <c r="K2558" s="1">
        <v>45225</v>
      </c>
      <c r="L2558">
        <v>106.602</v>
      </c>
    </row>
    <row r="2559" spans="1:12" x14ac:dyDescent="0.25">
      <c r="A2559" s="1">
        <v>45335</v>
      </c>
      <c r="B2559">
        <v>15.85</v>
      </c>
      <c r="C2559" s="1">
        <v>45355</v>
      </c>
      <c r="D2559">
        <v>15.68</v>
      </c>
      <c r="E2559" s="1">
        <v>45308</v>
      </c>
      <c r="F2559">
        <v>105.86</v>
      </c>
      <c r="G2559" s="1">
        <v>45349</v>
      </c>
      <c r="H2559">
        <v>31.35</v>
      </c>
      <c r="I2559" s="1">
        <v>45349</v>
      </c>
      <c r="J2559">
        <v>10.95</v>
      </c>
      <c r="K2559" s="1">
        <v>45226</v>
      </c>
      <c r="L2559">
        <v>106.559</v>
      </c>
    </row>
    <row r="2560" spans="1:12" x14ac:dyDescent="0.25">
      <c r="A2560" s="1">
        <v>45336</v>
      </c>
      <c r="B2560">
        <v>14.38</v>
      </c>
      <c r="C2560" s="1">
        <v>45356</v>
      </c>
      <c r="D2560">
        <v>16</v>
      </c>
      <c r="E2560" s="1">
        <v>45309</v>
      </c>
      <c r="F2560">
        <v>107.22</v>
      </c>
      <c r="G2560" s="1">
        <v>45350</v>
      </c>
      <c r="H2560">
        <v>31.21</v>
      </c>
      <c r="I2560" s="1">
        <v>45350</v>
      </c>
      <c r="J2560">
        <v>10.93</v>
      </c>
      <c r="K2560" s="1">
        <v>45229</v>
      </c>
      <c r="L2560">
        <v>106.12</v>
      </c>
    </row>
    <row r="2561" spans="1:12" x14ac:dyDescent="0.25">
      <c r="A2561" s="1">
        <v>45337</v>
      </c>
      <c r="B2561">
        <v>14.01</v>
      </c>
      <c r="C2561" s="1">
        <v>45357</v>
      </c>
      <c r="D2561">
        <v>16.14</v>
      </c>
      <c r="E2561" s="1">
        <v>45310</v>
      </c>
      <c r="F2561">
        <v>104.97</v>
      </c>
      <c r="G2561" s="1">
        <v>45351</v>
      </c>
      <c r="H2561">
        <v>31.5</v>
      </c>
      <c r="I2561" s="1">
        <v>45351</v>
      </c>
      <c r="J2561">
        <v>11.16</v>
      </c>
      <c r="K2561" s="1">
        <v>45230</v>
      </c>
      <c r="L2561">
        <v>106.663</v>
      </c>
    </row>
    <row r="2562" spans="1:12" x14ac:dyDescent="0.25">
      <c r="A2562" s="1">
        <v>45338</v>
      </c>
      <c r="B2562">
        <v>14.24</v>
      </c>
      <c r="C2562" s="1">
        <v>45358</v>
      </c>
      <c r="D2562">
        <v>17.149999999999999</v>
      </c>
      <c r="E2562" s="1">
        <v>45313</v>
      </c>
      <c r="F2562">
        <v>106.87</v>
      </c>
      <c r="G2562" s="1">
        <v>45352</v>
      </c>
      <c r="H2562">
        <v>31.08</v>
      </c>
      <c r="I2562" s="1">
        <v>45352</v>
      </c>
      <c r="J2562">
        <v>13.47</v>
      </c>
      <c r="K2562" s="1">
        <v>45231</v>
      </c>
      <c r="L2562">
        <v>106.884</v>
      </c>
    </row>
    <row r="2563" spans="1:12" x14ac:dyDescent="0.25">
      <c r="A2563" s="1">
        <v>45341</v>
      </c>
      <c r="B2563">
        <v>14.71</v>
      </c>
      <c r="C2563" s="1">
        <v>45359</v>
      </c>
      <c r="D2563">
        <v>15.12</v>
      </c>
      <c r="E2563" s="1">
        <v>45314</v>
      </c>
      <c r="F2563">
        <v>107.7</v>
      </c>
      <c r="G2563" s="1">
        <v>45355</v>
      </c>
      <c r="H2563">
        <v>30.47</v>
      </c>
      <c r="I2563" s="1">
        <v>45355</v>
      </c>
      <c r="J2563">
        <v>14.61</v>
      </c>
      <c r="K2563" s="1">
        <v>45232</v>
      </c>
      <c r="L2563">
        <v>106.124</v>
      </c>
    </row>
    <row r="2564" spans="1:12" x14ac:dyDescent="0.25">
      <c r="A2564" s="1">
        <v>45342</v>
      </c>
      <c r="B2564">
        <v>15.42</v>
      </c>
      <c r="C2564" s="1">
        <v>45362</v>
      </c>
      <c r="D2564">
        <v>18.510000000000002</v>
      </c>
      <c r="E2564" s="1">
        <v>45315</v>
      </c>
      <c r="F2564">
        <v>105.78</v>
      </c>
      <c r="G2564" s="1">
        <v>45356</v>
      </c>
      <c r="H2564">
        <v>30.19</v>
      </c>
      <c r="I2564" s="1">
        <v>45356</v>
      </c>
      <c r="J2564">
        <v>14.54</v>
      </c>
      <c r="K2564" s="1">
        <v>45233</v>
      </c>
      <c r="L2564">
        <v>105.021</v>
      </c>
    </row>
    <row r="2565" spans="1:12" x14ac:dyDescent="0.25">
      <c r="A2565" s="1">
        <v>45343</v>
      </c>
      <c r="B2565">
        <v>15.34</v>
      </c>
      <c r="C2565" s="1">
        <v>45363</v>
      </c>
      <c r="D2565">
        <v>14.82</v>
      </c>
      <c r="E2565" s="1">
        <v>45316</v>
      </c>
      <c r="F2565">
        <v>105.89</v>
      </c>
      <c r="G2565" s="1">
        <v>45357</v>
      </c>
      <c r="H2565">
        <v>29.57</v>
      </c>
      <c r="I2565" s="1">
        <v>45357</v>
      </c>
      <c r="J2565">
        <v>15.17</v>
      </c>
      <c r="K2565" s="1">
        <v>45236</v>
      </c>
      <c r="L2565">
        <v>105.215</v>
      </c>
    </row>
    <row r="2566" spans="1:12" x14ac:dyDescent="0.25">
      <c r="A2566" s="1">
        <v>45344</v>
      </c>
      <c r="B2566">
        <v>14.54</v>
      </c>
      <c r="C2566" s="1">
        <v>45364</v>
      </c>
      <c r="D2566">
        <v>14.44</v>
      </c>
      <c r="E2566" s="1">
        <v>45317</v>
      </c>
      <c r="F2566">
        <v>100.23</v>
      </c>
      <c r="G2566" s="1">
        <v>45358</v>
      </c>
      <c r="H2566">
        <v>29.57</v>
      </c>
      <c r="I2566" s="1">
        <v>45358</v>
      </c>
      <c r="J2566">
        <v>15.09</v>
      </c>
      <c r="K2566" s="1">
        <v>45237</v>
      </c>
      <c r="L2566">
        <v>105.542</v>
      </c>
    </row>
    <row r="2567" spans="1:12" x14ac:dyDescent="0.25">
      <c r="A2567" s="1">
        <v>45345</v>
      </c>
      <c r="B2567">
        <v>13.75</v>
      </c>
      <c r="C2567" s="1">
        <v>45365</v>
      </c>
      <c r="D2567">
        <v>13.45</v>
      </c>
      <c r="E2567" s="1">
        <v>45320</v>
      </c>
      <c r="F2567">
        <v>106.34</v>
      </c>
      <c r="G2567" s="1">
        <v>45359</v>
      </c>
      <c r="H2567">
        <v>29.64</v>
      </c>
      <c r="I2567" s="1">
        <v>45359</v>
      </c>
      <c r="J2567">
        <v>15.47</v>
      </c>
      <c r="K2567" s="1">
        <v>45238</v>
      </c>
      <c r="L2567">
        <v>105.593</v>
      </c>
    </row>
    <row r="2568" spans="1:12" x14ac:dyDescent="0.25">
      <c r="A2568" s="1">
        <v>45348</v>
      </c>
      <c r="B2568">
        <v>13.74</v>
      </c>
      <c r="C2568" s="1">
        <v>45366</v>
      </c>
      <c r="D2568">
        <v>14.43</v>
      </c>
      <c r="E2568" s="1">
        <v>45321</v>
      </c>
      <c r="F2568">
        <v>104.26</v>
      </c>
      <c r="G2568" s="1">
        <v>45362</v>
      </c>
      <c r="H2568">
        <v>29.11</v>
      </c>
      <c r="I2568" s="1">
        <v>45362</v>
      </c>
      <c r="J2568">
        <v>15.5</v>
      </c>
      <c r="K2568" s="1">
        <v>45239</v>
      </c>
      <c r="L2568">
        <v>105.91</v>
      </c>
    </row>
    <row r="2569" spans="1:12" x14ac:dyDescent="0.25">
      <c r="A2569" s="1">
        <v>45349</v>
      </c>
      <c r="B2569">
        <v>13.43</v>
      </c>
      <c r="C2569" s="1">
        <v>45369</v>
      </c>
      <c r="D2569">
        <v>15.06</v>
      </c>
      <c r="E2569" s="1">
        <v>45322</v>
      </c>
      <c r="F2569">
        <v>107.28</v>
      </c>
      <c r="G2569" s="1">
        <v>45363</v>
      </c>
      <c r="H2569">
        <v>29.36</v>
      </c>
      <c r="I2569" s="1">
        <v>45363</v>
      </c>
      <c r="J2569">
        <v>14.1</v>
      </c>
      <c r="K2569" s="1">
        <v>45240</v>
      </c>
      <c r="L2569">
        <v>105.861</v>
      </c>
    </row>
    <row r="2570" spans="1:12" x14ac:dyDescent="0.25">
      <c r="A2570" s="1">
        <v>45350</v>
      </c>
      <c r="B2570">
        <v>13.84</v>
      </c>
      <c r="C2570" s="1">
        <v>45370</v>
      </c>
      <c r="D2570">
        <v>14.66</v>
      </c>
      <c r="E2570" s="1">
        <v>45323</v>
      </c>
      <c r="F2570">
        <v>113.92</v>
      </c>
      <c r="G2570" s="1">
        <v>45364</v>
      </c>
      <c r="H2570">
        <v>29.52</v>
      </c>
      <c r="I2570" s="1">
        <v>45364</v>
      </c>
      <c r="J2570">
        <v>14.09</v>
      </c>
      <c r="K2570" s="1">
        <v>45243</v>
      </c>
      <c r="L2570">
        <v>105.631</v>
      </c>
    </row>
    <row r="2571" spans="1:12" x14ac:dyDescent="0.25">
      <c r="A2571" s="1">
        <v>45351</v>
      </c>
      <c r="B2571">
        <v>13.4</v>
      </c>
      <c r="C2571" s="1">
        <v>45371</v>
      </c>
      <c r="D2571">
        <v>14.06</v>
      </c>
      <c r="E2571" s="1">
        <v>45324</v>
      </c>
      <c r="F2571">
        <v>106.72</v>
      </c>
      <c r="G2571" s="1">
        <v>45365</v>
      </c>
      <c r="H2571">
        <v>31.51</v>
      </c>
      <c r="I2571" s="1">
        <v>45365</v>
      </c>
      <c r="J2571">
        <v>13.3</v>
      </c>
      <c r="K2571" s="1">
        <v>45244</v>
      </c>
      <c r="L2571">
        <v>104.053</v>
      </c>
    </row>
    <row r="2572" spans="1:12" x14ac:dyDescent="0.25">
      <c r="A2572" s="1">
        <v>45352</v>
      </c>
      <c r="B2572">
        <v>13.11</v>
      </c>
      <c r="C2572" s="1">
        <v>45372</v>
      </c>
      <c r="D2572">
        <v>13.85</v>
      </c>
      <c r="E2572" s="1">
        <v>45327</v>
      </c>
      <c r="F2572">
        <v>108.68</v>
      </c>
      <c r="G2572" s="1">
        <v>45366</v>
      </c>
      <c r="H2572">
        <v>29.77</v>
      </c>
      <c r="I2572" s="1">
        <v>45366</v>
      </c>
      <c r="J2572">
        <v>13.54</v>
      </c>
      <c r="K2572" s="1">
        <v>45245</v>
      </c>
      <c r="L2572">
        <v>104.39400000000001</v>
      </c>
    </row>
    <row r="2573" spans="1:12" x14ac:dyDescent="0.25">
      <c r="A2573" s="1">
        <v>45355</v>
      </c>
      <c r="B2573">
        <v>13.49</v>
      </c>
      <c r="C2573" s="1">
        <v>45373</v>
      </c>
      <c r="D2573">
        <v>13.61</v>
      </c>
      <c r="E2573" s="1">
        <v>45328</v>
      </c>
      <c r="F2573">
        <v>110.6</v>
      </c>
      <c r="G2573" s="1">
        <v>45369</v>
      </c>
      <c r="H2573">
        <v>29.81</v>
      </c>
      <c r="I2573" s="1">
        <v>45369</v>
      </c>
      <c r="J2573">
        <v>13.83</v>
      </c>
      <c r="K2573" s="1">
        <v>45246</v>
      </c>
      <c r="L2573">
        <v>104.349</v>
      </c>
    </row>
    <row r="2574" spans="1:12" x14ac:dyDescent="0.25">
      <c r="A2574" s="1">
        <v>45356</v>
      </c>
      <c r="B2574">
        <v>14.46</v>
      </c>
      <c r="C2574" s="1">
        <v>45376</v>
      </c>
      <c r="D2574">
        <v>13.83</v>
      </c>
      <c r="E2574" s="1">
        <v>45329</v>
      </c>
      <c r="F2574">
        <v>107.86</v>
      </c>
      <c r="G2574" s="1">
        <v>45370</v>
      </c>
      <c r="H2574">
        <v>29.22</v>
      </c>
      <c r="I2574" s="1">
        <v>45370</v>
      </c>
      <c r="J2574">
        <v>13.48</v>
      </c>
      <c r="K2574" s="1">
        <v>45247</v>
      </c>
      <c r="L2574">
        <v>103.917</v>
      </c>
    </row>
    <row r="2575" spans="1:12" x14ac:dyDescent="0.25">
      <c r="A2575" s="1">
        <v>45357</v>
      </c>
      <c r="B2575">
        <v>14.5</v>
      </c>
      <c r="C2575" s="1">
        <v>45377</v>
      </c>
      <c r="D2575">
        <v>13.66</v>
      </c>
      <c r="E2575" s="1">
        <v>45330</v>
      </c>
      <c r="F2575">
        <v>108.6</v>
      </c>
      <c r="G2575" s="1">
        <v>45371</v>
      </c>
      <c r="H2575">
        <v>28.82</v>
      </c>
      <c r="I2575" s="1">
        <v>45371</v>
      </c>
      <c r="J2575">
        <v>13.62</v>
      </c>
      <c r="K2575" s="1">
        <v>45250</v>
      </c>
      <c r="L2575">
        <v>103.438</v>
      </c>
    </row>
    <row r="2576" spans="1:12" x14ac:dyDescent="0.25">
      <c r="A2576" s="1">
        <v>45358</v>
      </c>
      <c r="B2576">
        <v>14.44</v>
      </c>
      <c r="C2576" s="1">
        <v>45378</v>
      </c>
      <c r="D2576">
        <v>13.56</v>
      </c>
      <c r="E2576" s="1">
        <v>45331</v>
      </c>
      <c r="F2576">
        <v>106.21</v>
      </c>
      <c r="G2576" s="1">
        <v>45372</v>
      </c>
      <c r="H2576">
        <v>27.53</v>
      </c>
      <c r="I2576" s="1">
        <v>45372</v>
      </c>
      <c r="J2576">
        <v>13.42</v>
      </c>
      <c r="K2576" s="1">
        <v>45251</v>
      </c>
      <c r="L2576">
        <v>103.565</v>
      </c>
    </row>
    <row r="2577" spans="1:12" x14ac:dyDescent="0.25">
      <c r="A2577" s="1">
        <v>45359</v>
      </c>
      <c r="B2577">
        <v>14.74</v>
      </c>
      <c r="C2577" s="1">
        <v>45379</v>
      </c>
      <c r="D2577">
        <v>13.46</v>
      </c>
      <c r="E2577" s="1">
        <v>45334</v>
      </c>
      <c r="F2577">
        <v>109.78</v>
      </c>
      <c r="G2577" s="1">
        <v>45373</v>
      </c>
      <c r="H2577">
        <v>26.92</v>
      </c>
      <c r="I2577" s="1">
        <v>45373</v>
      </c>
      <c r="J2577">
        <v>12.53</v>
      </c>
      <c r="K2577" s="1">
        <v>45252</v>
      </c>
      <c r="L2577">
        <v>103.92</v>
      </c>
    </row>
    <row r="2578" spans="1:12" x14ac:dyDescent="0.25">
      <c r="A2578" s="1">
        <v>45362</v>
      </c>
      <c r="B2578">
        <v>15.22</v>
      </c>
      <c r="C2578" s="1">
        <v>45383</v>
      </c>
      <c r="D2578">
        <v>14.37</v>
      </c>
      <c r="E2578" s="1">
        <v>45335</v>
      </c>
      <c r="F2578">
        <v>113.22</v>
      </c>
      <c r="G2578" s="1">
        <v>45376</v>
      </c>
      <c r="H2578">
        <v>27.49</v>
      </c>
      <c r="I2578" s="1">
        <v>45376</v>
      </c>
      <c r="J2578">
        <v>12.09</v>
      </c>
      <c r="K2578" s="1">
        <v>45253</v>
      </c>
      <c r="L2578">
        <v>103.92</v>
      </c>
    </row>
    <row r="2579" spans="1:12" x14ac:dyDescent="0.25">
      <c r="A2579" s="1">
        <v>45363</v>
      </c>
      <c r="B2579">
        <v>13.84</v>
      </c>
      <c r="C2579" s="1">
        <v>45384</v>
      </c>
      <c r="D2579">
        <v>14.77</v>
      </c>
      <c r="E2579" s="1">
        <v>45336</v>
      </c>
      <c r="F2579">
        <v>111.97</v>
      </c>
      <c r="G2579" s="1">
        <v>45377</v>
      </c>
      <c r="H2579">
        <v>27.25</v>
      </c>
      <c r="I2579" s="1">
        <v>45377</v>
      </c>
      <c r="J2579">
        <v>12.57</v>
      </c>
      <c r="K2579" s="1">
        <v>45254</v>
      </c>
      <c r="L2579">
        <v>103.40300000000001</v>
      </c>
    </row>
    <row r="2580" spans="1:12" x14ac:dyDescent="0.25">
      <c r="A2580" s="1">
        <v>45364</v>
      </c>
      <c r="B2580">
        <v>13.75</v>
      </c>
      <c r="C2580" s="1">
        <v>45385</v>
      </c>
      <c r="D2580">
        <v>14.89</v>
      </c>
      <c r="E2580" s="1">
        <v>45337</v>
      </c>
      <c r="F2580">
        <v>112.09</v>
      </c>
      <c r="G2580" s="1">
        <v>45378</v>
      </c>
      <c r="H2580">
        <v>26.6</v>
      </c>
      <c r="I2580" s="1">
        <v>45378</v>
      </c>
      <c r="J2580">
        <v>13.58</v>
      </c>
      <c r="K2580" s="1">
        <v>45257</v>
      </c>
      <c r="L2580">
        <v>103.199</v>
      </c>
    </row>
    <row r="2581" spans="1:12" x14ac:dyDescent="0.25">
      <c r="A2581" s="1">
        <v>45365</v>
      </c>
      <c r="B2581">
        <v>14.4</v>
      </c>
      <c r="C2581" s="1">
        <v>45386</v>
      </c>
      <c r="D2581">
        <v>16.14</v>
      </c>
      <c r="E2581" s="1">
        <v>45338</v>
      </c>
      <c r="F2581">
        <v>109.2</v>
      </c>
      <c r="G2581" s="1">
        <v>45379</v>
      </c>
      <c r="H2581">
        <v>26.27</v>
      </c>
      <c r="I2581" s="1">
        <v>45379</v>
      </c>
      <c r="J2581">
        <v>15.44</v>
      </c>
      <c r="K2581" s="1">
        <v>45258</v>
      </c>
      <c r="L2581">
        <v>102.746</v>
      </c>
    </row>
    <row r="2582" spans="1:12" x14ac:dyDescent="0.25">
      <c r="A2582" s="1">
        <v>45366</v>
      </c>
      <c r="B2582">
        <v>14.41</v>
      </c>
      <c r="C2582" s="1">
        <v>45387</v>
      </c>
      <c r="D2582">
        <v>15.82</v>
      </c>
      <c r="E2582" s="1">
        <v>45342</v>
      </c>
      <c r="F2582">
        <v>111.02</v>
      </c>
      <c r="G2582" s="1">
        <v>45383</v>
      </c>
      <c r="H2582">
        <v>27.65</v>
      </c>
      <c r="I2582" s="1">
        <v>45383</v>
      </c>
      <c r="J2582">
        <v>16.25</v>
      </c>
      <c r="K2582" s="1">
        <v>45259</v>
      </c>
      <c r="L2582">
        <v>102.765</v>
      </c>
    </row>
    <row r="2583" spans="1:12" x14ac:dyDescent="0.25">
      <c r="A2583" s="1">
        <v>45369</v>
      </c>
      <c r="B2583">
        <v>14.33</v>
      </c>
      <c r="C2583" s="1">
        <v>45390</v>
      </c>
      <c r="D2583">
        <v>15.7</v>
      </c>
      <c r="E2583" s="1">
        <v>45343</v>
      </c>
      <c r="F2583">
        <v>114.27</v>
      </c>
      <c r="G2583" s="1">
        <v>45384</v>
      </c>
      <c r="H2583">
        <v>29.04</v>
      </c>
      <c r="I2583" s="1">
        <v>45384</v>
      </c>
      <c r="J2583">
        <v>17.13</v>
      </c>
      <c r="K2583" s="1">
        <v>45260</v>
      </c>
      <c r="L2583">
        <v>103.497</v>
      </c>
    </row>
    <row r="2584" spans="1:12" x14ac:dyDescent="0.25">
      <c r="A2584" s="1">
        <v>45370</v>
      </c>
      <c r="B2584">
        <v>13.82</v>
      </c>
      <c r="C2584" s="1">
        <v>45391</v>
      </c>
      <c r="D2584">
        <v>16.100000000000001</v>
      </c>
      <c r="E2584" s="1">
        <v>45344</v>
      </c>
      <c r="F2584">
        <v>115.59</v>
      </c>
      <c r="G2584" s="1">
        <v>45385</v>
      </c>
      <c r="H2584">
        <v>29.08</v>
      </c>
      <c r="I2584" s="1">
        <v>45385</v>
      </c>
      <c r="J2584">
        <v>17.489999999999998</v>
      </c>
      <c r="K2584" s="1">
        <v>45261</v>
      </c>
      <c r="L2584">
        <v>103.268</v>
      </c>
    </row>
    <row r="2585" spans="1:12" x14ac:dyDescent="0.25">
      <c r="A2585" s="1">
        <v>45371</v>
      </c>
      <c r="B2585">
        <v>13.04</v>
      </c>
      <c r="C2585" s="1">
        <v>45392</v>
      </c>
      <c r="D2585">
        <v>15.75</v>
      </c>
      <c r="E2585" s="1">
        <v>45345</v>
      </c>
      <c r="F2585">
        <v>108.31</v>
      </c>
      <c r="G2585" s="1">
        <v>45386</v>
      </c>
      <c r="H2585">
        <v>32.17</v>
      </c>
      <c r="I2585" s="1">
        <v>45386</v>
      </c>
      <c r="J2585">
        <v>17.29</v>
      </c>
      <c r="K2585" s="1">
        <v>45264</v>
      </c>
      <c r="L2585">
        <v>103.712</v>
      </c>
    </row>
    <row r="2586" spans="1:12" x14ac:dyDescent="0.25">
      <c r="A2586" s="1">
        <v>45372</v>
      </c>
      <c r="B2586">
        <v>12.92</v>
      </c>
      <c r="C2586" s="1">
        <v>45393</v>
      </c>
      <c r="D2586">
        <v>15.28</v>
      </c>
      <c r="E2586" s="1">
        <v>45348</v>
      </c>
      <c r="F2586">
        <v>110.77</v>
      </c>
      <c r="G2586" s="1">
        <v>45387</v>
      </c>
      <c r="H2586">
        <v>32.36</v>
      </c>
      <c r="I2586" s="1">
        <v>45387</v>
      </c>
      <c r="J2586">
        <v>16.920000000000002</v>
      </c>
      <c r="K2586" s="1">
        <v>45265</v>
      </c>
      <c r="L2586">
        <v>104.05</v>
      </c>
    </row>
    <row r="2587" spans="1:12" x14ac:dyDescent="0.25">
      <c r="A2587" s="1">
        <v>45373</v>
      </c>
      <c r="B2587">
        <v>13.06</v>
      </c>
      <c r="C2587" s="1">
        <v>45394</v>
      </c>
      <c r="D2587">
        <v>17.149999999999999</v>
      </c>
      <c r="E2587" s="1">
        <v>45349</v>
      </c>
      <c r="F2587">
        <v>110.8</v>
      </c>
      <c r="G2587" s="1">
        <v>45390</v>
      </c>
      <c r="H2587">
        <v>30.57</v>
      </c>
      <c r="I2587" s="1">
        <v>45390</v>
      </c>
      <c r="J2587">
        <v>18.170000000000002</v>
      </c>
      <c r="K2587" s="1">
        <v>45266</v>
      </c>
      <c r="L2587">
        <v>104.15300000000001</v>
      </c>
    </row>
    <row r="2588" spans="1:12" x14ac:dyDescent="0.25">
      <c r="A2588" s="1">
        <v>45376</v>
      </c>
      <c r="B2588">
        <v>13.19</v>
      </c>
      <c r="C2588" s="1">
        <v>45397</v>
      </c>
      <c r="D2588">
        <v>17.98</v>
      </c>
      <c r="E2588" s="1">
        <v>45350</v>
      </c>
      <c r="F2588">
        <v>108.71</v>
      </c>
      <c r="G2588" s="1">
        <v>45391</v>
      </c>
      <c r="H2588">
        <v>28.96</v>
      </c>
      <c r="I2588" s="1">
        <v>45391</v>
      </c>
      <c r="J2588">
        <v>18.3</v>
      </c>
      <c r="K2588" s="1">
        <v>45267</v>
      </c>
      <c r="L2588">
        <v>103.541</v>
      </c>
    </row>
    <row r="2589" spans="1:12" x14ac:dyDescent="0.25">
      <c r="A2589" s="1">
        <v>45377</v>
      </c>
      <c r="B2589">
        <v>13.24</v>
      </c>
      <c r="C2589" s="1">
        <v>45398</v>
      </c>
      <c r="D2589">
        <v>21.09</v>
      </c>
      <c r="E2589" s="1">
        <v>45351</v>
      </c>
      <c r="F2589">
        <v>109.1</v>
      </c>
      <c r="G2589" s="1">
        <v>45392</v>
      </c>
      <c r="H2589">
        <v>30.08</v>
      </c>
      <c r="I2589" s="1">
        <v>45392</v>
      </c>
      <c r="J2589">
        <v>18.670000000000002</v>
      </c>
      <c r="K2589" s="1">
        <v>45268</v>
      </c>
      <c r="L2589">
        <v>104.01</v>
      </c>
    </row>
    <row r="2590" spans="1:12" x14ac:dyDescent="0.25">
      <c r="A2590" s="1">
        <v>45378</v>
      </c>
      <c r="B2590">
        <v>12.78</v>
      </c>
      <c r="C2590" s="1">
        <v>45399</v>
      </c>
      <c r="D2590">
        <v>18.63</v>
      </c>
      <c r="E2590" s="1">
        <v>45352</v>
      </c>
      <c r="F2590">
        <v>106.48</v>
      </c>
      <c r="G2590" s="1">
        <v>45393</v>
      </c>
      <c r="H2590">
        <v>31.27</v>
      </c>
      <c r="I2590" s="1">
        <v>45393</v>
      </c>
      <c r="J2590">
        <v>18.97</v>
      </c>
      <c r="K2590" s="1">
        <v>45271</v>
      </c>
      <c r="L2590">
        <v>104.095</v>
      </c>
    </row>
    <row r="2591" spans="1:12" x14ac:dyDescent="0.25">
      <c r="A2591" s="1">
        <v>45379</v>
      </c>
      <c r="B2591">
        <v>13.01</v>
      </c>
      <c r="C2591" s="1">
        <v>45400</v>
      </c>
      <c r="D2591">
        <v>17.55</v>
      </c>
      <c r="E2591" s="1">
        <v>45355</v>
      </c>
      <c r="F2591">
        <v>109.57</v>
      </c>
      <c r="G2591" s="1">
        <v>45394</v>
      </c>
      <c r="H2591">
        <v>32.19</v>
      </c>
      <c r="I2591" s="1">
        <v>45394</v>
      </c>
      <c r="J2591">
        <v>20.21</v>
      </c>
      <c r="K2591" s="1">
        <v>45272</v>
      </c>
      <c r="L2591">
        <v>103.86499999999999</v>
      </c>
    </row>
    <row r="2592" spans="1:12" x14ac:dyDescent="0.25">
      <c r="A2592" s="1">
        <v>45383</v>
      </c>
      <c r="B2592">
        <v>13.65</v>
      </c>
      <c r="C2592" s="1">
        <v>45401</v>
      </c>
      <c r="D2592">
        <v>20.100000000000001</v>
      </c>
      <c r="E2592" s="1">
        <v>45356</v>
      </c>
      <c r="F2592">
        <v>110.33</v>
      </c>
      <c r="G2592" s="1">
        <v>45397</v>
      </c>
      <c r="H2592">
        <v>35.590000000000003</v>
      </c>
      <c r="I2592" s="1">
        <v>45397</v>
      </c>
      <c r="J2592">
        <v>22.25</v>
      </c>
      <c r="K2592" s="1">
        <v>45273</v>
      </c>
      <c r="L2592">
        <v>102.869</v>
      </c>
    </row>
    <row r="2593" spans="1:12" x14ac:dyDescent="0.25">
      <c r="A2593" s="1">
        <v>45384</v>
      </c>
      <c r="B2593">
        <v>14.61</v>
      </c>
      <c r="C2593" s="1">
        <v>45404</v>
      </c>
      <c r="D2593">
        <v>17.43</v>
      </c>
      <c r="E2593" s="1">
        <v>45357</v>
      </c>
      <c r="F2593">
        <v>105.33</v>
      </c>
      <c r="G2593" s="1">
        <v>45398</v>
      </c>
      <c r="H2593">
        <v>33.61</v>
      </c>
      <c r="I2593" s="1">
        <v>45398</v>
      </c>
      <c r="J2593">
        <v>20.56</v>
      </c>
      <c r="K2593" s="1">
        <v>45274</v>
      </c>
      <c r="L2593">
        <v>101.956</v>
      </c>
    </row>
    <row r="2594" spans="1:12" x14ac:dyDescent="0.25">
      <c r="A2594" s="1">
        <v>45385</v>
      </c>
      <c r="B2594">
        <v>14.33</v>
      </c>
      <c r="C2594" s="1">
        <v>45405</v>
      </c>
      <c r="D2594">
        <v>16.579999999999998</v>
      </c>
      <c r="E2594" s="1">
        <v>45358</v>
      </c>
      <c r="F2594">
        <v>105.45</v>
      </c>
      <c r="G2594" s="1">
        <v>45399</v>
      </c>
      <c r="H2594">
        <v>33</v>
      </c>
      <c r="I2594" s="1">
        <v>45399</v>
      </c>
      <c r="J2594">
        <v>19.010000000000002</v>
      </c>
      <c r="K2594" s="1">
        <v>45275</v>
      </c>
      <c r="L2594">
        <v>102.55</v>
      </c>
    </row>
    <row r="2595" spans="1:12" x14ac:dyDescent="0.25">
      <c r="A2595" s="1">
        <v>45386</v>
      </c>
      <c r="B2595">
        <v>16.350000000000001</v>
      </c>
      <c r="C2595" s="1">
        <v>45406</v>
      </c>
      <c r="D2595">
        <v>16.53</v>
      </c>
      <c r="E2595" s="1">
        <v>45359</v>
      </c>
      <c r="F2595">
        <v>100.88</v>
      </c>
      <c r="G2595" s="1">
        <v>45400</v>
      </c>
      <c r="H2595">
        <v>31.4</v>
      </c>
      <c r="I2595" s="1">
        <v>45400</v>
      </c>
      <c r="J2595">
        <v>18.649999999999999</v>
      </c>
      <c r="K2595" s="1">
        <v>45278</v>
      </c>
      <c r="L2595">
        <v>102.56100000000001</v>
      </c>
    </row>
    <row r="2596" spans="1:12" x14ac:dyDescent="0.25">
      <c r="A2596" s="1">
        <v>45387</v>
      </c>
      <c r="B2596">
        <v>16.03</v>
      </c>
      <c r="C2596" s="1">
        <v>45407</v>
      </c>
      <c r="D2596">
        <v>16.37</v>
      </c>
      <c r="E2596" s="1">
        <v>45362</v>
      </c>
      <c r="F2596">
        <v>106.63</v>
      </c>
      <c r="G2596" s="1">
        <v>45401</v>
      </c>
      <c r="H2596">
        <v>31.86</v>
      </c>
      <c r="I2596" s="1">
        <v>45401</v>
      </c>
      <c r="J2596">
        <v>18.510000000000002</v>
      </c>
      <c r="K2596" s="1">
        <v>45279</v>
      </c>
      <c r="L2596">
        <v>102.167</v>
      </c>
    </row>
    <row r="2597" spans="1:12" x14ac:dyDescent="0.25">
      <c r="A2597" s="1">
        <v>45390</v>
      </c>
      <c r="B2597">
        <v>15.19</v>
      </c>
      <c r="C2597" s="1">
        <v>45408</v>
      </c>
      <c r="D2597">
        <v>15.18</v>
      </c>
      <c r="E2597" s="1">
        <v>45363</v>
      </c>
      <c r="F2597">
        <v>101.36</v>
      </c>
      <c r="G2597" s="1">
        <v>45404</v>
      </c>
      <c r="H2597">
        <v>29.7</v>
      </c>
      <c r="I2597" s="1">
        <v>45404</v>
      </c>
      <c r="J2597">
        <v>17.760000000000002</v>
      </c>
      <c r="K2597" s="1">
        <v>45280</v>
      </c>
      <c r="L2597">
        <v>102.408</v>
      </c>
    </row>
    <row r="2598" spans="1:12" x14ac:dyDescent="0.25">
      <c r="A2598" s="1">
        <v>45391</v>
      </c>
      <c r="B2598">
        <v>14.98</v>
      </c>
      <c r="C2598" s="1">
        <v>45411</v>
      </c>
      <c r="D2598">
        <v>15.39</v>
      </c>
      <c r="E2598" s="1">
        <v>45364</v>
      </c>
      <c r="F2598">
        <v>97.03</v>
      </c>
      <c r="G2598" s="1">
        <v>45405</v>
      </c>
      <c r="H2598">
        <v>28.86</v>
      </c>
      <c r="I2598" s="1">
        <v>45405</v>
      </c>
      <c r="J2598">
        <v>17.73</v>
      </c>
      <c r="K2598" s="1">
        <v>45281</v>
      </c>
      <c r="L2598">
        <v>101.843</v>
      </c>
    </row>
    <row r="2599" spans="1:12" x14ac:dyDescent="0.25">
      <c r="A2599" s="1">
        <v>45392</v>
      </c>
      <c r="B2599">
        <v>15.8</v>
      </c>
      <c r="C2599" s="1">
        <v>45412</v>
      </c>
      <c r="D2599">
        <v>16.11</v>
      </c>
      <c r="E2599" s="1">
        <v>45365</v>
      </c>
      <c r="F2599">
        <v>98.67</v>
      </c>
      <c r="G2599" s="1">
        <v>45406</v>
      </c>
      <c r="H2599">
        <v>29.04</v>
      </c>
      <c r="I2599" s="1">
        <v>45406</v>
      </c>
      <c r="J2599">
        <v>17.45</v>
      </c>
      <c r="K2599" s="1">
        <v>45282</v>
      </c>
      <c r="L2599">
        <v>101.69799999999999</v>
      </c>
    </row>
    <row r="2600" spans="1:12" x14ac:dyDescent="0.25">
      <c r="A2600" s="1">
        <v>45393</v>
      </c>
      <c r="B2600">
        <v>14.91</v>
      </c>
      <c r="C2600" s="1">
        <v>45413</v>
      </c>
      <c r="D2600">
        <v>15.43</v>
      </c>
      <c r="E2600" s="1">
        <v>45366</v>
      </c>
      <c r="F2600">
        <v>97.82</v>
      </c>
      <c r="G2600" s="1">
        <v>45407</v>
      </c>
      <c r="H2600">
        <v>28.34</v>
      </c>
      <c r="I2600" s="1">
        <v>45407</v>
      </c>
      <c r="J2600">
        <v>17.32</v>
      </c>
      <c r="K2600" s="1">
        <v>45286</v>
      </c>
      <c r="L2600">
        <v>101.46599999999999</v>
      </c>
    </row>
    <row r="2601" spans="1:12" x14ac:dyDescent="0.25">
      <c r="A2601" s="1">
        <v>45394</v>
      </c>
      <c r="B2601">
        <v>17.309999999999999</v>
      </c>
      <c r="C2601" s="1">
        <v>45414</v>
      </c>
      <c r="D2601">
        <v>17.48</v>
      </c>
      <c r="E2601" s="1">
        <v>45369</v>
      </c>
      <c r="F2601">
        <v>102.87</v>
      </c>
      <c r="G2601" s="1">
        <v>45408</v>
      </c>
      <c r="H2601">
        <v>27.81</v>
      </c>
      <c r="I2601" s="1">
        <v>45408</v>
      </c>
      <c r="J2601">
        <v>16.920000000000002</v>
      </c>
      <c r="K2601" s="1">
        <v>45287</v>
      </c>
      <c r="L2601">
        <v>100.986</v>
      </c>
    </row>
    <row r="2602" spans="1:12" x14ac:dyDescent="0.25">
      <c r="A2602" s="1">
        <v>45397</v>
      </c>
      <c r="B2602">
        <v>19.23</v>
      </c>
      <c r="C2602" s="1">
        <v>45415</v>
      </c>
      <c r="D2602">
        <v>14.74</v>
      </c>
      <c r="E2602" s="1">
        <v>45370</v>
      </c>
      <c r="F2602">
        <v>99.99</v>
      </c>
      <c r="G2602" s="1">
        <v>45411</v>
      </c>
      <c r="H2602">
        <v>27.84</v>
      </c>
      <c r="I2602" s="1">
        <v>45411</v>
      </c>
      <c r="J2602">
        <v>16.920000000000002</v>
      </c>
      <c r="K2602" s="1">
        <v>45288</v>
      </c>
      <c r="L2602">
        <v>101.229</v>
      </c>
    </row>
    <row r="2603" spans="1:12" x14ac:dyDescent="0.25">
      <c r="A2603" s="1">
        <v>45398</v>
      </c>
      <c r="B2603">
        <v>18.399999999999999</v>
      </c>
      <c r="C2603" s="1">
        <v>45418</v>
      </c>
      <c r="D2603">
        <v>15.9</v>
      </c>
      <c r="E2603" s="1">
        <v>45371</v>
      </c>
      <c r="F2603">
        <v>92.72</v>
      </c>
      <c r="G2603" s="1">
        <v>45412</v>
      </c>
      <c r="H2603">
        <v>27.87</v>
      </c>
      <c r="I2603" s="1">
        <v>45412</v>
      </c>
      <c r="J2603">
        <v>16.54</v>
      </c>
      <c r="K2603" s="1">
        <v>45289</v>
      </c>
      <c r="L2603">
        <v>101.333</v>
      </c>
    </row>
    <row r="2604" spans="1:12" x14ac:dyDescent="0.25">
      <c r="A2604" s="1">
        <v>45399</v>
      </c>
      <c r="B2604">
        <v>18.21</v>
      </c>
      <c r="C2604" s="1">
        <v>45419</v>
      </c>
      <c r="D2604">
        <v>14.78</v>
      </c>
      <c r="E2604" s="1">
        <v>45372</v>
      </c>
      <c r="F2604">
        <v>90.82</v>
      </c>
      <c r="G2604" s="1">
        <v>45413</v>
      </c>
      <c r="H2604">
        <v>28.7</v>
      </c>
      <c r="I2604" s="1">
        <v>45413</v>
      </c>
      <c r="J2604">
        <v>16.25</v>
      </c>
      <c r="K2604" s="1">
        <v>45293</v>
      </c>
      <c r="L2604">
        <v>102.2</v>
      </c>
    </row>
    <row r="2605" spans="1:12" x14ac:dyDescent="0.25">
      <c r="A2605" s="1">
        <v>45400</v>
      </c>
      <c r="B2605">
        <v>18</v>
      </c>
      <c r="C2605" s="1">
        <v>45420</v>
      </c>
      <c r="D2605">
        <v>15.58</v>
      </c>
      <c r="E2605" s="1">
        <v>45373</v>
      </c>
      <c r="F2605">
        <v>91.04</v>
      </c>
      <c r="G2605" s="1">
        <v>45414</v>
      </c>
      <c r="H2605">
        <v>27.65</v>
      </c>
      <c r="I2605" s="1">
        <v>45414</v>
      </c>
      <c r="J2605">
        <v>16.05</v>
      </c>
      <c r="K2605" s="1">
        <v>45294</v>
      </c>
      <c r="L2605">
        <v>102.494</v>
      </c>
    </row>
    <row r="2606" spans="1:12" x14ac:dyDescent="0.25">
      <c r="A2606" s="1">
        <v>45401</v>
      </c>
      <c r="B2606">
        <v>18.71</v>
      </c>
      <c r="C2606" s="1">
        <v>45421</v>
      </c>
      <c r="D2606">
        <v>14.59</v>
      </c>
      <c r="E2606" s="1">
        <v>45376</v>
      </c>
      <c r="F2606">
        <v>92.24</v>
      </c>
      <c r="G2606" s="1">
        <v>45415</v>
      </c>
      <c r="H2606">
        <v>28.09</v>
      </c>
      <c r="I2606" s="1">
        <v>45415</v>
      </c>
      <c r="J2606">
        <v>15.83</v>
      </c>
      <c r="K2606" s="1">
        <v>45295</v>
      </c>
      <c r="L2606">
        <v>102.422</v>
      </c>
    </row>
    <row r="2607" spans="1:12" x14ac:dyDescent="0.25">
      <c r="A2607" s="1">
        <v>45404</v>
      </c>
      <c r="B2607">
        <v>16.940000000000001</v>
      </c>
      <c r="C2607" s="1">
        <v>45422</v>
      </c>
      <c r="D2607">
        <v>14.95</v>
      </c>
      <c r="E2607" s="1">
        <v>45377</v>
      </c>
      <c r="F2607">
        <v>90.63</v>
      </c>
      <c r="G2607" s="1">
        <v>45418</v>
      </c>
      <c r="H2607">
        <v>28.58</v>
      </c>
      <c r="I2607" s="1">
        <v>45418</v>
      </c>
      <c r="J2607">
        <v>16.23</v>
      </c>
      <c r="K2607" s="1">
        <v>45296</v>
      </c>
      <c r="L2607">
        <v>102.41200000000001</v>
      </c>
    </row>
    <row r="2608" spans="1:12" x14ac:dyDescent="0.25">
      <c r="A2608" s="1">
        <v>45405</v>
      </c>
      <c r="B2608">
        <v>15.69</v>
      </c>
      <c r="C2608" s="1">
        <v>45425</v>
      </c>
      <c r="D2608">
        <v>14.63</v>
      </c>
      <c r="E2608" s="1">
        <v>45378</v>
      </c>
      <c r="F2608">
        <v>86.28</v>
      </c>
      <c r="G2608" s="1">
        <v>45419</v>
      </c>
      <c r="H2608">
        <v>27.83</v>
      </c>
      <c r="I2608" s="1">
        <v>45419</v>
      </c>
      <c r="J2608">
        <v>15.75</v>
      </c>
      <c r="K2608" s="1">
        <v>45299</v>
      </c>
      <c r="L2608">
        <v>102.209</v>
      </c>
    </row>
    <row r="2609" spans="1:12" x14ac:dyDescent="0.25">
      <c r="A2609" s="1">
        <v>45406</v>
      </c>
      <c r="B2609">
        <v>15.97</v>
      </c>
      <c r="C2609" s="1">
        <v>45426</v>
      </c>
      <c r="D2609">
        <v>14.5</v>
      </c>
      <c r="E2609" s="1">
        <v>45379</v>
      </c>
      <c r="F2609">
        <v>86.38</v>
      </c>
      <c r="G2609" s="1">
        <v>45420</v>
      </c>
      <c r="H2609">
        <v>27.91</v>
      </c>
      <c r="I2609" s="1">
        <v>45420</v>
      </c>
      <c r="J2609">
        <v>15.29</v>
      </c>
      <c r="K2609" s="1">
        <v>45300</v>
      </c>
      <c r="L2609">
        <v>102.57</v>
      </c>
    </row>
    <row r="2610" spans="1:12" x14ac:dyDescent="0.25">
      <c r="A2610" s="1">
        <v>45407</v>
      </c>
      <c r="B2610">
        <v>15.37</v>
      </c>
      <c r="C2610" s="1">
        <v>45427</v>
      </c>
      <c r="D2610">
        <v>14.15</v>
      </c>
      <c r="E2610" s="1">
        <v>45383</v>
      </c>
      <c r="F2610">
        <v>94.2</v>
      </c>
      <c r="G2610" s="1">
        <v>45421</v>
      </c>
      <c r="H2610">
        <v>27.95</v>
      </c>
      <c r="I2610" s="1">
        <v>45421</v>
      </c>
      <c r="J2610">
        <v>16.27</v>
      </c>
      <c r="K2610" s="1">
        <v>45301</v>
      </c>
      <c r="L2610">
        <v>102.36199999999999</v>
      </c>
    </row>
    <row r="2611" spans="1:12" x14ac:dyDescent="0.25">
      <c r="A2611" s="1">
        <v>45408</v>
      </c>
      <c r="B2611">
        <v>15.03</v>
      </c>
      <c r="C2611" s="1">
        <v>45428</v>
      </c>
      <c r="D2611">
        <v>14.84</v>
      </c>
      <c r="E2611" s="1">
        <v>45384</v>
      </c>
      <c r="F2611">
        <v>96.57</v>
      </c>
      <c r="G2611" s="1">
        <v>45422</v>
      </c>
      <c r="H2611">
        <v>27.88</v>
      </c>
      <c r="I2611" s="1">
        <v>45422</v>
      </c>
      <c r="J2611">
        <v>16.2</v>
      </c>
      <c r="K2611" s="1">
        <v>45302</v>
      </c>
      <c r="L2611">
        <v>102.291</v>
      </c>
    </row>
    <row r="2612" spans="1:12" x14ac:dyDescent="0.25">
      <c r="A2612" s="1">
        <v>45411</v>
      </c>
      <c r="B2612">
        <v>14.67</v>
      </c>
      <c r="C2612" s="1">
        <v>45429</v>
      </c>
      <c r="D2612">
        <v>14.5</v>
      </c>
      <c r="E2612" s="1">
        <v>45385</v>
      </c>
      <c r="F2612">
        <v>97.88</v>
      </c>
      <c r="G2612" s="1">
        <v>45425</v>
      </c>
      <c r="H2612">
        <v>28.04</v>
      </c>
      <c r="I2612" s="1">
        <v>45425</v>
      </c>
      <c r="J2612">
        <v>16.52</v>
      </c>
      <c r="K2612" s="1">
        <v>45303</v>
      </c>
      <c r="L2612">
        <v>102.404</v>
      </c>
    </row>
    <row r="2613" spans="1:12" x14ac:dyDescent="0.25">
      <c r="A2613" s="1">
        <v>45412</v>
      </c>
      <c r="B2613">
        <v>15.65</v>
      </c>
      <c r="C2613" s="1">
        <v>45432</v>
      </c>
      <c r="D2613">
        <v>15.54</v>
      </c>
      <c r="E2613" s="1">
        <v>45386</v>
      </c>
      <c r="F2613">
        <v>96.13</v>
      </c>
      <c r="G2613" s="1">
        <v>45426</v>
      </c>
      <c r="H2613">
        <v>28.01</v>
      </c>
      <c r="I2613" s="1">
        <v>45426</v>
      </c>
      <c r="J2613">
        <v>16.61</v>
      </c>
      <c r="K2613" s="1">
        <v>45306</v>
      </c>
      <c r="L2613">
        <v>102.404</v>
      </c>
    </row>
    <row r="2614" spans="1:12" x14ac:dyDescent="0.25">
      <c r="A2614" s="1">
        <v>45413</v>
      </c>
      <c r="B2614">
        <v>15.39</v>
      </c>
      <c r="C2614" s="1">
        <v>45433</v>
      </c>
      <c r="D2614">
        <v>14.46</v>
      </c>
      <c r="E2614" s="1">
        <v>45387</v>
      </c>
      <c r="F2614">
        <v>94.31</v>
      </c>
      <c r="G2614" s="1">
        <v>45427</v>
      </c>
      <c r="H2614">
        <v>28.07</v>
      </c>
      <c r="I2614" s="1">
        <v>45427</v>
      </c>
      <c r="J2614">
        <v>16.989999999999998</v>
      </c>
      <c r="K2614" s="1">
        <v>45307</v>
      </c>
      <c r="L2614">
        <v>103.357</v>
      </c>
    </row>
    <row r="2615" spans="1:12" x14ac:dyDescent="0.25">
      <c r="A2615" s="1">
        <v>45414</v>
      </c>
      <c r="B2615">
        <v>14.68</v>
      </c>
      <c r="C2615" s="1">
        <v>45434</v>
      </c>
      <c r="D2615">
        <v>14.67</v>
      </c>
      <c r="E2615" s="1">
        <v>45390</v>
      </c>
      <c r="F2615">
        <v>99.37</v>
      </c>
      <c r="G2615" s="1">
        <v>45428</v>
      </c>
      <c r="H2615">
        <v>27.08</v>
      </c>
      <c r="I2615" s="1">
        <v>45428</v>
      </c>
      <c r="J2615">
        <v>16.260000000000002</v>
      </c>
      <c r="K2615" s="1">
        <v>45308</v>
      </c>
      <c r="L2615">
        <v>103.45</v>
      </c>
    </row>
    <row r="2616" spans="1:12" x14ac:dyDescent="0.25">
      <c r="A2616" s="1">
        <v>45415</v>
      </c>
      <c r="B2616">
        <v>13.49</v>
      </c>
      <c r="C2616" s="1">
        <v>45435</v>
      </c>
      <c r="D2616">
        <v>16.05</v>
      </c>
      <c r="E2616" s="1">
        <v>45391</v>
      </c>
      <c r="F2616">
        <v>98.73</v>
      </c>
      <c r="G2616" s="1">
        <v>45429</v>
      </c>
      <c r="H2616">
        <v>28.06</v>
      </c>
      <c r="I2616" s="1">
        <v>45429</v>
      </c>
      <c r="J2616">
        <v>17.399999999999999</v>
      </c>
      <c r="K2616" s="1">
        <v>45309</v>
      </c>
      <c r="L2616">
        <v>103.536</v>
      </c>
    </row>
    <row r="2617" spans="1:12" x14ac:dyDescent="0.25">
      <c r="A2617" s="1">
        <v>45418</v>
      </c>
      <c r="B2617">
        <v>13.49</v>
      </c>
      <c r="C2617" s="1">
        <v>45436</v>
      </c>
      <c r="D2617">
        <v>14.1</v>
      </c>
      <c r="E2617" s="1">
        <v>45392</v>
      </c>
      <c r="F2617">
        <v>109.59</v>
      </c>
      <c r="G2617" s="1">
        <v>45432</v>
      </c>
      <c r="H2617">
        <v>27.89</v>
      </c>
      <c r="I2617" s="1">
        <v>45432</v>
      </c>
      <c r="J2617">
        <v>17.579999999999998</v>
      </c>
      <c r="K2617" s="1">
        <v>45310</v>
      </c>
      <c r="L2617">
        <v>103.288</v>
      </c>
    </row>
    <row r="2618" spans="1:12" x14ac:dyDescent="0.25">
      <c r="A2618" s="1">
        <v>45419</v>
      </c>
      <c r="B2618">
        <v>13.23</v>
      </c>
      <c r="C2618" s="1">
        <v>45440</v>
      </c>
      <c r="D2618">
        <v>14.72</v>
      </c>
      <c r="E2618" s="1">
        <v>45393</v>
      </c>
      <c r="F2618">
        <v>108.86</v>
      </c>
      <c r="G2618" s="1">
        <v>45433</v>
      </c>
      <c r="H2618">
        <v>27.38</v>
      </c>
      <c r="I2618" s="1">
        <v>45433</v>
      </c>
      <c r="J2618">
        <v>16.760000000000002</v>
      </c>
      <c r="K2618" s="1">
        <v>45313</v>
      </c>
      <c r="L2618">
        <v>103.331</v>
      </c>
    </row>
    <row r="2619" spans="1:12" x14ac:dyDescent="0.25">
      <c r="A2619" s="1">
        <v>45420</v>
      </c>
      <c r="B2619">
        <v>13</v>
      </c>
      <c r="C2619" s="1">
        <v>45441</v>
      </c>
      <c r="D2619">
        <v>17.71</v>
      </c>
      <c r="E2619" s="1">
        <v>45394</v>
      </c>
      <c r="F2619">
        <v>112.82</v>
      </c>
      <c r="G2619" s="1">
        <v>45434</v>
      </c>
      <c r="H2619">
        <v>27.71</v>
      </c>
      <c r="I2619" s="1">
        <v>45434</v>
      </c>
      <c r="J2619">
        <v>16.45</v>
      </c>
      <c r="K2619" s="1">
        <v>45314</v>
      </c>
      <c r="L2619">
        <v>103.617</v>
      </c>
    </row>
    <row r="2620" spans="1:12" x14ac:dyDescent="0.25">
      <c r="A2620" s="1">
        <v>45421</v>
      </c>
      <c r="B2620">
        <v>12.69</v>
      </c>
      <c r="C2620" s="1">
        <v>45442</v>
      </c>
      <c r="D2620">
        <v>16.18</v>
      </c>
      <c r="E2620" s="1">
        <v>45397</v>
      </c>
      <c r="F2620">
        <v>121.15</v>
      </c>
      <c r="G2620" s="1">
        <v>45435</v>
      </c>
      <c r="H2620">
        <v>28.66</v>
      </c>
      <c r="I2620" s="1">
        <v>45435</v>
      </c>
      <c r="J2620">
        <v>16.03</v>
      </c>
      <c r="K2620" s="1">
        <v>45315</v>
      </c>
      <c r="L2620">
        <v>103.236</v>
      </c>
    </row>
    <row r="2621" spans="1:12" x14ac:dyDescent="0.25">
      <c r="A2621" s="1">
        <v>45422</v>
      </c>
      <c r="B2621">
        <v>12.55</v>
      </c>
      <c r="C2621" s="1">
        <v>45443</v>
      </c>
      <c r="D2621">
        <v>16.97</v>
      </c>
      <c r="E2621" s="1">
        <v>45398</v>
      </c>
      <c r="F2621">
        <v>119.59</v>
      </c>
      <c r="G2621" s="1">
        <v>45436</v>
      </c>
      <c r="H2621">
        <v>27.56</v>
      </c>
      <c r="I2621" s="1">
        <v>45436</v>
      </c>
      <c r="J2621">
        <v>15.26</v>
      </c>
      <c r="K2621" s="1">
        <v>45316</v>
      </c>
      <c r="L2621">
        <v>103.574</v>
      </c>
    </row>
    <row r="2622" spans="1:12" x14ac:dyDescent="0.25">
      <c r="A2622" s="1">
        <v>45425</v>
      </c>
      <c r="B2622">
        <v>13.6</v>
      </c>
      <c r="C2622" s="1">
        <v>45446</v>
      </c>
      <c r="D2622">
        <v>18.36</v>
      </c>
      <c r="E2622" s="1">
        <v>45399</v>
      </c>
      <c r="F2622">
        <v>113.29</v>
      </c>
      <c r="G2622" s="1">
        <v>45440</v>
      </c>
      <c r="H2622">
        <v>27.53</v>
      </c>
      <c r="I2622" s="1">
        <v>45440</v>
      </c>
      <c r="J2622">
        <v>15.92</v>
      </c>
      <c r="K2622" s="1">
        <v>45317</v>
      </c>
      <c r="L2622">
        <v>103.43300000000001</v>
      </c>
    </row>
    <row r="2623" spans="1:12" x14ac:dyDescent="0.25">
      <c r="A2623" s="1">
        <v>45426</v>
      </c>
      <c r="B2623">
        <v>13.42</v>
      </c>
      <c r="C2623" s="1">
        <v>45447</v>
      </c>
      <c r="D2623">
        <v>17.8</v>
      </c>
      <c r="E2623" s="1">
        <v>45400</v>
      </c>
      <c r="F2623">
        <v>108.66</v>
      </c>
      <c r="G2623" s="1">
        <v>45441</v>
      </c>
      <c r="H2623">
        <v>26.77</v>
      </c>
      <c r="I2623" s="1">
        <v>45441</v>
      </c>
      <c r="J2623">
        <v>15.83</v>
      </c>
      <c r="K2623" s="1">
        <v>45320</v>
      </c>
      <c r="L2623">
        <v>103.60899999999999</v>
      </c>
    </row>
    <row r="2624" spans="1:12" x14ac:dyDescent="0.25">
      <c r="A2624" s="1">
        <v>45427</v>
      </c>
      <c r="B2624">
        <v>12.45</v>
      </c>
      <c r="C2624" s="1">
        <v>45448</v>
      </c>
      <c r="D2624">
        <v>18.13</v>
      </c>
      <c r="E2624" s="1">
        <v>45401</v>
      </c>
      <c r="F2624">
        <v>111.26</v>
      </c>
      <c r="G2624" s="1">
        <v>45442</v>
      </c>
      <c r="H2624">
        <v>29.24</v>
      </c>
      <c r="I2624" s="1">
        <v>45442</v>
      </c>
      <c r="J2624">
        <v>15.74</v>
      </c>
      <c r="K2624" s="1">
        <v>45321</v>
      </c>
      <c r="L2624">
        <v>103.39700000000001</v>
      </c>
    </row>
    <row r="2625" spans="1:12" x14ac:dyDescent="0.25">
      <c r="A2625" s="1">
        <v>45428</v>
      </c>
      <c r="B2625">
        <v>12.42</v>
      </c>
      <c r="C2625" s="1">
        <v>45449</v>
      </c>
      <c r="D2625">
        <v>26.81</v>
      </c>
      <c r="E2625" s="1">
        <v>45404</v>
      </c>
      <c r="F2625">
        <v>108.56</v>
      </c>
      <c r="G2625" s="1">
        <v>45443</v>
      </c>
      <c r="H2625">
        <v>30.34</v>
      </c>
      <c r="I2625" s="1">
        <v>45443</v>
      </c>
      <c r="J2625">
        <v>15.26</v>
      </c>
      <c r="K2625" s="1">
        <v>45322</v>
      </c>
      <c r="L2625">
        <v>103.274</v>
      </c>
    </row>
    <row r="2626" spans="1:12" x14ac:dyDescent="0.25">
      <c r="A2626" s="1">
        <v>45429</v>
      </c>
      <c r="B2626">
        <v>11.99</v>
      </c>
      <c r="C2626" s="1">
        <v>45450</v>
      </c>
      <c r="D2626">
        <v>19.899999999999999</v>
      </c>
      <c r="E2626" s="1">
        <v>45405</v>
      </c>
      <c r="F2626">
        <v>106.85</v>
      </c>
      <c r="G2626" s="1">
        <v>45446</v>
      </c>
      <c r="H2626">
        <v>30.84</v>
      </c>
      <c r="I2626" s="1">
        <v>45446</v>
      </c>
      <c r="J2626">
        <v>16</v>
      </c>
      <c r="K2626" s="1">
        <v>45323</v>
      </c>
      <c r="L2626">
        <v>103.048</v>
      </c>
    </row>
    <row r="2627" spans="1:12" x14ac:dyDescent="0.25">
      <c r="A2627" s="1">
        <v>45432</v>
      </c>
      <c r="B2627">
        <v>12.15</v>
      </c>
      <c r="C2627" s="1">
        <v>45453</v>
      </c>
      <c r="D2627">
        <v>25</v>
      </c>
      <c r="E2627" s="1">
        <v>45406</v>
      </c>
      <c r="F2627">
        <v>110.21</v>
      </c>
      <c r="G2627" s="1">
        <v>45447</v>
      </c>
      <c r="H2627">
        <v>30.59</v>
      </c>
      <c r="I2627" s="1">
        <v>45447</v>
      </c>
      <c r="J2627">
        <v>16.22</v>
      </c>
      <c r="K2627" s="1">
        <v>45324</v>
      </c>
      <c r="L2627">
        <v>103.922</v>
      </c>
    </row>
    <row r="2628" spans="1:12" x14ac:dyDescent="0.25">
      <c r="A2628" s="1">
        <v>45433</v>
      </c>
      <c r="B2628">
        <v>11.86</v>
      </c>
      <c r="C2628" s="1">
        <v>45454</v>
      </c>
      <c r="D2628">
        <v>19.579999999999998</v>
      </c>
      <c r="E2628" s="1">
        <v>45407</v>
      </c>
      <c r="F2628">
        <v>108.55</v>
      </c>
      <c r="G2628" s="1">
        <v>45448</v>
      </c>
      <c r="H2628">
        <v>29.18</v>
      </c>
      <c r="I2628" s="1">
        <v>45448</v>
      </c>
      <c r="J2628">
        <v>16.5</v>
      </c>
      <c r="K2628" s="1">
        <v>45327</v>
      </c>
      <c r="L2628">
        <v>104.452</v>
      </c>
    </row>
    <row r="2629" spans="1:12" x14ac:dyDescent="0.25">
      <c r="A2629" s="1">
        <v>45434</v>
      </c>
      <c r="B2629">
        <v>12.29</v>
      </c>
      <c r="C2629" s="1">
        <v>45455</v>
      </c>
      <c r="D2629">
        <v>16.809999999999999</v>
      </c>
      <c r="E2629" s="1">
        <v>45408</v>
      </c>
      <c r="F2629">
        <v>104.4</v>
      </c>
      <c r="G2629" s="1">
        <v>45449</v>
      </c>
      <c r="H2629">
        <v>27.71</v>
      </c>
      <c r="I2629" s="1">
        <v>45449</v>
      </c>
      <c r="J2629">
        <v>16.850000000000001</v>
      </c>
      <c r="K2629" s="1">
        <v>45328</v>
      </c>
      <c r="L2629">
        <v>104.21299999999999</v>
      </c>
    </row>
    <row r="2630" spans="1:12" x14ac:dyDescent="0.25">
      <c r="A2630" s="1">
        <v>45435</v>
      </c>
      <c r="B2630">
        <v>12.77</v>
      </c>
      <c r="C2630" s="1">
        <v>45456</v>
      </c>
      <c r="D2630">
        <v>18.95</v>
      </c>
      <c r="E2630" s="1">
        <v>45411</v>
      </c>
      <c r="F2630">
        <v>105.42</v>
      </c>
      <c r="G2630" s="1">
        <v>45450</v>
      </c>
      <c r="H2630">
        <v>26.42</v>
      </c>
      <c r="I2630" s="1">
        <v>45450</v>
      </c>
      <c r="J2630">
        <v>17.13</v>
      </c>
      <c r="K2630" s="1">
        <v>45329</v>
      </c>
      <c r="L2630">
        <v>104.057</v>
      </c>
    </row>
    <row r="2631" spans="1:12" x14ac:dyDescent="0.25">
      <c r="A2631" s="1">
        <v>45436</v>
      </c>
      <c r="B2631">
        <v>11.93</v>
      </c>
      <c r="C2631" s="1">
        <v>45457</v>
      </c>
      <c r="D2631">
        <v>20.12</v>
      </c>
      <c r="E2631" s="1">
        <v>45412</v>
      </c>
      <c r="F2631">
        <v>107.46</v>
      </c>
      <c r="G2631" s="1">
        <v>45453</v>
      </c>
      <c r="H2631">
        <v>25.69</v>
      </c>
      <c r="I2631" s="1">
        <v>45453</v>
      </c>
      <c r="J2631">
        <v>16.66</v>
      </c>
      <c r="K2631" s="1">
        <v>45330</v>
      </c>
      <c r="L2631">
        <v>104.16500000000001</v>
      </c>
    </row>
    <row r="2632" spans="1:12" x14ac:dyDescent="0.25">
      <c r="A2632" s="1">
        <v>45439</v>
      </c>
      <c r="B2632">
        <v>12.36</v>
      </c>
      <c r="C2632" s="1">
        <v>45460</v>
      </c>
      <c r="D2632">
        <v>16.149999999999999</v>
      </c>
      <c r="E2632" s="1">
        <v>45413</v>
      </c>
      <c r="F2632">
        <v>100.64</v>
      </c>
      <c r="G2632" s="1">
        <v>45454</v>
      </c>
      <c r="H2632">
        <v>25.54</v>
      </c>
      <c r="I2632" s="1">
        <v>45454</v>
      </c>
      <c r="J2632">
        <v>16.45</v>
      </c>
      <c r="K2632" s="1">
        <v>45331</v>
      </c>
      <c r="L2632">
        <v>104.111</v>
      </c>
    </row>
    <row r="2633" spans="1:12" x14ac:dyDescent="0.25">
      <c r="A2633" s="1">
        <v>45440</v>
      </c>
      <c r="B2633">
        <v>12.92</v>
      </c>
      <c r="C2633" s="1">
        <v>45461</v>
      </c>
      <c r="D2633">
        <v>14.6</v>
      </c>
      <c r="E2633" s="1">
        <v>45414</v>
      </c>
      <c r="F2633">
        <v>100.7</v>
      </c>
      <c r="G2633" s="1">
        <v>45455</v>
      </c>
      <c r="H2633">
        <v>24.8</v>
      </c>
      <c r="I2633" s="1">
        <v>45455</v>
      </c>
      <c r="J2633">
        <v>15.92</v>
      </c>
      <c r="K2633" s="1">
        <v>45334</v>
      </c>
      <c r="L2633">
        <v>104.17</v>
      </c>
    </row>
    <row r="2634" spans="1:12" x14ac:dyDescent="0.25">
      <c r="A2634" s="1">
        <v>45441</v>
      </c>
      <c r="B2634">
        <v>14.28</v>
      </c>
      <c r="C2634" s="1">
        <v>45463</v>
      </c>
      <c r="D2634">
        <v>16.66</v>
      </c>
      <c r="E2634" s="1">
        <v>45415</v>
      </c>
      <c r="F2634">
        <v>95.96</v>
      </c>
      <c r="G2634" s="1">
        <v>45456</v>
      </c>
      <c r="H2634">
        <v>24.45</v>
      </c>
      <c r="I2634" s="1">
        <v>45456</v>
      </c>
      <c r="J2634">
        <v>15.71</v>
      </c>
      <c r="K2634" s="1">
        <v>45335</v>
      </c>
      <c r="L2634">
        <v>104.96</v>
      </c>
    </row>
    <row r="2635" spans="1:12" x14ac:dyDescent="0.25">
      <c r="A2635" s="1">
        <v>45442</v>
      </c>
      <c r="B2635">
        <v>14.47</v>
      </c>
      <c r="C2635" s="1">
        <v>45464</v>
      </c>
      <c r="D2635">
        <v>16.47</v>
      </c>
      <c r="E2635" s="1">
        <v>45418</v>
      </c>
      <c r="F2635">
        <v>94.5</v>
      </c>
      <c r="G2635" s="1">
        <v>45457</v>
      </c>
      <c r="H2635">
        <v>24.71</v>
      </c>
      <c r="I2635" s="1">
        <v>45457</v>
      </c>
      <c r="J2635">
        <v>16.07</v>
      </c>
      <c r="K2635" s="1">
        <v>45336</v>
      </c>
      <c r="L2635">
        <v>104.723</v>
      </c>
    </row>
    <row r="2636" spans="1:12" x14ac:dyDescent="0.25">
      <c r="A2636" s="1">
        <v>45443</v>
      </c>
      <c r="B2636">
        <v>12.92</v>
      </c>
      <c r="C2636" s="1">
        <v>45467</v>
      </c>
      <c r="D2636">
        <v>15.9</v>
      </c>
      <c r="E2636" s="1">
        <v>45419</v>
      </c>
      <c r="F2636">
        <v>98.04</v>
      </c>
      <c r="G2636" s="1">
        <v>45460</v>
      </c>
      <c r="H2636">
        <v>24.17</v>
      </c>
      <c r="I2636" s="1">
        <v>45460</v>
      </c>
      <c r="J2636">
        <v>15.63</v>
      </c>
      <c r="K2636" s="1">
        <v>45337</v>
      </c>
      <c r="L2636">
        <v>104.29600000000001</v>
      </c>
    </row>
    <row r="2637" spans="1:12" x14ac:dyDescent="0.25">
      <c r="A2637" s="1">
        <v>45446</v>
      </c>
      <c r="B2637">
        <v>13.11</v>
      </c>
      <c r="C2637" s="1">
        <v>45468</v>
      </c>
      <c r="D2637">
        <v>16.010000000000002</v>
      </c>
      <c r="E2637" s="1">
        <v>45420</v>
      </c>
      <c r="F2637">
        <v>95.58</v>
      </c>
      <c r="G2637" s="1">
        <v>45461</v>
      </c>
      <c r="H2637">
        <v>23.73</v>
      </c>
      <c r="I2637" s="1">
        <v>45461</v>
      </c>
      <c r="J2637">
        <v>15.64</v>
      </c>
      <c r="K2637" s="1">
        <v>45338</v>
      </c>
      <c r="L2637">
        <v>104.27500000000001</v>
      </c>
    </row>
    <row r="2638" spans="1:12" x14ac:dyDescent="0.25">
      <c r="A2638" s="1">
        <v>45447</v>
      </c>
      <c r="B2638">
        <v>13.16</v>
      </c>
      <c r="C2638" s="1">
        <v>45469</v>
      </c>
      <c r="D2638">
        <v>18.29</v>
      </c>
      <c r="E2638" s="1">
        <v>45421</v>
      </c>
      <c r="F2638">
        <v>93.85</v>
      </c>
      <c r="G2638" s="1">
        <v>45463</v>
      </c>
      <c r="H2638">
        <v>24.23</v>
      </c>
      <c r="I2638" s="1">
        <v>45463</v>
      </c>
      <c r="J2638">
        <v>16.399999999999999</v>
      </c>
      <c r="K2638" s="1">
        <v>45341</v>
      </c>
      <c r="L2638">
        <v>104.291</v>
      </c>
    </row>
    <row r="2639" spans="1:12" x14ac:dyDescent="0.25">
      <c r="A2639" s="1">
        <v>45448</v>
      </c>
      <c r="B2639">
        <v>12.63</v>
      </c>
      <c r="C2639" s="1">
        <v>45470</v>
      </c>
      <c r="D2639">
        <v>18.78</v>
      </c>
      <c r="E2639" s="1">
        <v>45422</v>
      </c>
      <c r="F2639">
        <v>94.23</v>
      </c>
      <c r="G2639" s="1">
        <v>45464</v>
      </c>
      <c r="H2639">
        <v>24.74</v>
      </c>
      <c r="I2639" s="1">
        <v>45464</v>
      </c>
      <c r="J2639">
        <v>15.86</v>
      </c>
      <c r="K2639" s="1">
        <v>45342</v>
      </c>
      <c r="L2639">
        <v>104.07899999999999</v>
      </c>
    </row>
    <row r="2640" spans="1:12" x14ac:dyDescent="0.25">
      <c r="A2640" s="1">
        <v>45449</v>
      </c>
      <c r="B2640">
        <v>12.58</v>
      </c>
      <c r="C2640" s="1">
        <v>45471</v>
      </c>
      <c r="D2640">
        <v>15.65</v>
      </c>
      <c r="E2640" s="1">
        <v>45425</v>
      </c>
      <c r="F2640">
        <v>105.35</v>
      </c>
      <c r="G2640" s="1">
        <v>45467</v>
      </c>
      <c r="H2640">
        <v>25.42</v>
      </c>
      <c r="I2640" s="1">
        <v>45467</v>
      </c>
      <c r="J2640">
        <v>15.49</v>
      </c>
      <c r="K2640" s="1">
        <v>45343</v>
      </c>
      <c r="L2640">
        <v>104.006</v>
      </c>
    </row>
    <row r="2641" spans="1:12" x14ac:dyDescent="0.25">
      <c r="A2641" s="1">
        <v>45450</v>
      </c>
      <c r="B2641">
        <v>12.22</v>
      </c>
      <c r="C2641" s="1">
        <v>45474</v>
      </c>
      <c r="D2641">
        <v>16.05</v>
      </c>
      <c r="E2641" s="1">
        <v>45426</v>
      </c>
      <c r="F2641">
        <v>106.55</v>
      </c>
      <c r="G2641" s="1">
        <v>45468</v>
      </c>
      <c r="H2641">
        <v>25.75</v>
      </c>
      <c r="I2641" s="1">
        <v>45468</v>
      </c>
      <c r="J2641">
        <v>14.88</v>
      </c>
      <c r="K2641" s="1">
        <v>45344</v>
      </c>
      <c r="L2641">
        <v>103.95699999999999</v>
      </c>
    </row>
    <row r="2642" spans="1:12" x14ac:dyDescent="0.25">
      <c r="A2642" s="1">
        <v>45453</v>
      </c>
      <c r="B2642">
        <v>12.74</v>
      </c>
      <c r="C2642" s="1">
        <v>45475</v>
      </c>
      <c r="D2642">
        <v>16.739999999999998</v>
      </c>
      <c r="E2642" s="1">
        <v>45427</v>
      </c>
      <c r="F2642">
        <v>93.78</v>
      </c>
      <c r="G2642" s="1">
        <v>45469</v>
      </c>
      <c r="H2642">
        <v>26.24</v>
      </c>
      <c r="I2642" s="1">
        <v>45469</v>
      </c>
      <c r="J2642">
        <v>14.88</v>
      </c>
      <c r="K2642" s="1">
        <v>45345</v>
      </c>
      <c r="L2642">
        <v>103.93600000000001</v>
      </c>
    </row>
    <row r="2643" spans="1:12" x14ac:dyDescent="0.25">
      <c r="A2643" s="1">
        <v>45454</v>
      </c>
      <c r="B2643">
        <v>12.85</v>
      </c>
      <c r="C2643" s="1">
        <v>45476</v>
      </c>
      <c r="D2643">
        <v>17.97</v>
      </c>
      <c r="E2643" s="1">
        <v>45428</v>
      </c>
      <c r="F2643">
        <v>91.83</v>
      </c>
      <c r="G2643" s="1">
        <v>45470</v>
      </c>
      <c r="H2643">
        <v>26.28</v>
      </c>
      <c r="I2643" s="1">
        <v>45470</v>
      </c>
      <c r="J2643">
        <v>15.01</v>
      </c>
      <c r="K2643" s="1">
        <v>45348</v>
      </c>
      <c r="L2643">
        <v>103.827</v>
      </c>
    </row>
    <row r="2644" spans="1:12" x14ac:dyDescent="0.25">
      <c r="A2644" s="1">
        <v>45455</v>
      </c>
      <c r="B2644">
        <v>12.04</v>
      </c>
      <c r="C2644" s="1">
        <v>45478</v>
      </c>
      <c r="D2644">
        <v>18.29</v>
      </c>
      <c r="E2644" s="1">
        <v>45429</v>
      </c>
      <c r="F2644">
        <v>89.35</v>
      </c>
      <c r="G2644" s="1">
        <v>45471</v>
      </c>
      <c r="H2644">
        <v>26.54</v>
      </c>
      <c r="I2644" s="1">
        <v>45471</v>
      </c>
      <c r="J2644">
        <v>14.72</v>
      </c>
      <c r="K2644" s="1">
        <v>45349</v>
      </c>
      <c r="L2644">
        <v>103.82899999999999</v>
      </c>
    </row>
    <row r="2645" spans="1:12" x14ac:dyDescent="0.25">
      <c r="A2645" s="1">
        <v>45456</v>
      </c>
      <c r="B2645">
        <v>11.94</v>
      </c>
      <c r="C2645" s="1">
        <v>45481</v>
      </c>
      <c r="D2645">
        <v>25.13</v>
      </c>
      <c r="E2645" s="1">
        <v>45432</v>
      </c>
      <c r="F2645">
        <v>88.13</v>
      </c>
      <c r="G2645" s="1">
        <v>45474</v>
      </c>
      <c r="H2645">
        <v>27.29</v>
      </c>
      <c r="I2645" s="1">
        <v>45474</v>
      </c>
      <c r="J2645">
        <v>14.86</v>
      </c>
      <c r="K2645" s="1">
        <v>45350</v>
      </c>
      <c r="L2645">
        <v>103.97499999999999</v>
      </c>
    </row>
    <row r="2646" spans="1:12" x14ac:dyDescent="0.25">
      <c r="A2646" s="1">
        <v>45457</v>
      </c>
      <c r="B2646">
        <v>12.66</v>
      </c>
      <c r="C2646" s="1">
        <v>45482</v>
      </c>
      <c r="D2646">
        <v>24.06</v>
      </c>
      <c r="E2646" s="1">
        <v>45433</v>
      </c>
      <c r="F2646">
        <v>85.34</v>
      </c>
      <c r="G2646" s="1">
        <v>45475</v>
      </c>
      <c r="H2646">
        <v>25.82</v>
      </c>
      <c r="I2646" s="1">
        <v>45475</v>
      </c>
      <c r="J2646">
        <v>14.35</v>
      </c>
      <c r="K2646" s="1">
        <v>45351</v>
      </c>
      <c r="L2646">
        <v>104.15600000000001</v>
      </c>
    </row>
    <row r="2647" spans="1:12" x14ac:dyDescent="0.25">
      <c r="A2647" s="1">
        <v>45460</v>
      </c>
      <c r="B2647">
        <v>12.75</v>
      </c>
      <c r="C2647" s="1">
        <v>45483</v>
      </c>
      <c r="D2647">
        <v>15.36</v>
      </c>
      <c r="E2647" s="1">
        <v>45434</v>
      </c>
      <c r="F2647">
        <v>82.49</v>
      </c>
      <c r="G2647" s="1">
        <v>45476</v>
      </c>
      <c r="H2647">
        <v>24.62</v>
      </c>
      <c r="I2647" s="1">
        <v>45476</v>
      </c>
      <c r="J2647">
        <v>14.89</v>
      </c>
      <c r="K2647" s="1">
        <v>45352</v>
      </c>
      <c r="L2647">
        <v>103.861</v>
      </c>
    </row>
    <row r="2648" spans="1:12" x14ac:dyDescent="0.25">
      <c r="A2648" s="1">
        <v>45461</v>
      </c>
      <c r="B2648">
        <v>12.3</v>
      </c>
      <c r="C2648" s="1">
        <v>45484</v>
      </c>
      <c r="D2648">
        <v>14.03</v>
      </c>
      <c r="E2648" s="1">
        <v>45435</v>
      </c>
      <c r="F2648">
        <v>86.15</v>
      </c>
      <c r="G2648" s="1">
        <v>45478</v>
      </c>
      <c r="H2648">
        <v>23.78</v>
      </c>
      <c r="I2648" s="1">
        <v>45478</v>
      </c>
      <c r="J2648">
        <v>15.62</v>
      </c>
      <c r="K2648" s="1">
        <v>45355</v>
      </c>
      <c r="L2648">
        <v>103.83199999999999</v>
      </c>
    </row>
    <row r="2649" spans="1:12" x14ac:dyDescent="0.25">
      <c r="A2649" s="1">
        <v>45462</v>
      </c>
      <c r="B2649">
        <v>12.48</v>
      </c>
      <c r="C2649" s="1">
        <v>45485</v>
      </c>
      <c r="D2649">
        <v>15.01</v>
      </c>
      <c r="E2649" s="1">
        <v>45436</v>
      </c>
      <c r="F2649">
        <v>83.57</v>
      </c>
      <c r="G2649" s="1">
        <v>45481</v>
      </c>
      <c r="H2649">
        <v>23.81</v>
      </c>
      <c r="I2649" s="1">
        <v>45481</v>
      </c>
      <c r="J2649">
        <v>15.13</v>
      </c>
      <c r="K2649" s="1">
        <v>45356</v>
      </c>
      <c r="L2649">
        <v>103.798</v>
      </c>
    </row>
    <row r="2650" spans="1:12" x14ac:dyDescent="0.25">
      <c r="A2650" s="1">
        <v>45463</v>
      </c>
      <c r="B2650">
        <v>13.28</v>
      </c>
      <c r="C2650" s="1">
        <v>45488</v>
      </c>
      <c r="D2650">
        <v>18.93</v>
      </c>
      <c r="E2650" s="1">
        <v>45440</v>
      </c>
      <c r="F2650">
        <v>89.67</v>
      </c>
      <c r="G2650" s="1">
        <v>45482</v>
      </c>
      <c r="H2650">
        <v>24.19</v>
      </c>
      <c r="I2650" s="1">
        <v>45482</v>
      </c>
      <c r="J2650">
        <v>14.64</v>
      </c>
      <c r="K2650" s="1">
        <v>45357</v>
      </c>
      <c r="L2650">
        <v>103.369</v>
      </c>
    </row>
    <row r="2651" spans="1:12" x14ac:dyDescent="0.25">
      <c r="A2651" s="1">
        <v>45464</v>
      </c>
      <c r="B2651">
        <v>13.2</v>
      </c>
      <c r="C2651" s="1">
        <v>45489</v>
      </c>
      <c r="D2651">
        <v>15.28</v>
      </c>
      <c r="E2651" s="1">
        <v>45441</v>
      </c>
      <c r="F2651">
        <v>93.45</v>
      </c>
      <c r="G2651" s="1">
        <v>45483</v>
      </c>
      <c r="H2651">
        <v>24.01</v>
      </c>
      <c r="I2651" s="1">
        <v>45483</v>
      </c>
      <c r="J2651">
        <v>14.89</v>
      </c>
      <c r="K2651" s="1">
        <v>45358</v>
      </c>
      <c r="L2651">
        <v>102.82299999999999</v>
      </c>
    </row>
    <row r="2652" spans="1:12" x14ac:dyDescent="0.25">
      <c r="A2652" s="1">
        <v>45467</v>
      </c>
      <c r="B2652">
        <v>13.33</v>
      </c>
      <c r="C2652" s="1">
        <v>45490</v>
      </c>
      <c r="D2652">
        <v>15.26</v>
      </c>
      <c r="E2652" s="1">
        <v>45442</v>
      </c>
      <c r="F2652">
        <v>91.09</v>
      </c>
      <c r="G2652" s="1">
        <v>45484</v>
      </c>
      <c r="H2652">
        <v>24.01</v>
      </c>
      <c r="I2652" s="1">
        <v>45484</v>
      </c>
      <c r="J2652">
        <v>15.74</v>
      </c>
      <c r="K2652" s="1">
        <v>45359</v>
      </c>
      <c r="L2652">
        <v>102.712</v>
      </c>
    </row>
    <row r="2653" spans="1:12" x14ac:dyDescent="0.25">
      <c r="A2653" s="1">
        <v>45468</v>
      </c>
      <c r="B2653">
        <v>12.84</v>
      </c>
      <c r="C2653" s="1">
        <v>45491</v>
      </c>
      <c r="D2653">
        <v>15.97</v>
      </c>
      <c r="E2653" s="1">
        <v>45443</v>
      </c>
      <c r="F2653">
        <v>91.14</v>
      </c>
      <c r="G2653" s="1">
        <v>45485</v>
      </c>
      <c r="H2653">
        <v>24.12</v>
      </c>
      <c r="I2653" s="1">
        <v>45485</v>
      </c>
      <c r="J2653">
        <v>15.12</v>
      </c>
      <c r="K2653" s="1">
        <v>45362</v>
      </c>
      <c r="L2653">
        <v>102.869</v>
      </c>
    </row>
    <row r="2654" spans="1:12" x14ac:dyDescent="0.25">
      <c r="A2654" s="1">
        <v>45469</v>
      </c>
      <c r="B2654">
        <v>12.55</v>
      </c>
      <c r="C2654" s="1">
        <v>45492</v>
      </c>
      <c r="D2654">
        <v>16.29</v>
      </c>
      <c r="E2654" s="1">
        <v>45446</v>
      </c>
      <c r="F2654">
        <v>93.92</v>
      </c>
      <c r="G2654" s="1">
        <v>45488</v>
      </c>
      <c r="H2654">
        <v>23.83</v>
      </c>
      <c r="I2654" s="1">
        <v>45488</v>
      </c>
      <c r="J2654">
        <v>15.98</v>
      </c>
      <c r="K2654" s="1">
        <v>45363</v>
      </c>
      <c r="L2654">
        <v>102.95699999999999</v>
      </c>
    </row>
    <row r="2655" spans="1:12" x14ac:dyDescent="0.25">
      <c r="A2655" s="1">
        <v>45470</v>
      </c>
      <c r="B2655">
        <v>12.24</v>
      </c>
      <c r="C2655" s="1">
        <v>45495</v>
      </c>
      <c r="D2655">
        <v>17.059999999999999</v>
      </c>
      <c r="E2655" s="1">
        <v>45447</v>
      </c>
      <c r="F2655">
        <v>100.11</v>
      </c>
      <c r="G2655" s="1">
        <v>45489</v>
      </c>
      <c r="H2655">
        <v>24.41</v>
      </c>
      <c r="I2655" s="1">
        <v>45489</v>
      </c>
      <c r="J2655">
        <v>17.149999999999999</v>
      </c>
      <c r="K2655" s="1">
        <v>45364</v>
      </c>
      <c r="L2655">
        <v>102.789</v>
      </c>
    </row>
    <row r="2656" spans="1:12" x14ac:dyDescent="0.25">
      <c r="A2656" s="1">
        <v>45471</v>
      </c>
      <c r="B2656">
        <v>12.44</v>
      </c>
      <c r="C2656" s="1">
        <v>45496</v>
      </c>
      <c r="D2656">
        <v>16.8</v>
      </c>
      <c r="E2656" s="1">
        <v>45448</v>
      </c>
      <c r="F2656">
        <v>102.43</v>
      </c>
      <c r="G2656" s="1">
        <v>45490</v>
      </c>
      <c r="H2656">
        <v>25.28</v>
      </c>
      <c r="I2656" s="1">
        <v>45490</v>
      </c>
      <c r="J2656">
        <v>16.7</v>
      </c>
      <c r="K2656" s="1">
        <v>45365</v>
      </c>
      <c r="L2656">
        <v>103.36</v>
      </c>
    </row>
    <row r="2657" spans="1:12" x14ac:dyDescent="0.25">
      <c r="A2657" s="1">
        <v>45474</v>
      </c>
      <c r="B2657">
        <v>12.22</v>
      </c>
      <c r="C2657" s="1">
        <v>45497</v>
      </c>
      <c r="D2657">
        <v>17.739999999999998</v>
      </c>
      <c r="E2657" s="1">
        <v>45449</v>
      </c>
      <c r="F2657">
        <v>100.99</v>
      </c>
      <c r="G2657" s="1">
        <v>45491</v>
      </c>
      <c r="H2657">
        <v>25.68</v>
      </c>
      <c r="I2657" s="1">
        <v>45491</v>
      </c>
      <c r="J2657">
        <v>16.25</v>
      </c>
      <c r="K2657" s="1">
        <v>45366</v>
      </c>
      <c r="L2657">
        <v>103.432</v>
      </c>
    </row>
    <row r="2658" spans="1:12" x14ac:dyDescent="0.25">
      <c r="A2658" s="1">
        <v>45475</v>
      </c>
      <c r="B2658">
        <v>12.03</v>
      </c>
      <c r="C2658" s="1">
        <v>45498</v>
      </c>
      <c r="D2658">
        <v>17.7</v>
      </c>
      <c r="E2658" s="1">
        <v>45450</v>
      </c>
      <c r="F2658">
        <v>91.82</v>
      </c>
      <c r="G2658" s="1">
        <v>45492</v>
      </c>
      <c r="H2658">
        <v>26.83</v>
      </c>
      <c r="I2658" s="1">
        <v>45492</v>
      </c>
      <c r="J2658">
        <v>16.34</v>
      </c>
      <c r="K2658" s="1">
        <v>45369</v>
      </c>
      <c r="L2658">
        <v>103.57899999999999</v>
      </c>
    </row>
    <row r="2659" spans="1:12" x14ac:dyDescent="0.25">
      <c r="A2659" s="1">
        <v>45476</v>
      </c>
      <c r="B2659">
        <v>12.09</v>
      </c>
      <c r="C2659" s="1">
        <v>45499</v>
      </c>
      <c r="D2659">
        <v>17.16</v>
      </c>
      <c r="E2659" s="1">
        <v>45453</v>
      </c>
      <c r="F2659">
        <v>94.16</v>
      </c>
      <c r="G2659" s="1">
        <v>45495</v>
      </c>
      <c r="H2659">
        <v>26.83</v>
      </c>
      <c r="I2659" s="1">
        <v>45495</v>
      </c>
      <c r="J2659">
        <v>15.74</v>
      </c>
      <c r="K2659" s="1">
        <v>45370</v>
      </c>
      <c r="L2659">
        <v>103.818</v>
      </c>
    </row>
    <row r="2660" spans="1:12" x14ac:dyDescent="0.25">
      <c r="A2660" s="1">
        <v>45477</v>
      </c>
      <c r="B2660">
        <v>12.26</v>
      </c>
      <c r="C2660" s="1">
        <v>45502</v>
      </c>
      <c r="D2660">
        <v>16.93</v>
      </c>
      <c r="E2660" s="1">
        <v>45454</v>
      </c>
      <c r="F2660">
        <v>97.27</v>
      </c>
      <c r="G2660" s="1">
        <v>45496</v>
      </c>
      <c r="H2660">
        <v>26.74</v>
      </c>
      <c r="I2660" s="1">
        <v>45496</v>
      </c>
      <c r="J2660">
        <v>15.44</v>
      </c>
      <c r="K2660" s="1">
        <v>45371</v>
      </c>
      <c r="L2660">
        <v>103.389</v>
      </c>
    </row>
    <row r="2661" spans="1:12" x14ac:dyDescent="0.25">
      <c r="A2661" s="1">
        <v>45478</v>
      </c>
      <c r="B2661">
        <v>12.48</v>
      </c>
      <c r="C2661" s="1">
        <v>45503</v>
      </c>
      <c r="D2661">
        <v>17.850000000000001</v>
      </c>
      <c r="E2661" s="1">
        <v>45455</v>
      </c>
      <c r="F2661">
        <v>91.73</v>
      </c>
      <c r="G2661" s="1">
        <v>45497</v>
      </c>
      <c r="H2661">
        <v>26.85</v>
      </c>
      <c r="I2661" s="1">
        <v>45497</v>
      </c>
      <c r="J2661">
        <v>15.98</v>
      </c>
      <c r="K2661" s="1">
        <v>45372</v>
      </c>
      <c r="L2661">
        <v>104.00700000000001</v>
      </c>
    </row>
    <row r="2662" spans="1:12" x14ac:dyDescent="0.25">
      <c r="A2662" s="1">
        <v>45481</v>
      </c>
      <c r="B2662">
        <v>12.37</v>
      </c>
      <c r="C2662" s="1">
        <v>45504</v>
      </c>
      <c r="D2662">
        <v>17.079999999999998</v>
      </c>
      <c r="E2662" s="1">
        <v>45456</v>
      </c>
      <c r="F2662">
        <v>91.93</v>
      </c>
      <c r="G2662" s="1">
        <v>45498</v>
      </c>
      <c r="H2662">
        <v>26.49</v>
      </c>
      <c r="I2662" s="1">
        <v>45498</v>
      </c>
      <c r="J2662">
        <v>15.54</v>
      </c>
      <c r="K2662" s="1">
        <v>45373</v>
      </c>
      <c r="L2662">
        <v>104.43</v>
      </c>
    </row>
    <row r="2663" spans="1:12" x14ac:dyDescent="0.25">
      <c r="A2663" s="1">
        <v>45482</v>
      </c>
      <c r="B2663">
        <v>12.51</v>
      </c>
      <c r="C2663" s="1">
        <v>45505</v>
      </c>
      <c r="D2663">
        <v>19.350000000000001</v>
      </c>
      <c r="E2663" s="1">
        <v>45457</v>
      </c>
      <c r="F2663">
        <v>100.16</v>
      </c>
      <c r="G2663" s="1">
        <v>45499</v>
      </c>
      <c r="H2663">
        <v>29.77</v>
      </c>
      <c r="I2663" s="1">
        <v>45499</v>
      </c>
      <c r="J2663">
        <v>15.2</v>
      </c>
      <c r="K2663" s="1">
        <v>45376</v>
      </c>
      <c r="L2663">
        <v>104.224</v>
      </c>
    </row>
    <row r="2664" spans="1:12" x14ac:dyDescent="0.25">
      <c r="A2664" s="1">
        <v>45483</v>
      </c>
      <c r="B2664">
        <v>12.85</v>
      </c>
      <c r="C2664" s="1">
        <v>45506</v>
      </c>
      <c r="D2664">
        <v>21.36</v>
      </c>
      <c r="E2664" s="1">
        <v>45460</v>
      </c>
      <c r="F2664">
        <v>99.07</v>
      </c>
      <c r="G2664" s="1">
        <v>45502</v>
      </c>
      <c r="H2664">
        <v>30.82</v>
      </c>
      <c r="I2664" s="1">
        <v>45502</v>
      </c>
      <c r="J2664">
        <v>15.64</v>
      </c>
      <c r="K2664" s="1">
        <v>45377</v>
      </c>
      <c r="L2664">
        <v>104.298</v>
      </c>
    </row>
    <row r="2665" spans="1:12" x14ac:dyDescent="0.25">
      <c r="A2665" s="1">
        <v>45484</v>
      </c>
      <c r="B2665">
        <v>12.92</v>
      </c>
      <c r="C2665" s="1">
        <v>45509</v>
      </c>
      <c r="D2665">
        <v>30.17</v>
      </c>
      <c r="E2665" s="1">
        <v>45461</v>
      </c>
      <c r="F2665">
        <v>97.99</v>
      </c>
      <c r="G2665" s="1">
        <v>45503</v>
      </c>
      <c r="H2665">
        <v>31.49</v>
      </c>
      <c r="I2665" s="1">
        <v>45503</v>
      </c>
      <c r="J2665">
        <v>16.3</v>
      </c>
      <c r="K2665" s="1">
        <v>45378</v>
      </c>
      <c r="L2665">
        <v>104.348</v>
      </c>
    </row>
    <row r="2666" spans="1:12" x14ac:dyDescent="0.25">
      <c r="A2666" s="1">
        <v>45485</v>
      </c>
      <c r="B2666">
        <v>12.46</v>
      </c>
      <c r="C2666" s="1">
        <v>45510</v>
      </c>
      <c r="D2666">
        <v>22.65</v>
      </c>
      <c r="E2666" s="1">
        <v>45463</v>
      </c>
      <c r="F2666">
        <v>94.14</v>
      </c>
      <c r="G2666" s="1">
        <v>45504</v>
      </c>
      <c r="H2666">
        <v>33.69</v>
      </c>
      <c r="I2666" s="1">
        <v>45504</v>
      </c>
      <c r="J2666">
        <v>17.88</v>
      </c>
      <c r="K2666" s="1">
        <v>45379</v>
      </c>
      <c r="L2666">
        <v>104.54600000000001</v>
      </c>
    </row>
    <row r="2667" spans="1:12" x14ac:dyDescent="0.25">
      <c r="A2667" s="1">
        <v>45488</v>
      </c>
      <c r="B2667">
        <v>13.12</v>
      </c>
      <c r="C2667" s="1">
        <v>45511</v>
      </c>
      <c r="D2667">
        <v>23.65</v>
      </c>
      <c r="E2667" s="1">
        <v>45464</v>
      </c>
      <c r="F2667">
        <v>94.09</v>
      </c>
      <c r="G2667" s="1">
        <v>45505</v>
      </c>
      <c r="H2667">
        <v>33.42</v>
      </c>
      <c r="I2667" s="1">
        <v>45505</v>
      </c>
      <c r="J2667">
        <v>17.61</v>
      </c>
      <c r="K2667" s="1">
        <v>45380</v>
      </c>
      <c r="L2667">
        <v>104.48699999999999</v>
      </c>
    </row>
    <row r="2668" spans="1:12" x14ac:dyDescent="0.25">
      <c r="A2668" s="1">
        <v>45489</v>
      </c>
      <c r="B2668">
        <v>13.19</v>
      </c>
      <c r="C2668" s="1">
        <v>45512</v>
      </c>
      <c r="D2668">
        <v>24.59</v>
      </c>
      <c r="E2668" s="1">
        <v>45467</v>
      </c>
      <c r="F2668">
        <v>95.2</v>
      </c>
      <c r="G2668" s="1">
        <v>45506</v>
      </c>
      <c r="H2668">
        <v>38.83</v>
      </c>
      <c r="I2668" s="1">
        <v>45506</v>
      </c>
      <c r="J2668">
        <v>18.7</v>
      </c>
      <c r="K2668" s="1">
        <v>45383</v>
      </c>
      <c r="L2668">
        <v>105.01900000000001</v>
      </c>
    </row>
    <row r="2669" spans="1:12" x14ac:dyDescent="0.25">
      <c r="A2669" s="1">
        <v>45490</v>
      </c>
      <c r="B2669">
        <v>14.48</v>
      </c>
      <c r="C2669" s="1">
        <v>45513</v>
      </c>
      <c r="D2669">
        <v>23.52</v>
      </c>
      <c r="E2669" s="1">
        <v>45468</v>
      </c>
      <c r="F2669">
        <v>96.97</v>
      </c>
      <c r="G2669" s="1">
        <v>45509</v>
      </c>
      <c r="H2669">
        <v>43.63</v>
      </c>
      <c r="I2669" s="1">
        <v>45509</v>
      </c>
      <c r="J2669">
        <v>21.95</v>
      </c>
      <c r="K2669" s="1">
        <v>45384</v>
      </c>
      <c r="L2669">
        <v>104.816</v>
      </c>
    </row>
    <row r="2670" spans="1:12" x14ac:dyDescent="0.25">
      <c r="A2670" s="1">
        <v>45491</v>
      </c>
      <c r="B2670">
        <v>15.93</v>
      </c>
      <c r="C2670" s="1">
        <v>45516</v>
      </c>
      <c r="D2670">
        <v>22.93</v>
      </c>
      <c r="E2670" s="1">
        <v>45469</v>
      </c>
      <c r="F2670">
        <v>97.91</v>
      </c>
      <c r="G2670" s="1">
        <v>45510</v>
      </c>
      <c r="H2670">
        <v>40.42</v>
      </c>
      <c r="I2670" s="1">
        <v>45510</v>
      </c>
      <c r="J2670">
        <v>19.100000000000001</v>
      </c>
      <c r="K2670" s="1">
        <v>45385</v>
      </c>
      <c r="L2670">
        <v>104.249</v>
      </c>
    </row>
    <row r="2671" spans="1:12" x14ac:dyDescent="0.25">
      <c r="A2671" s="1">
        <v>45492</v>
      </c>
      <c r="B2671">
        <v>16.52</v>
      </c>
      <c r="C2671" s="1">
        <v>45517</v>
      </c>
      <c r="D2671">
        <v>20.38</v>
      </c>
      <c r="E2671" s="1">
        <v>45470</v>
      </c>
      <c r="F2671">
        <v>95.69</v>
      </c>
      <c r="G2671" s="1">
        <v>45511</v>
      </c>
      <c r="H2671">
        <v>38.01</v>
      </c>
      <c r="I2671" s="1">
        <v>45511</v>
      </c>
      <c r="J2671">
        <v>18.12</v>
      </c>
      <c r="K2671" s="1">
        <v>45386</v>
      </c>
      <c r="L2671">
        <v>104.121</v>
      </c>
    </row>
    <row r="2672" spans="1:12" x14ac:dyDescent="0.25">
      <c r="A2672" s="1">
        <v>45495</v>
      </c>
      <c r="B2672">
        <v>14.91</v>
      </c>
      <c r="C2672" s="1">
        <v>45518</v>
      </c>
      <c r="D2672">
        <v>14.65</v>
      </c>
      <c r="E2672" s="1">
        <v>45471</v>
      </c>
      <c r="F2672">
        <v>98.59</v>
      </c>
      <c r="G2672" s="1">
        <v>45512</v>
      </c>
      <c r="H2672">
        <v>34.770000000000003</v>
      </c>
      <c r="I2672" s="1">
        <v>45512</v>
      </c>
      <c r="J2672">
        <v>18.45</v>
      </c>
      <c r="K2672" s="1">
        <v>45387</v>
      </c>
      <c r="L2672">
        <v>104.298</v>
      </c>
    </row>
    <row r="2673" spans="1:12" x14ac:dyDescent="0.25">
      <c r="A2673" s="1">
        <v>45496</v>
      </c>
      <c r="B2673">
        <v>14.72</v>
      </c>
      <c r="C2673" s="1">
        <v>45519</v>
      </c>
      <c r="D2673">
        <v>16.350000000000001</v>
      </c>
      <c r="E2673" s="1">
        <v>45474</v>
      </c>
      <c r="F2673">
        <v>106.23</v>
      </c>
      <c r="G2673" s="1">
        <v>45513</v>
      </c>
      <c r="H2673">
        <v>33.369999999999997</v>
      </c>
      <c r="I2673" s="1">
        <v>45513</v>
      </c>
      <c r="J2673">
        <v>17.8</v>
      </c>
      <c r="K2673" s="1">
        <v>45390</v>
      </c>
      <c r="L2673">
        <v>104.14</v>
      </c>
    </row>
    <row r="2674" spans="1:12" x14ac:dyDescent="0.25">
      <c r="A2674" s="1">
        <v>45497</v>
      </c>
      <c r="B2674">
        <v>18.04</v>
      </c>
      <c r="C2674" s="1">
        <v>45520</v>
      </c>
      <c r="D2674">
        <v>17.11</v>
      </c>
      <c r="E2674" s="1">
        <v>45475</v>
      </c>
      <c r="F2674">
        <v>107.51</v>
      </c>
      <c r="G2674" s="1">
        <v>45516</v>
      </c>
      <c r="H2674">
        <v>35.17</v>
      </c>
      <c r="I2674" s="1">
        <v>45516</v>
      </c>
      <c r="J2674">
        <v>20.61</v>
      </c>
      <c r="K2674" s="1">
        <v>45391</v>
      </c>
      <c r="L2674">
        <v>104.148</v>
      </c>
    </row>
    <row r="2675" spans="1:12" x14ac:dyDescent="0.25">
      <c r="A2675" s="1">
        <v>45498</v>
      </c>
      <c r="B2675">
        <v>18.46</v>
      </c>
      <c r="C2675" s="1">
        <v>45523</v>
      </c>
      <c r="D2675">
        <v>15.35</v>
      </c>
      <c r="E2675" s="1">
        <v>45476</v>
      </c>
      <c r="F2675">
        <v>102.83</v>
      </c>
      <c r="G2675" s="1">
        <v>45517</v>
      </c>
      <c r="H2675">
        <v>33.26</v>
      </c>
      <c r="I2675" s="1">
        <v>45517</v>
      </c>
      <c r="J2675">
        <v>19.18</v>
      </c>
      <c r="K2675" s="1">
        <v>45392</v>
      </c>
      <c r="L2675">
        <v>105.245</v>
      </c>
    </row>
    <row r="2676" spans="1:12" x14ac:dyDescent="0.25">
      <c r="A2676" s="1">
        <v>45499</v>
      </c>
      <c r="B2676">
        <v>16.39</v>
      </c>
      <c r="C2676" s="1">
        <v>45524</v>
      </c>
      <c r="D2676">
        <v>15.92</v>
      </c>
      <c r="E2676" s="1">
        <v>45478</v>
      </c>
      <c r="F2676">
        <v>98.78</v>
      </c>
      <c r="G2676" s="1">
        <v>45518</v>
      </c>
      <c r="H2676">
        <v>31.51</v>
      </c>
      <c r="I2676" s="1">
        <v>45518</v>
      </c>
      <c r="J2676">
        <v>18.489999999999998</v>
      </c>
      <c r="K2676" s="1">
        <v>45393</v>
      </c>
      <c r="L2676">
        <v>105.282</v>
      </c>
    </row>
    <row r="2677" spans="1:12" x14ac:dyDescent="0.25">
      <c r="A2677" s="1">
        <v>45502</v>
      </c>
      <c r="B2677">
        <v>16.600000000000001</v>
      </c>
      <c r="C2677" s="1">
        <v>45525</v>
      </c>
      <c r="D2677">
        <v>21.24</v>
      </c>
      <c r="E2677" s="1">
        <v>45481</v>
      </c>
      <c r="F2677">
        <v>97.96</v>
      </c>
      <c r="G2677" s="1">
        <v>45519</v>
      </c>
      <c r="H2677">
        <v>31.14</v>
      </c>
      <c r="I2677" s="1">
        <v>45519</v>
      </c>
      <c r="J2677">
        <v>18.16</v>
      </c>
      <c r="K2677" s="1">
        <v>45394</v>
      </c>
      <c r="L2677">
        <v>106.038</v>
      </c>
    </row>
    <row r="2678" spans="1:12" x14ac:dyDescent="0.25">
      <c r="A2678" s="1">
        <v>45503</v>
      </c>
      <c r="B2678">
        <v>17.690000000000001</v>
      </c>
      <c r="C2678" s="1">
        <v>45526</v>
      </c>
      <c r="D2678">
        <v>19.920000000000002</v>
      </c>
      <c r="E2678" s="1">
        <v>45482</v>
      </c>
      <c r="F2678">
        <v>95.62</v>
      </c>
      <c r="G2678" s="1">
        <v>45520</v>
      </c>
      <c r="H2678">
        <v>31</v>
      </c>
      <c r="I2678" s="1">
        <v>45520</v>
      </c>
      <c r="J2678">
        <v>20.09</v>
      </c>
      <c r="K2678" s="1">
        <v>45397</v>
      </c>
      <c r="L2678">
        <v>106.208</v>
      </c>
    </row>
    <row r="2679" spans="1:12" x14ac:dyDescent="0.25">
      <c r="A2679" s="1">
        <v>45504</v>
      </c>
      <c r="B2679">
        <v>16.36</v>
      </c>
      <c r="C2679" s="1">
        <v>45527</v>
      </c>
      <c r="D2679">
        <v>16.59</v>
      </c>
      <c r="E2679" s="1">
        <v>45483</v>
      </c>
      <c r="F2679">
        <v>92.97</v>
      </c>
      <c r="G2679" s="1">
        <v>45523</v>
      </c>
      <c r="H2679">
        <v>32.03</v>
      </c>
      <c r="I2679" s="1">
        <v>45523</v>
      </c>
      <c r="J2679">
        <v>18.77</v>
      </c>
      <c r="K2679" s="1">
        <v>45398</v>
      </c>
      <c r="L2679">
        <v>106.25700000000001</v>
      </c>
    </row>
    <row r="2680" spans="1:12" x14ac:dyDescent="0.25">
      <c r="A2680" s="1">
        <v>45505</v>
      </c>
      <c r="B2680">
        <v>18.59</v>
      </c>
      <c r="C2680" s="1">
        <v>45530</v>
      </c>
      <c r="D2680">
        <v>18.32</v>
      </c>
      <c r="E2680" s="1">
        <v>45484</v>
      </c>
      <c r="F2680">
        <v>89.67</v>
      </c>
      <c r="G2680" s="1">
        <v>45524</v>
      </c>
      <c r="H2680">
        <v>32.049999999999997</v>
      </c>
      <c r="I2680" s="1">
        <v>45524</v>
      </c>
      <c r="J2680">
        <v>18.47</v>
      </c>
      <c r="K2680" s="1">
        <v>45399</v>
      </c>
      <c r="L2680">
        <v>105.95099999999999</v>
      </c>
    </row>
    <row r="2681" spans="1:12" x14ac:dyDescent="0.25">
      <c r="A2681" s="1">
        <v>45506</v>
      </c>
      <c r="B2681">
        <v>23.39</v>
      </c>
      <c r="C2681" s="1">
        <v>45531</v>
      </c>
      <c r="D2681">
        <v>17.16</v>
      </c>
      <c r="E2681" s="1">
        <v>45485</v>
      </c>
      <c r="F2681">
        <v>86.79</v>
      </c>
      <c r="G2681" s="1">
        <v>45525</v>
      </c>
      <c r="H2681">
        <v>32.700000000000003</v>
      </c>
      <c r="I2681" s="1">
        <v>45525</v>
      </c>
      <c r="J2681">
        <v>18.63</v>
      </c>
      <c r="K2681" s="1">
        <v>45400</v>
      </c>
      <c r="L2681">
        <v>106.151</v>
      </c>
    </row>
    <row r="2682" spans="1:12" x14ac:dyDescent="0.25">
      <c r="A2682" s="1">
        <v>45509</v>
      </c>
      <c r="B2682">
        <v>38.57</v>
      </c>
      <c r="C2682" s="1">
        <v>45532</v>
      </c>
      <c r="D2682">
        <v>18.809999999999999</v>
      </c>
      <c r="E2682" s="1">
        <v>45488</v>
      </c>
      <c r="F2682">
        <v>94.5</v>
      </c>
      <c r="G2682" s="1">
        <v>45526</v>
      </c>
      <c r="H2682">
        <v>31.73</v>
      </c>
      <c r="I2682" s="1">
        <v>45526</v>
      </c>
      <c r="J2682">
        <v>17.89</v>
      </c>
      <c r="K2682" s="1">
        <v>45401</v>
      </c>
      <c r="L2682">
        <v>106.154</v>
      </c>
    </row>
    <row r="2683" spans="1:12" x14ac:dyDescent="0.25">
      <c r="A2683" s="1">
        <v>45510</v>
      </c>
      <c r="B2683">
        <v>27.71</v>
      </c>
      <c r="C2683" s="1">
        <v>45533</v>
      </c>
      <c r="D2683">
        <v>18.260000000000002</v>
      </c>
      <c r="E2683" s="1">
        <v>45489</v>
      </c>
      <c r="F2683">
        <v>93.87</v>
      </c>
      <c r="G2683" s="1">
        <v>45527</v>
      </c>
      <c r="H2683">
        <v>30.54</v>
      </c>
      <c r="I2683" s="1">
        <v>45527</v>
      </c>
      <c r="J2683">
        <v>17.489999999999998</v>
      </c>
      <c r="K2683" s="1">
        <v>45404</v>
      </c>
      <c r="L2683">
        <v>106.077</v>
      </c>
    </row>
    <row r="2684" spans="1:12" x14ac:dyDescent="0.25">
      <c r="A2684" s="1">
        <v>45511</v>
      </c>
      <c r="B2684">
        <v>27.85</v>
      </c>
      <c r="C2684" s="1">
        <v>45534</v>
      </c>
      <c r="D2684">
        <v>17.440000000000001</v>
      </c>
      <c r="E2684" s="1">
        <v>45490</v>
      </c>
      <c r="F2684">
        <v>91</v>
      </c>
      <c r="G2684" s="1">
        <v>45530</v>
      </c>
      <c r="H2684">
        <v>30.99</v>
      </c>
      <c r="I2684" s="1">
        <v>45530</v>
      </c>
      <c r="J2684">
        <v>17.899999999999999</v>
      </c>
      <c r="K2684" s="1">
        <v>45405</v>
      </c>
      <c r="L2684">
        <v>105.675</v>
      </c>
    </row>
    <row r="2685" spans="1:12" x14ac:dyDescent="0.25">
      <c r="A2685" s="1">
        <v>45512</v>
      </c>
      <c r="B2685">
        <v>23.79</v>
      </c>
      <c r="C2685" s="1">
        <v>45538</v>
      </c>
      <c r="D2685">
        <v>19.420000000000002</v>
      </c>
      <c r="E2685" s="1">
        <v>45491</v>
      </c>
      <c r="F2685">
        <v>91.97</v>
      </c>
      <c r="G2685" s="1">
        <v>45531</v>
      </c>
      <c r="H2685">
        <v>31.25</v>
      </c>
      <c r="I2685" s="1">
        <v>45531</v>
      </c>
      <c r="J2685">
        <v>17.690000000000001</v>
      </c>
      <c r="K2685" s="1">
        <v>45406</v>
      </c>
      <c r="L2685">
        <v>105.857</v>
      </c>
    </row>
    <row r="2686" spans="1:12" x14ac:dyDescent="0.25">
      <c r="A2686" s="1">
        <v>45513</v>
      </c>
      <c r="B2686">
        <v>20.37</v>
      </c>
      <c r="C2686" s="1">
        <v>45539</v>
      </c>
      <c r="D2686">
        <v>22.03</v>
      </c>
      <c r="E2686" s="1">
        <v>45492</v>
      </c>
      <c r="F2686">
        <v>94.29</v>
      </c>
      <c r="G2686" s="1">
        <v>45532</v>
      </c>
      <c r="H2686">
        <v>32.119999999999997</v>
      </c>
      <c r="I2686" s="1">
        <v>45532</v>
      </c>
      <c r="J2686">
        <v>17.18</v>
      </c>
      <c r="K2686" s="1">
        <v>45407</v>
      </c>
      <c r="L2686">
        <v>105.598</v>
      </c>
    </row>
    <row r="2687" spans="1:12" x14ac:dyDescent="0.25">
      <c r="A2687" s="1">
        <v>45516</v>
      </c>
      <c r="B2687">
        <v>20.71</v>
      </c>
      <c r="C2687" s="1">
        <v>45540</v>
      </c>
      <c r="D2687">
        <v>22</v>
      </c>
      <c r="E2687" s="1">
        <v>45495</v>
      </c>
      <c r="F2687">
        <v>94.45</v>
      </c>
      <c r="G2687" s="1">
        <v>45533</v>
      </c>
      <c r="H2687">
        <v>31.81</v>
      </c>
      <c r="I2687" s="1">
        <v>45533</v>
      </c>
      <c r="J2687">
        <v>17.22</v>
      </c>
      <c r="K2687" s="1">
        <v>45408</v>
      </c>
      <c r="L2687">
        <v>105.938</v>
      </c>
    </row>
    <row r="2688" spans="1:12" x14ac:dyDescent="0.25">
      <c r="A2688" s="1">
        <v>45517</v>
      </c>
      <c r="B2688">
        <v>18.12</v>
      </c>
      <c r="C2688" s="1">
        <v>45541</v>
      </c>
      <c r="D2688">
        <v>21.98</v>
      </c>
      <c r="E2688" s="1">
        <v>45496</v>
      </c>
      <c r="F2688">
        <v>95.04</v>
      </c>
      <c r="G2688" s="1">
        <v>45534</v>
      </c>
      <c r="H2688">
        <v>33.36</v>
      </c>
      <c r="I2688" s="1">
        <v>45534</v>
      </c>
      <c r="J2688">
        <v>16.399999999999999</v>
      </c>
      <c r="K2688" s="1">
        <v>45411</v>
      </c>
      <c r="L2688">
        <v>105.57899999999999</v>
      </c>
    </row>
    <row r="2689" spans="1:12" x14ac:dyDescent="0.25">
      <c r="A2689" s="1">
        <v>45518</v>
      </c>
      <c r="B2689">
        <v>16.190000000000001</v>
      </c>
      <c r="C2689" s="1">
        <v>45544</v>
      </c>
      <c r="D2689">
        <v>20.29</v>
      </c>
      <c r="E2689" s="1">
        <v>45497</v>
      </c>
      <c r="F2689">
        <v>94.81</v>
      </c>
      <c r="G2689" s="1">
        <v>45538</v>
      </c>
      <c r="H2689">
        <v>35.36</v>
      </c>
      <c r="I2689" s="1">
        <v>45538</v>
      </c>
      <c r="J2689">
        <v>16.55</v>
      </c>
      <c r="K2689" s="1">
        <v>45412</v>
      </c>
      <c r="L2689">
        <v>106.221</v>
      </c>
    </row>
    <row r="2690" spans="1:12" x14ac:dyDescent="0.25">
      <c r="A2690" s="1">
        <v>45519</v>
      </c>
      <c r="B2690">
        <v>15.23</v>
      </c>
      <c r="C2690" s="1">
        <v>45545</v>
      </c>
      <c r="D2690">
        <v>20.67</v>
      </c>
      <c r="E2690" s="1">
        <v>45498</v>
      </c>
      <c r="F2690">
        <v>99.08</v>
      </c>
      <c r="G2690" s="1">
        <v>45539</v>
      </c>
      <c r="H2690">
        <v>37.950000000000003</v>
      </c>
      <c r="I2690" s="1">
        <v>45539</v>
      </c>
      <c r="J2690">
        <v>16.190000000000001</v>
      </c>
      <c r="K2690" s="1">
        <v>45413</v>
      </c>
      <c r="L2690">
        <v>105.755</v>
      </c>
    </row>
    <row r="2691" spans="1:12" x14ac:dyDescent="0.25">
      <c r="A2691" s="1">
        <v>45520</v>
      </c>
      <c r="B2691">
        <v>14.8</v>
      </c>
      <c r="C2691" s="1">
        <v>45546</v>
      </c>
      <c r="D2691">
        <v>20.09</v>
      </c>
      <c r="E2691" s="1">
        <v>45499</v>
      </c>
      <c r="F2691">
        <v>97.76</v>
      </c>
      <c r="G2691" s="1">
        <v>45540</v>
      </c>
      <c r="H2691">
        <v>36.61</v>
      </c>
      <c r="I2691" s="1">
        <v>45540</v>
      </c>
      <c r="J2691">
        <v>16.48</v>
      </c>
      <c r="K2691" s="1">
        <v>45414</v>
      </c>
      <c r="L2691">
        <v>105.29900000000001</v>
      </c>
    </row>
    <row r="2692" spans="1:12" x14ac:dyDescent="0.25">
      <c r="A2692" s="1">
        <v>45523</v>
      </c>
      <c r="B2692">
        <v>14.65</v>
      </c>
      <c r="C2692" s="1">
        <v>45547</v>
      </c>
      <c r="D2692">
        <v>21.44</v>
      </c>
      <c r="E2692" s="1">
        <v>45502</v>
      </c>
      <c r="F2692">
        <v>98.65</v>
      </c>
      <c r="G2692" s="1">
        <v>45541</v>
      </c>
      <c r="H2692">
        <v>37.58</v>
      </c>
      <c r="I2692" s="1">
        <v>45541</v>
      </c>
      <c r="J2692">
        <v>16.489999999999998</v>
      </c>
      <c r="K2692" s="1">
        <v>45415</v>
      </c>
      <c r="L2692">
        <v>105.03</v>
      </c>
    </row>
    <row r="2693" spans="1:12" x14ac:dyDescent="0.25">
      <c r="A2693" s="1">
        <v>45524</v>
      </c>
      <c r="B2693">
        <v>15.88</v>
      </c>
      <c r="C2693" s="1">
        <v>45548</v>
      </c>
      <c r="D2693">
        <v>17.010000000000002</v>
      </c>
      <c r="E2693" s="1">
        <v>45503</v>
      </c>
      <c r="F2693">
        <v>100.42</v>
      </c>
      <c r="G2693" s="1">
        <v>45544</v>
      </c>
      <c r="H2693">
        <v>37</v>
      </c>
      <c r="I2693" s="1">
        <v>45544</v>
      </c>
      <c r="J2693">
        <v>16.16</v>
      </c>
      <c r="K2693" s="1">
        <v>45418</v>
      </c>
      <c r="L2693">
        <v>105.051</v>
      </c>
    </row>
    <row r="2694" spans="1:12" x14ac:dyDescent="0.25">
      <c r="A2694" s="1">
        <v>45525</v>
      </c>
      <c r="B2694">
        <v>16.27</v>
      </c>
      <c r="C2694" s="1">
        <v>45551</v>
      </c>
      <c r="D2694">
        <v>17.03</v>
      </c>
      <c r="E2694" s="1">
        <v>45504</v>
      </c>
      <c r="F2694">
        <v>99.41</v>
      </c>
      <c r="G2694" s="1">
        <v>45545</v>
      </c>
      <c r="H2694">
        <v>40.229999999999997</v>
      </c>
      <c r="I2694" s="1">
        <v>45545</v>
      </c>
      <c r="J2694">
        <v>16.079999999999998</v>
      </c>
      <c r="K2694" s="1">
        <v>45419</v>
      </c>
      <c r="L2694">
        <v>105.41200000000001</v>
      </c>
    </row>
    <row r="2695" spans="1:12" x14ac:dyDescent="0.25">
      <c r="A2695" s="1">
        <v>45526</v>
      </c>
      <c r="B2695">
        <v>17.55</v>
      </c>
      <c r="C2695" s="1">
        <v>45552</v>
      </c>
      <c r="D2695">
        <v>19.8</v>
      </c>
      <c r="E2695" s="1">
        <v>45505</v>
      </c>
      <c r="F2695">
        <v>101.82</v>
      </c>
      <c r="G2695" s="1">
        <v>45546</v>
      </c>
      <c r="H2695">
        <v>37.76</v>
      </c>
      <c r="I2695" s="1">
        <v>45546</v>
      </c>
      <c r="J2695">
        <v>15.52</v>
      </c>
      <c r="K2695" s="1">
        <v>45420</v>
      </c>
      <c r="L2695">
        <v>105.54600000000001</v>
      </c>
    </row>
    <row r="2696" spans="1:12" x14ac:dyDescent="0.25">
      <c r="A2696" s="1">
        <v>45527</v>
      </c>
      <c r="B2696">
        <v>15.86</v>
      </c>
      <c r="C2696" s="1">
        <v>45553</v>
      </c>
      <c r="D2696">
        <v>16.47</v>
      </c>
      <c r="E2696" s="1">
        <v>45506</v>
      </c>
      <c r="F2696">
        <v>112.26</v>
      </c>
      <c r="G2696" s="1">
        <v>45547</v>
      </c>
      <c r="H2696">
        <v>36.07</v>
      </c>
      <c r="I2696" s="1">
        <v>45547</v>
      </c>
      <c r="J2696">
        <v>16.739999999999998</v>
      </c>
      <c r="K2696" s="1">
        <v>45421</v>
      </c>
      <c r="L2696">
        <v>105.227</v>
      </c>
    </row>
    <row r="2697" spans="1:12" x14ac:dyDescent="0.25">
      <c r="A2697" s="1">
        <v>45530</v>
      </c>
      <c r="B2697">
        <v>16.149999999999999</v>
      </c>
      <c r="C2697" s="1">
        <v>45554</v>
      </c>
      <c r="D2697">
        <v>20.97</v>
      </c>
      <c r="E2697" s="1">
        <v>45509</v>
      </c>
      <c r="F2697">
        <v>121.22</v>
      </c>
      <c r="G2697" s="1">
        <v>45548</v>
      </c>
      <c r="H2697">
        <v>35.22</v>
      </c>
      <c r="I2697" s="1">
        <v>45548</v>
      </c>
      <c r="J2697">
        <v>16.88</v>
      </c>
      <c r="K2697" s="1">
        <v>45422</v>
      </c>
      <c r="L2697">
        <v>105.301</v>
      </c>
    </row>
    <row r="2698" spans="1:12" x14ac:dyDescent="0.25">
      <c r="A2698" s="1">
        <v>45531</v>
      </c>
      <c r="B2698">
        <v>15.43</v>
      </c>
      <c r="C2698" s="1">
        <v>45555</v>
      </c>
      <c r="D2698">
        <v>17.89</v>
      </c>
      <c r="E2698" s="1">
        <v>45510</v>
      </c>
      <c r="F2698">
        <v>119.24</v>
      </c>
      <c r="G2698" s="1">
        <v>45551</v>
      </c>
      <c r="H2698">
        <v>34.71</v>
      </c>
      <c r="I2698" s="1">
        <v>45551</v>
      </c>
      <c r="J2698">
        <v>17.03</v>
      </c>
      <c r="K2698" s="1">
        <v>45425</v>
      </c>
      <c r="L2698">
        <v>105.218</v>
      </c>
    </row>
    <row r="2699" spans="1:12" x14ac:dyDescent="0.25">
      <c r="A2699" s="1">
        <v>45532</v>
      </c>
      <c r="B2699">
        <v>17.11</v>
      </c>
      <c r="C2699" s="1">
        <v>45558</v>
      </c>
      <c r="D2699">
        <v>17.329999999999998</v>
      </c>
      <c r="E2699" s="1">
        <v>45511</v>
      </c>
      <c r="F2699">
        <v>112.69</v>
      </c>
      <c r="G2699" s="1">
        <v>45552</v>
      </c>
      <c r="H2699">
        <v>35.29</v>
      </c>
      <c r="I2699" s="1">
        <v>45552</v>
      </c>
      <c r="J2699">
        <v>17.489999999999998</v>
      </c>
      <c r="K2699" s="1">
        <v>45426</v>
      </c>
      <c r="L2699">
        <v>105.01300000000001</v>
      </c>
    </row>
    <row r="2700" spans="1:12" x14ac:dyDescent="0.25">
      <c r="A2700" s="1">
        <v>45533</v>
      </c>
      <c r="B2700">
        <v>15.65</v>
      </c>
      <c r="C2700" s="1">
        <v>45559</v>
      </c>
      <c r="D2700">
        <v>19.98</v>
      </c>
      <c r="E2700" s="1">
        <v>45512</v>
      </c>
      <c r="F2700">
        <v>110.42</v>
      </c>
      <c r="G2700" s="1">
        <v>45553</v>
      </c>
      <c r="H2700">
        <v>36.19</v>
      </c>
      <c r="I2700" s="1">
        <v>45553</v>
      </c>
      <c r="J2700">
        <v>17.13</v>
      </c>
      <c r="K2700" s="1">
        <v>45427</v>
      </c>
      <c r="L2700">
        <v>104.345</v>
      </c>
    </row>
    <row r="2701" spans="1:12" x14ac:dyDescent="0.25">
      <c r="A2701" s="1">
        <v>45534</v>
      </c>
      <c r="B2701">
        <v>15</v>
      </c>
      <c r="C2701" s="1">
        <v>45560</v>
      </c>
      <c r="D2701">
        <v>18.760000000000002</v>
      </c>
      <c r="E2701" s="1">
        <v>45513</v>
      </c>
      <c r="F2701">
        <v>108.26</v>
      </c>
      <c r="G2701" s="1">
        <v>45554</v>
      </c>
      <c r="H2701">
        <v>33.72</v>
      </c>
      <c r="I2701" s="1">
        <v>45554</v>
      </c>
      <c r="J2701">
        <v>16.760000000000002</v>
      </c>
      <c r="K2701" s="1">
        <v>45428</v>
      </c>
      <c r="L2701">
        <v>104.462</v>
      </c>
    </row>
    <row r="2702" spans="1:12" x14ac:dyDescent="0.25">
      <c r="A2702" s="1">
        <v>45537</v>
      </c>
      <c r="B2702">
        <v>15.55</v>
      </c>
      <c r="C2702" s="1">
        <v>45561</v>
      </c>
      <c r="D2702">
        <v>23.7</v>
      </c>
      <c r="E2702" s="1">
        <v>45516</v>
      </c>
      <c r="F2702">
        <v>118.26</v>
      </c>
      <c r="G2702" s="1">
        <v>45555</v>
      </c>
      <c r="H2702">
        <v>32.22</v>
      </c>
      <c r="I2702" s="1">
        <v>45555</v>
      </c>
      <c r="J2702">
        <v>17.079999999999998</v>
      </c>
      <c r="K2702" s="1">
        <v>45429</v>
      </c>
      <c r="L2702">
        <v>104.44499999999999</v>
      </c>
    </row>
    <row r="2703" spans="1:12" x14ac:dyDescent="0.25">
      <c r="A2703" s="1">
        <v>45538</v>
      </c>
      <c r="B2703">
        <v>20.72</v>
      </c>
      <c r="C2703" s="1">
        <v>45562</v>
      </c>
      <c r="D2703">
        <v>21.32</v>
      </c>
      <c r="E2703" s="1">
        <v>45517</v>
      </c>
      <c r="F2703">
        <v>118.44</v>
      </c>
      <c r="G2703" s="1">
        <v>45558</v>
      </c>
      <c r="H2703">
        <v>34.39</v>
      </c>
      <c r="I2703" s="1">
        <v>45558</v>
      </c>
      <c r="J2703">
        <v>17.72</v>
      </c>
      <c r="K2703" s="1">
        <v>45432</v>
      </c>
      <c r="L2703">
        <v>104.565</v>
      </c>
    </row>
    <row r="2704" spans="1:12" x14ac:dyDescent="0.25">
      <c r="A2704" s="1">
        <v>45539</v>
      </c>
      <c r="B2704">
        <v>21.32</v>
      </c>
      <c r="C2704" s="1">
        <v>45565</v>
      </c>
      <c r="D2704">
        <v>22.38</v>
      </c>
      <c r="E2704" s="1">
        <v>45518</v>
      </c>
      <c r="F2704">
        <v>106.34</v>
      </c>
      <c r="G2704" s="1">
        <v>45559</v>
      </c>
      <c r="H2704">
        <v>33.76</v>
      </c>
      <c r="I2704" s="1">
        <v>45559</v>
      </c>
      <c r="J2704">
        <v>19.260000000000002</v>
      </c>
      <c r="K2704" s="1">
        <v>45433</v>
      </c>
      <c r="L2704">
        <v>104.661</v>
      </c>
    </row>
    <row r="2705" spans="1:12" x14ac:dyDescent="0.25">
      <c r="A2705" s="1">
        <v>45540</v>
      </c>
      <c r="B2705">
        <v>19.899999999999999</v>
      </c>
      <c r="C2705" s="1">
        <v>45566</v>
      </c>
      <c r="D2705">
        <v>25.38</v>
      </c>
      <c r="E2705" s="1">
        <v>45519</v>
      </c>
      <c r="F2705">
        <v>103.74</v>
      </c>
      <c r="G2705" s="1">
        <v>45560</v>
      </c>
      <c r="H2705">
        <v>34.4</v>
      </c>
      <c r="I2705" s="1">
        <v>45560</v>
      </c>
      <c r="J2705">
        <v>19.13</v>
      </c>
      <c r="K2705" s="1">
        <v>45434</v>
      </c>
      <c r="L2705">
        <v>104.93300000000001</v>
      </c>
    </row>
    <row r="2706" spans="1:12" x14ac:dyDescent="0.25">
      <c r="A2706" s="1">
        <v>45541</v>
      </c>
      <c r="B2706">
        <v>22.38</v>
      </c>
      <c r="C2706" s="1">
        <v>45567</v>
      </c>
      <c r="D2706">
        <v>25.64</v>
      </c>
      <c r="E2706" s="1">
        <v>45520</v>
      </c>
      <c r="F2706">
        <v>102.81</v>
      </c>
      <c r="G2706" s="1">
        <v>45561</v>
      </c>
      <c r="H2706">
        <v>39.76</v>
      </c>
      <c r="I2706" s="1">
        <v>45561</v>
      </c>
      <c r="J2706">
        <v>18.82</v>
      </c>
      <c r="K2706" s="1">
        <v>45435</v>
      </c>
      <c r="L2706">
        <v>105.108</v>
      </c>
    </row>
    <row r="2707" spans="1:12" x14ac:dyDescent="0.25">
      <c r="A2707" s="1">
        <v>45544</v>
      </c>
      <c r="B2707">
        <v>19.45</v>
      </c>
      <c r="C2707" s="1">
        <v>45568</v>
      </c>
      <c r="D2707">
        <v>25.06</v>
      </c>
      <c r="E2707" s="1">
        <v>45523</v>
      </c>
      <c r="F2707">
        <v>110.13</v>
      </c>
      <c r="G2707" s="1">
        <v>45562</v>
      </c>
      <c r="H2707">
        <v>39.619999999999997</v>
      </c>
      <c r="I2707" s="1">
        <v>45562</v>
      </c>
      <c r="J2707">
        <v>18.59</v>
      </c>
      <c r="K2707" s="1">
        <v>45436</v>
      </c>
      <c r="L2707">
        <v>104.724</v>
      </c>
    </row>
    <row r="2708" spans="1:12" x14ac:dyDescent="0.25">
      <c r="A2708" s="1">
        <v>45545</v>
      </c>
      <c r="B2708">
        <v>19.079999999999998</v>
      </c>
      <c r="C2708" s="1">
        <v>45569</v>
      </c>
      <c r="D2708">
        <v>24.86</v>
      </c>
      <c r="E2708" s="1">
        <v>45524</v>
      </c>
      <c r="F2708">
        <v>111.57</v>
      </c>
      <c r="G2708" s="1">
        <v>45565</v>
      </c>
      <c r="H2708">
        <v>39.86</v>
      </c>
      <c r="I2708" s="1">
        <v>45565</v>
      </c>
      <c r="J2708">
        <v>18.079999999999998</v>
      </c>
      <c r="K2708" s="1">
        <v>45439</v>
      </c>
      <c r="L2708">
        <v>104.595</v>
      </c>
    </row>
    <row r="2709" spans="1:12" x14ac:dyDescent="0.25">
      <c r="A2709" s="1">
        <v>45546</v>
      </c>
      <c r="B2709">
        <v>17.690000000000001</v>
      </c>
      <c r="C2709" s="1">
        <v>45572</v>
      </c>
      <c r="D2709">
        <v>28.35</v>
      </c>
      <c r="E2709" s="1">
        <v>45525</v>
      </c>
      <c r="F2709">
        <v>111.38</v>
      </c>
      <c r="G2709" s="1">
        <v>45566</v>
      </c>
      <c r="H2709">
        <v>42.87</v>
      </c>
      <c r="I2709" s="1">
        <v>45566</v>
      </c>
      <c r="J2709">
        <v>18.57</v>
      </c>
      <c r="K2709" s="1">
        <v>45440</v>
      </c>
      <c r="L2709">
        <v>104.614</v>
      </c>
    </row>
    <row r="2710" spans="1:12" x14ac:dyDescent="0.25">
      <c r="A2710" s="1">
        <v>45547</v>
      </c>
      <c r="B2710">
        <v>17.07</v>
      </c>
      <c r="C2710" s="1">
        <v>45573</v>
      </c>
      <c r="D2710">
        <v>26.08</v>
      </c>
      <c r="E2710" s="1">
        <v>45526</v>
      </c>
      <c r="F2710">
        <v>108.5</v>
      </c>
      <c r="G2710" s="1">
        <v>45567</v>
      </c>
      <c r="H2710">
        <v>46.52</v>
      </c>
      <c r="I2710" s="1">
        <v>45567</v>
      </c>
      <c r="J2710">
        <v>18.07</v>
      </c>
      <c r="K2710" s="1">
        <v>45441</v>
      </c>
      <c r="L2710">
        <v>105.122</v>
      </c>
    </row>
    <row r="2711" spans="1:12" x14ac:dyDescent="0.25">
      <c r="A2711" s="1">
        <v>45548</v>
      </c>
      <c r="B2711">
        <v>16.559999999999999</v>
      </c>
      <c r="C2711" s="1">
        <v>45574</v>
      </c>
      <c r="D2711">
        <v>26.65</v>
      </c>
      <c r="E2711" s="1">
        <v>45527</v>
      </c>
      <c r="F2711">
        <v>105.63</v>
      </c>
      <c r="G2711" s="1">
        <v>45568</v>
      </c>
      <c r="H2711">
        <v>54.5</v>
      </c>
      <c r="I2711" s="1">
        <v>45568</v>
      </c>
      <c r="J2711">
        <v>18.28</v>
      </c>
      <c r="K2711" s="1">
        <v>45442</v>
      </c>
      <c r="L2711">
        <v>104.71599999999999</v>
      </c>
    </row>
    <row r="2712" spans="1:12" x14ac:dyDescent="0.25">
      <c r="A2712" s="1">
        <v>45551</v>
      </c>
      <c r="B2712">
        <v>17.14</v>
      </c>
      <c r="C2712" s="1">
        <v>45575</v>
      </c>
      <c r="D2712">
        <v>30.32</v>
      </c>
      <c r="E2712" s="1">
        <v>45530</v>
      </c>
      <c r="F2712">
        <v>106.66</v>
      </c>
      <c r="G2712" s="1">
        <v>45569</v>
      </c>
      <c r="H2712">
        <v>46.37</v>
      </c>
      <c r="I2712" s="1">
        <v>45569</v>
      </c>
      <c r="J2712">
        <v>17.48</v>
      </c>
      <c r="K2712" s="1">
        <v>45443</v>
      </c>
      <c r="L2712">
        <v>104.67100000000001</v>
      </c>
    </row>
    <row r="2713" spans="1:12" x14ac:dyDescent="0.25">
      <c r="A2713" s="1">
        <v>45552</v>
      </c>
      <c r="B2713">
        <v>17.61</v>
      </c>
      <c r="C2713" s="1">
        <v>45576</v>
      </c>
      <c r="D2713">
        <v>25.15</v>
      </c>
      <c r="E2713" s="1">
        <v>45531</v>
      </c>
      <c r="F2713">
        <v>109.22</v>
      </c>
      <c r="G2713" s="1">
        <v>45572</v>
      </c>
      <c r="H2713">
        <v>48.32</v>
      </c>
      <c r="I2713" s="1">
        <v>45572</v>
      </c>
      <c r="J2713">
        <v>17.71</v>
      </c>
      <c r="K2713" s="1">
        <v>45446</v>
      </c>
      <c r="L2713">
        <v>104.14</v>
      </c>
    </row>
    <row r="2714" spans="1:12" x14ac:dyDescent="0.25">
      <c r="A2714" s="1">
        <v>45553</v>
      </c>
      <c r="B2714">
        <v>18.23</v>
      </c>
      <c r="C2714" s="1">
        <v>45579</v>
      </c>
      <c r="D2714">
        <v>23.13</v>
      </c>
      <c r="E2714" s="1">
        <v>45532</v>
      </c>
      <c r="F2714">
        <v>108.76</v>
      </c>
      <c r="G2714" s="1">
        <v>45573</v>
      </c>
      <c r="H2714">
        <v>52.35</v>
      </c>
      <c r="I2714" s="1">
        <v>45573</v>
      </c>
      <c r="J2714">
        <v>17.64</v>
      </c>
      <c r="K2714" s="1">
        <v>45447</v>
      </c>
      <c r="L2714">
        <v>104.11</v>
      </c>
    </row>
    <row r="2715" spans="1:12" x14ac:dyDescent="0.25">
      <c r="A2715" s="1">
        <v>45554</v>
      </c>
      <c r="B2715">
        <v>16.329999999999998</v>
      </c>
      <c r="C2715" s="1">
        <v>45580</v>
      </c>
      <c r="D2715">
        <v>22.9</v>
      </c>
      <c r="E2715" s="1">
        <v>45533</v>
      </c>
      <c r="F2715">
        <v>106.7</v>
      </c>
      <c r="G2715" s="1">
        <v>45574</v>
      </c>
      <c r="H2715">
        <v>48.8</v>
      </c>
      <c r="I2715" s="1">
        <v>45574</v>
      </c>
      <c r="J2715">
        <v>17.62</v>
      </c>
      <c r="K2715" s="1">
        <v>45448</v>
      </c>
      <c r="L2715">
        <v>104.268</v>
      </c>
    </row>
    <row r="2716" spans="1:12" x14ac:dyDescent="0.25">
      <c r="A2716" s="1">
        <v>45555</v>
      </c>
      <c r="B2716">
        <v>16.149999999999999</v>
      </c>
      <c r="C2716" s="1">
        <v>45581</v>
      </c>
      <c r="D2716">
        <v>22.72</v>
      </c>
      <c r="E2716" s="1">
        <v>45534</v>
      </c>
      <c r="F2716">
        <v>107.77</v>
      </c>
      <c r="G2716" s="1">
        <v>45575</v>
      </c>
      <c r="H2716">
        <v>52.36</v>
      </c>
      <c r="I2716" s="1">
        <v>45575</v>
      </c>
      <c r="J2716">
        <v>17.27</v>
      </c>
      <c r="K2716" s="1">
        <v>45449</v>
      </c>
      <c r="L2716">
        <v>104.102</v>
      </c>
    </row>
    <row r="2717" spans="1:12" x14ac:dyDescent="0.25">
      <c r="A2717" s="1">
        <v>45558</v>
      </c>
      <c r="B2717">
        <v>15.89</v>
      </c>
      <c r="C2717" s="1">
        <v>45582</v>
      </c>
      <c r="D2717">
        <v>21.99</v>
      </c>
      <c r="E2717" s="1">
        <v>45538</v>
      </c>
      <c r="F2717">
        <v>114.2</v>
      </c>
      <c r="G2717" s="1">
        <v>45576</v>
      </c>
      <c r="H2717">
        <v>52.68</v>
      </c>
      <c r="I2717" s="1">
        <v>45576</v>
      </c>
      <c r="J2717">
        <v>17.27</v>
      </c>
      <c r="K2717" s="1">
        <v>45450</v>
      </c>
      <c r="L2717">
        <v>104.88500000000001</v>
      </c>
    </row>
    <row r="2718" spans="1:12" x14ac:dyDescent="0.25">
      <c r="A2718" s="1">
        <v>45559</v>
      </c>
      <c r="B2718">
        <v>15.39</v>
      </c>
      <c r="C2718" s="1">
        <v>45583</v>
      </c>
      <c r="D2718">
        <v>20.52</v>
      </c>
      <c r="E2718" s="1">
        <v>45539</v>
      </c>
      <c r="F2718">
        <v>119.15</v>
      </c>
      <c r="G2718" s="1">
        <v>45579</v>
      </c>
      <c r="H2718">
        <v>51.62</v>
      </c>
      <c r="I2718" s="1">
        <v>45579</v>
      </c>
      <c r="J2718">
        <v>17.47</v>
      </c>
      <c r="K2718" s="1">
        <v>45453</v>
      </c>
      <c r="L2718">
        <v>105.15</v>
      </c>
    </row>
    <row r="2719" spans="1:12" x14ac:dyDescent="0.25">
      <c r="A2719" s="1">
        <v>45560</v>
      </c>
      <c r="B2719">
        <v>15.41</v>
      </c>
      <c r="C2719" s="1">
        <v>45586</v>
      </c>
      <c r="D2719">
        <v>22.44</v>
      </c>
      <c r="E2719" s="1">
        <v>45540</v>
      </c>
      <c r="F2719">
        <v>114.81</v>
      </c>
      <c r="G2719" s="1">
        <v>45580</v>
      </c>
      <c r="H2719">
        <v>48.64</v>
      </c>
      <c r="I2719" s="1">
        <v>45580</v>
      </c>
      <c r="J2719">
        <v>17.38</v>
      </c>
      <c r="K2719" s="1">
        <v>45454</v>
      </c>
      <c r="L2719">
        <v>105.23</v>
      </c>
    </row>
    <row r="2720" spans="1:12" x14ac:dyDescent="0.25">
      <c r="A2720" s="1">
        <v>45561</v>
      </c>
      <c r="B2720">
        <v>15.37</v>
      </c>
      <c r="C2720" s="1">
        <v>45587</v>
      </c>
      <c r="D2720">
        <v>23.17</v>
      </c>
      <c r="E2720" s="1">
        <v>45541</v>
      </c>
      <c r="F2720">
        <v>107.24</v>
      </c>
      <c r="G2720" s="1">
        <v>45581</v>
      </c>
      <c r="H2720">
        <v>47.84</v>
      </c>
      <c r="I2720" s="1">
        <v>45581</v>
      </c>
      <c r="J2720">
        <v>17.309999999999999</v>
      </c>
      <c r="K2720" s="1">
        <v>45455</v>
      </c>
      <c r="L2720">
        <v>104.645</v>
      </c>
    </row>
    <row r="2721" spans="1:12" x14ac:dyDescent="0.25">
      <c r="A2721" s="1">
        <v>45562</v>
      </c>
      <c r="B2721">
        <v>16.96</v>
      </c>
      <c r="C2721" s="1">
        <v>45588</v>
      </c>
      <c r="D2721">
        <v>22.12</v>
      </c>
      <c r="E2721" s="1">
        <v>45544</v>
      </c>
      <c r="F2721">
        <v>104.61</v>
      </c>
      <c r="G2721" s="1">
        <v>45582</v>
      </c>
      <c r="H2721">
        <v>46.88</v>
      </c>
      <c r="I2721" s="1">
        <v>45582</v>
      </c>
      <c r="J2721">
        <v>17.57</v>
      </c>
      <c r="K2721" s="1">
        <v>45456</v>
      </c>
      <c r="L2721">
        <v>105.196</v>
      </c>
    </row>
    <row r="2722" spans="1:12" x14ac:dyDescent="0.25">
      <c r="A2722" s="1">
        <v>45565</v>
      </c>
      <c r="B2722">
        <v>16.73</v>
      </c>
      <c r="C2722" s="1">
        <v>45589</v>
      </c>
      <c r="D2722">
        <v>23.99</v>
      </c>
      <c r="E2722" s="1">
        <v>45545</v>
      </c>
      <c r="F2722">
        <v>108.36</v>
      </c>
      <c r="G2722" s="1">
        <v>45583</v>
      </c>
      <c r="H2722">
        <v>47.22</v>
      </c>
      <c r="I2722" s="1">
        <v>45583</v>
      </c>
      <c r="J2722">
        <v>17.77</v>
      </c>
      <c r="K2722" s="1">
        <v>45457</v>
      </c>
      <c r="L2722">
        <v>105.55</v>
      </c>
    </row>
    <row r="2723" spans="1:12" x14ac:dyDescent="0.25">
      <c r="A2723" s="1">
        <v>45566</v>
      </c>
      <c r="B2723">
        <v>19.260000000000002</v>
      </c>
      <c r="C2723" s="1">
        <v>45590</v>
      </c>
      <c r="D2723">
        <v>23.93</v>
      </c>
      <c r="E2723" s="1">
        <v>45546</v>
      </c>
      <c r="F2723">
        <v>103.79</v>
      </c>
      <c r="G2723" s="1">
        <v>45586</v>
      </c>
      <c r="H2723">
        <v>46.82</v>
      </c>
      <c r="I2723" s="1">
        <v>45586</v>
      </c>
      <c r="J2723">
        <v>18.190000000000001</v>
      </c>
      <c r="K2723" s="1">
        <v>45460</v>
      </c>
      <c r="L2723">
        <v>105.32</v>
      </c>
    </row>
    <row r="2724" spans="1:12" x14ac:dyDescent="0.25">
      <c r="A2724" s="1">
        <v>45567</v>
      </c>
      <c r="B2724">
        <v>18.899999999999999</v>
      </c>
      <c r="C2724" s="1">
        <v>45593</v>
      </c>
      <c r="D2724">
        <v>23.95</v>
      </c>
      <c r="E2724" s="1">
        <v>45547</v>
      </c>
      <c r="F2724">
        <v>98.03</v>
      </c>
      <c r="G2724" s="1">
        <v>45587</v>
      </c>
      <c r="H2724">
        <v>47.69</v>
      </c>
      <c r="I2724" s="1">
        <v>45587</v>
      </c>
      <c r="J2724">
        <v>18.73</v>
      </c>
      <c r="K2724" s="1">
        <v>45461</v>
      </c>
      <c r="L2724">
        <v>105.256</v>
      </c>
    </row>
    <row r="2725" spans="1:12" x14ac:dyDescent="0.25">
      <c r="A2725" s="1">
        <v>45568</v>
      </c>
      <c r="B2725">
        <v>20.49</v>
      </c>
      <c r="C2725" s="1">
        <v>45594</v>
      </c>
      <c r="D2725">
        <v>23.67</v>
      </c>
      <c r="E2725" s="1">
        <v>45548</v>
      </c>
      <c r="F2725">
        <v>100.6</v>
      </c>
      <c r="G2725" s="1">
        <v>45588</v>
      </c>
      <c r="H2725">
        <v>47.78</v>
      </c>
      <c r="I2725" s="1">
        <v>45588</v>
      </c>
      <c r="J2725">
        <v>18.98</v>
      </c>
      <c r="K2725" s="1">
        <v>45462</v>
      </c>
      <c r="L2725">
        <v>105.254</v>
      </c>
    </row>
    <row r="2726" spans="1:12" x14ac:dyDescent="0.25">
      <c r="A2726" s="1">
        <v>45569</v>
      </c>
      <c r="B2726">
        <v>19.21</v>
      </c>
      <c r="C2726" s="1">
        <v>45595</v>
      </c>
      <c r="D2726">
        <v>24.95</v>
      </c>
      <c r="E2726" s="1">
        <v>45551</v>
      </c>
      <c r="F2726">
        <v>101.22</v>
      </c>
      <c r="G2726" s="1">
        <v>45589</v>
      </c>
      <c r="H2726">
        <v>46.66</v>
      </c>
      <c r="I2726" s="1">
        <v>45589</v>
      </c>
      <c r="J2726">
        <v>18.66</v>
      </c>
      <c r="K2726" s="1">
        <v>45463</v>
      </c>
      <c r="L2726">
        <v>105.58799999999999</v>
      </c>
    </row>
    <row r="2727" spans="1:12" x14ac:dyDescent="0.25">
      <c r="A2727" s="1">
        <v>45572</v>
      </c>
      <c r="B2727">
        <v>22.64</v>
      </c>
      <c r="C2727" s="1">
        <v>45596</v>
      </c>
      <c r="D2727">
        <v>26.41</v>
      </c>
      <c r="E2727" s="1">
        <v>45552</v>
      </c>
      <c r="F2727">
        <v>101.58</v>
      </c>
      <c r="G2727" s="1">
        <v>45590</v>
      </c>
      <c r="H2727">
        <v>48.97</v>
      </c>
      <c r="I2727" s="1">
        <v>45590</v>
      </c>
      <c r="J2727">
        <v>18.88</v>
      </c>
      <c r="K2727" s="1">
        <v>45464</v>
      </c>
      <c r="L2727">
        <v>105.79600000000001</v>
      </c>
    </row>
    <row r="2728" spans="1:12" x14ac:dyDescent="0.25">
      <c r="A2728" s="1">
        <v>45573</v>
      </c>
      <c r="B2728">
        <v>21.42</v>
      </c>
      <c r="C2728" s="1">
        <v>45597</v>
      </c>
      <c r="D2728">
        <v>25.9</v>
      </c>
      <c r="E2728" s="1">
        <v>45553</v>
      </c>
      <c r="F2728">
        <v>98.61</v>
      </c>
      <c r="G2728" s="1">
        <v>45593</v>
      </c>
      <c r="H2728">
        <v>42.96</v>
      </c>
      <c r="I2728" s="1">
        <v>45593</v>
      </c>
      <c r="J2728">
        <v>18.34</v>
      </c>
      <c r="K2728" s="1">
        <v>45467</v>
      </c>
      <c r="L2728">
        <v>105.473</v>
      </c>
    </row>
    <row r="2729" spans="1:12" x14ac:dyDescent="0.25">
      <c r="A2729" s="1">
        <v>45574</v>
      </c>
      <c r="B2729">
        <v>20.86</v>
      </c>
      <c r="C2729" s="1">
        <v>45600</v>
      </c>
      <c r="D2729">
        <v>26.71</v>
      </c>
      <c r="E2729" s="1">
        <v>45554</v>
      </c>
      <c r="F2729">
        <v>92.64</v>
      </c>
      <c r="G2729" s="1">
        <v>45594</v>
      </c>
      <c r="H2729">
        <v>42.47</v>
      </c>
      <c r="I2729" s="1">
        <v>45594</v>
      </c>
      <c r="J2729">
        <v>18.510000000000002</v>
      </c>
      <c r="K2729" s="1">
        <v>45468</v>
      </c>
      <c r="L2729">
        <v>105.607</v>
      </c>
    </row>
    <row r="2730" spans="1:12" x14ac:dyDescent="0.25">
      <c r="A2730" s="1">
        <v>45575</v>
      </c>
      <c r="B2730">
        <v>20.93</v>
      </c>
      <c r="C2730" s="1">
        <v>45601</v>
      </c>
      <c r="D2730">
        <v>26.65</v>
      </c>
      <c r="E2730" s="1">
        <v>45555</v>
      </c>
      <c r="F2730">
        <v>91</v>
      </c>
      <c r="G2730" s="1">
        <v>45595</v>
      </c>
      <c r="H2730">
        <v>41.13</v>
      </c>
      <c r="I2730" s="1">
        <v>45595</v>
      </c>
      <c r="J2730">
        <v>18.68</v>
      </c>
      <c r="K2730" s="1">
        <v>45469</v>
      </c>
      <c r="L2730">
        <v>106.05200000000001</v>
      </c>
    </row>
    <row r="2731" spans="1:12" x14ac:dyDescent="0.25">
      <c r="A2731" s="1">
        <v>45576</v>
      </c>
      <c r="B2731">
        <v>20.46</v>
      </c>
      <c r="C2731" s="1">
        <v>45602</v>
      </c>
      <c r="D2731">
        <v>22.96</v>
      </c>
      <c r="E2731" s="1">
        <v>45558</v>
      </c>
      <c r="F2731">
        <v>93.87</v>
      </c>
      <c r="G2731" s="1">
        <v>45596</v>
      </c>
      <c r="H2731">
        <v>48.79</v>
      </c>
      <c r="I2731" s="1">
        <v>45596</v>
      </c>
      <c r="J2731">
        <v>19.46</v>
      </c>
      <c r="K2731" s="1">
        <v>45470</v>
      </c>
      <c r="L2731">
        <v>105.90600000000001</v>
      </c>
    </row>
    <row r="2732" spans="1:12" x14ac:dyDescent="0.25">
      <c r="A2732" s="1">
        <v>45579</v>
      </c>
      <c r="B2732">
        <v>19.7</v>
      </c>
      <c r="C2732" s="1">
        <v>45603</v>
      </c>
      <c r="D2732">
        <v>21.74</v>
      </c>
      <c r="E2732" s="1">
        <v>45559</v>
      </c>
      <c r="F2732">
        <v>93.3</v>
      </c>
      <c r="G2732" s="1">
        <v>45597</v>
      </c>
      <c r="H2732">
        <v>44.14</v>
      </c>
      <c r="I2732" s="1">
        <v>45597</v>
      </c>
      <c r="J2732">
        <v>19.29</v>
      </c>
      <c r="K2732" s="1">
        <v>45471</v>
      </c>
      <c r="L2732">
        <v>105.866</v>
      </c>
    </row>
    <row r="2733" spans="1:12" x14ac:dyDescent="0.25">
      <c r="A2733" s="1">
        <v>45580</v>
      </c>
      <c r="B2733">
        <v>20.64</v>
      </c>
      <c r="C2733" s="1">
        <v>45604</v>
      </c>
      <c r="D2733">
        <v>19.829999999999998</v>
      </c>
      <c r="E2733" s="1">
        <v>45560</v>
      </c>
      <c r="F2733">
        <v>91.64</v>
      </c>
      <c r="G2733" s="1">
        <v>45600</v>
      </c>
      <c r="H2733">
        <v>45.75</v>
      </c>
      <c r="I2733" s="1">
        <v>45600</v>
      </c>
      <c r="J2733">
        <v>19.91</v>
      </c>
      <c r="K2733" s="1">
        <v>45474</v>
      </c>
      <c r="L2733">
        <v>105.901</v>
      </c>
    </row>
    <row r="2734" spans="1:12" x14ac:dyDescent="0.25">
      <c r="A2734" s="1">
        <v>45581</v>
      </c>
      <c r="B2734">
        <v>19.579999999999998</v>
      </c>
      <c r="C2734" s="1">
        <v>45607</v>
      </c>
      <c r="D2734">
        <v>20.34</v>
      </c>
      <c r="E2734" s="1">
        <v>45561</v>
      </c>
      <c r="F2734">
        <v>90.14</v>
      </c>
      <c r="G2734" s="1">
        <v>45601</v>
      </c>
      <c r="H2734">
        <v>45.61</v>
      </c>
      <c r="I2734" s="1">
        <v>45601</v>
      </c>
      <c r="J2734">
        <v>19.59</v>
      </c>
      <c r="K2734" s="1">
        <v>45475</v>
      </c>
      <c r="L2734">
        <v>105.72199999999999</v>
      </c>
    </row>
    <row r="2735" spans="1:12" x14ac:dyDescent="0.25">
      <c r="A2735" s="1">
        <v>45582</v>
      </c>
      <c r="B2735">
        <v>19.11</v>
      </c>
      <c r="C2735" s="1">
        <v>45608</v>
      </c>
      <c r="D2735">
        <v>20.04</v>
      </c>
      <c r="E2735" s="1">
        <v>45562</v>
      </c>
      <c r="F2735">
        <v>92.53</v>
      </c>
      <c r="G2735" s="1">
        <v>45602</v>
      </c>
      <c r="H2735">
        <v>44.74</v>
      </c>
      <c r="I2735" s="1">
        <v>45602</v>
      </c>
      <c r="J2735">
        <v>17.63</v>
      </c>
      <c r="K2735" s="1">
        <v>45476</v>
      </c>
      <c r="L2735">
        <v>105.40300000000001</v>
      </c>
    </row>
    <row r="2736" spans="1:12" x14ac:dyDescent="0.25">
      <c r="A2736" s="1">
        <v>45583</v>
      </c>
      <c r="B2736">
        <v>18.03</v>
      </c>
      <c r="C2736" s="1">
        <v>45609</v>
      </c>
      <c r="D2736">
        <v>19.690000000000001</v>
      </c>
      <c r="E2736" s="1">
        <v>45565</v>
      </c>
      <c r="F2736">
        <v>94.61</v>
      </c>
      <c r="G2736" s="1">
        <v>45603</v>
      </c>
      <c r="H2736">
        <v>42.55</v>
      </c>
      <c r="I2736" s="1">
        <v>45603</v>
      </c>
      <c r="J2736">
        <v>17.37</v>
      </c>
      <c r="K2736" s="1">
        <v>45477</v>
      </c>
      <c r="L2736">
        <v>105.13</v>
      </c>
    </row>
    <row r="2737" spans="1:12" x14ac:dyDescent="0.25">
      <c r="A2737" s="1">
        <v>45586</v>
      </c>
      <c r="B2737">
        <v>18.37</v>
      </c>
      <c r="C2737" s="1">
        <v>45610</v>
      </c>
      <c r="D2737">
        <v>19.649999999999999</v>
      </c>
      <c r="E2737" s="1">
        <v>45566</v>
      </c>
      <c r="F2737">
        <v>104.14</v>
      </c>
      <c r="G2737" s="1">
        <v>45604</v>
      </c>
      <c r="H2737">
        <v>38.76</v>
      </c>
      <c r="I2737" s="1">
        <v>45604</v>
      </c>
      <c r="J2737">
        <v>15.91</v>
      </c>
      <c r="K2737" s="1">
        <v>45478</v>
      </c>
      <c r="L2737">
        <v>104.875</v>
      </c>
    </row>
    <row r="2738" spans="1:12" x14ac:dyDescent="0.25">
      <c r="A2738" s="1">
        <v>45587</v>
      </c>
      <c r="B2738">
        <v>18.2</v>
      </c>
      <c r="C2738" s="1">
        <v>45611</v>
      </c>
      <c r="D2738">
        <v>19.48</v>
      </c>
      <c r="E2738" s="1">
        <v>45567</v>
      </c>
      <c r="F2738">
        <v>102.17</v>
      </c>
      <c r="G2738" s="1">
        <v>45607</v>
      </c>
      <c r="H2738">
        <v>37.74</v>
      </c>
      <c r="I2738" s="1">
        <v>45607</v>
      </c>
      <c r="J2738">
        <v>16.02</v>
      </c>
      <c r="K2738" s="1">
        <v>45481</v>
      </c>
      <c r="L2738">
        <v>105</v>
      </c>
    </row>
    <row r="2739" spans="1:12" x14ac:dyDescent="0.25">
      <c r="A2739" s="1">
        <v>45588</v>
      </c>
      <c r="B2739">
        <v>19.239999999999998</v>
      </c>
      <c r="C2739" s="1">
        <v>45614</v>
      </c>
      <c r="D2739">
        <v>19.940000000000001</v>
      </c>
      <c r="E2739" s="1">
        <v>45568</v>
      </c>
      <c r="F2739">
        <v>101.16</v>
      </c>
      <c r="G2739" s="1">
        <v>45608</v>
      </c>
      <c r="H2739">
        <v>34.32</v>
      </c>
      <c r="I2739" s="1">
        <v>45608</v>
      </c>
      <c r="J2739">
        <v>16.25</v>
      </c>
      <c r="K2739" s="1">
        <v>45482</v>
      </c>
      <c r="L2739">
        <v>105.129</v>
      </c>
    </row>
    <row r="2740" spans="1:12" x14ac:dyDescent="0.25">
      <c r="A2740" s="1">
        <v>45589</v>
      </c>
      <c r="B2740">
        <v>19.079999999999998</v>
      </c>
      <c r="C2740" s="1">
        <v>45615</v>
      </c>
      <c r="D2740">
        <v>20.09</v>
      </c>
      <c r="E2740" s="1">
        <v>45569</v>
      </c>
      <c r="F2740">
        <v>100.15</v>
      </c>
      <c r="G2740" s="1">
        <v>45609</v>
      </c>
      <c r="H2740">
        <v>37.119999999999997</v>
      </c>
      <c r="I2740" s="1">
        <v>45609</v>
      </c>
      <c r="J2740">
        <v>17.05</v>
      </c>
      <c r="K2740" s="1">
        <v>45483</v>
      </c>
      <c r="L2740">
        <v>105.048</v>
      </c>
    </row>
    <row r="2741" spans="1:12" x14ac:dyDescent="0.25">
      <c r="A2741" s="1">
        <v>45590</v>
      </c>
      <c r="B2741">
        <v>20.329999999999998</v>
      </c>
      <c r="C2741" s="1">
        <v>45616</v>
      </c>
      <c r="D2741">
        <v>19.920000000000002</v>
      </c>
      <c r="E2741" s="1">
        <v>45572</v>
      </c>
      <c r="F2741">
        <v>124.23</v>
      </c>
      <c r="G2741" s="1">
        <v>45610</v>
      </c>
      <c r="H2741">
        <v>30.9</v>
      </c>
      <c r="I2741" s="1">
        <v>45610</v>
      </c>
      <c r="J2741">
        <v>17.39</v>
      </c>
      <c r="K2741" s="1">
        <v>45484</v>
      </c>
      <c r="L2741">
        <v>104.44</v>
      </c>
    </row>
    <row r="2742" spans="1:12" x14ac:dyDescent="0.25">
      <c r="A2742" s="1">
        <v>45593</v>
      </c>
      <c r="B2742">
        <v>19.8</v>
      </c>
      <c r="C2742" s="1">
        <v>45617</v>
      </c>
      <c r="D2742">
        <v>19.79</v>
      </c>
      <c r="E2742" s="1">
        <v>45573</v>
      </c>
      <c r="F2742">
        <v>123.77</v>
      </c>
      <c r="G2742" s="1">
        <v>45611</v>
      </c>
      <c r="H2742">
        <v>35.07</v>
      </c>
      <c r="I2742" s="1">
        <v>45611</v>
      </c>
      <c r="J2742">
        <v>17.170000000000002</v>
      </c>
      <c r="K2742" s="1">
        <v>45485</v>
      </c>
      <c r="L2742">
        <v>104.093</v>
      </c>
    </row>
    <row r="2743" spans="1:12" x14ac:dyDescent="0.25">
      <c r="A2743" s="1">
        <v>45594</v>
      </c>
      <c r="B2743">
        <v>19.34</v>
      </c>
      <c r="C2743" s="1">
        <v>45618</v>
      </c>
      <c r="D2743">
        <v>18.739999999999998</v>
      </c>
      <c r="E2743" s="1">
        <v>45574</v>
      </c>
      <c r="F2743">
        <v>122.39</v>
      </c>
      <c r="G2743" s="1">
        <v>45614</v>
      </c>
      <c r="H2743">
        <v>36.89</v>
      </c>
      <c r="I2743" s="1">
        <v>45614</v>
      </c>
      <c r="J2743">
        <v>16.97</v>
      </c>
      <c r="K2743" s="1">
        <v>45488</v>
      </c>
      <c r="L2743">
        <v>104.18899999999999</v>
      </c>
    </row>
    <row r="2744" spans="1:12" x14ac:dyDescent="0.25">
      <c r="A2744" s="1">
        <v>45595</v>
      </c>
      <c r="B2744">
        <v>20.350000000000001</v>
      </c>
      <c r="C2744" s="1">
        <v>45621</v>
      </c>
      <c r="D2744">
        <v>17.690000000000001</v>
      </c>
      <c r="E2744" s="1">
        <v>45575</v>
      </c>
      <c r="F2744">
        <v>116.56</v>
      </c>
      <c r="G2744" s="1">
        <v>45615</v>
      </c>
      <c r="H2744">
        <v>37.28</v>
      </c>
      <c r="I2744" s="1">
        <v>45615</v>
      </c>
      <c r="J2744">
        <v>17.850000000000001</v>
      </c>
      <c r="K2744" s="1">
        <v>45489</v>
      </c>
      <c r="L2744">
        <v>104.27</v>
      </c>
    </row>
    <row r="2745" spans="1:12" x14ac:dyDescent="0.25">
      <c r="A2745" s="1">
        <v>45596</v>
      </c>
      <c r="B2745">
        <v>23.16</v>
      </c>
      <c r="C2745" s="1">
        <v>45622</v>
      </c>
      <c r="D2745">
        <v>18.32</v>
      </c>
      <c r="E2745" s="1">
        <v>45576</v>
      </c>
      <c r="F2745">
        <v>118.47</v>
      </c>
      <c r="G2745" s="1">
        <v>45616</v>
      </c>
      <c r="H2745">
        <v>36.74</v>
      </c>
      <c r="I2745" s="1">
        <v>45616</v>
      </c>
      <c r="J2745">
        <v>18.34</v>
      </c>
      <c r="K2745" s="1">
        <v>45490</v>
      </c>
      <c r="L2745">
        <v>103.748</v>
      </c>
    </row>
    <row r="2746" spans="1:12" x14ac:dyDescent="0.25">
      <c r="A2746" s="1">
        <v>45597</v>
      </c>
      <c r="B2746">
        <v>21.88</v>
      </c>
      <c r="C2746" s="1">
        <v>45623</v>
      </c>
      <c r="D2746">
        <v>17.96</v>
      </c>
      <c r="E2746" s="1">
        <v>45580</v>
      </c>
      <c r="F2746">
        <v>127.23</v>
      </c>
      <c r="G2746" s="1">
        <v>45617</v>
      </c>
      <c r="H2746">
        <v>36.909999999999997</v>
      </c>
      <c r="I2746" s="1">
        <v>45617</v>
      </c>
      <c r="J2746">
        <v>17.59</v>
      </c>
      <c r="K2746" s="1">
        <v>45491</v>
      </c>
      <c r="L2746">
        <v>104.173</v>
      </c>
    </row>
    <row r="2747" spans="1:12" x14ac:dyDescent="0.25">
      <c r="A2747" s="1">
        <v>45600</v>
      </c>
      <c r="B2747">
        <v>21.98</v>
      </c>
      <c r="C2747" s="1">
        <v>45625</v>
      </c>
      <c r="D2747">
        <v>16.940000000000001</v>
      </c>
      <c r="E2747" s="1">
        <v>45581</v>
      </c>
      <c r="F2747">
        <v>121.86</v>
      </c>
      <c r="G2747" s="1">
        <v>45618</v>
      </c>
      <c r="H2747">
        <v>35.74</v>
      </c>
      <c r="I2747" s="1">
        <v>45618</v>
      </c>
      <c r="J2747">
        <v>17.54</v>
      </c>
      <c r="K2747" s="1">
        <v>45492</v>
      </c>
      <c r="L2747">
        <v>104.396</v>
      </c>
    </row>
    <row r="2748" spans="1:12" x14ac:dyDescent="0.25">
      <c r="A2748" s="1">
        <v>45601</v>
      </c>
      <c r="B2748">
        <v>20.49</v>
      </c>
      <c r="C2748" s="1">
        <v>45628</v>
      </c>
      <c r="D2748">
        <v>16.98</v>
      </c>
      <c r="E2748" s="1">
        <v>45582</v>
      </c>
      <c r="F2748">
        <v>122.14</v>
      </c>
      <c r="G2748" s="1">
        <v>45621</v>
      </c>
      <c r="H2748">
        <v>37.44</v>
      </c>
      <c r="I2748" s="1">
        <v>45621</v>
      </c>
      <c r="J2748">
        <v>17.8</v>
      </c>
      <c r="K2748" s="1">
        <v>45495</v>
      </c>
      <c r="L2748">
        <v>104.31399999999999</v>
      </c>
    </row>
    <row r="2749" spans="1:12" x14ac:dyDescent="0.25">
      <c r="A2749" s="1">
        <v>45602</v>
      </c>
      <c r="B2749">
        <v>16.27</v>
      </c>
      <c r="C2749" s="1">
        <v>45629</v>
      </c>
      <c r="D2749">
        <v>18.149999999999999</v>
      </c>
      <c r="E2749" s="1">
        <v>45583</v>
      </c>
      <c r="F2749">
        <v>123.13</v>
      </c>
      <c r="G2749" s="1">
        <v>45622</v>
      </c>
      <c r="H2749">
        <v>38.74</v>
      </c>
      <c r="I2749" s="1">
        <v>45622</v>
      </c>
      <c r="J2749">
        <v>17</v>
      </c>
      <c r="K2749" s="1">
        <v>45496</v>
      </c>
      <c r="L2749">
        <v>104.45</v>
      </c>
    </row>
    <row r="2750" spans="1:12" x14ac:dyDescent="0.25">
      <c r="A2750" s="1">
        <v>45603</v>
      </c>
      <c r="B2750">
        <v>15.2</v>
      </c>
      <c r="C2750" s="1">
        <v>45630</v>
      </c>
      <c r="D2750">
        <v>17.21</v>
      </c>
      <c r="E2750" s="1">
        <v>45586</v>
      </c>
      <c r="F2750">
        <v>128.94999999999999</v>
      </c>
      <c r="G2750" s="1">
        <v>45623</v>
      </c>
      <c r="H2750">
        <v>37</v>
      </c>
      <c r="I2750" s="1">
        <v>45623</v>
      </c>
      <c r="J2750">
        <v>16.54</v>
      </c>
      <c r="K2750" s="1">
        <v>45497</v>
      </c>
      <c r="L2750">
        <v>104.39100000000001</v>
      </c>
    </row>
    <row r="2751" spans="1:12" x14ac:dyDescent="0.25">
      <c r="A2751" s="1">
        <v>45604</v>
      </c>
      <c r="B2751">
        <v>14.94</v>
      </c>
      <c r="C2751" s="1">
        <v>45631</v>
      </c>
      <c r="D2751">
        <v>17.12</v>
      </c>
      <c r="E2751" s="1">
        <v>45587</v>
      </c>
      <c r="F2751">
        <v>129.26</v>
      </c>
      <c r="G2751" s="1">
        <v>45625</v>
      </c>
      <c r="H2751">
        <v>34.950000000000003</v>
      </c>
      <c r="I2751" s="1">
        <v>45625</v>
      </c>
      <c r="J2751">
        <v>16.37</v>
      </c>
      <c r="K2751" s="1">
        <v>45498</v>
      </c>
      <c r="L2751">
        <v>104.355</v>
      </c>
    </row>
    <row r="2752" spans="1:12" x14ac:dyDescent="0.25">
      <c r="A2752" s="1">
        <v>45607</v>
      </c>
      <c r="B2752">
        <v>14.97</v>
      </c>
      <c r="C2752" s="1">
        <v>45632</v>
      </c>
      <c r="D2752">
        <v>16.88</v>
      </c>
      <c r="E2752" s="1">
        <v>45588</v>
      </c>
      <c r="F2752">
        <v>129.05000000000001</v>
      </c>
      <c r="G2752" s="1">
        <v>45628</v>
      </c>
      <c r="H2752">
        <v>34.71</v>
      </c>
      <c r="I2752" s="1">
        <v>45628</v>
      </c>
      <c r="J2752">
        <v>16.329999999999998</v>
      </c>
      <c r="K2752" s="1">
        <v>45499</v>
      </c>
      <c r="L2752">
        <v>104.316</v>
      </c>
    </row>
    <row r="2753" spans="1:12" x14ac:dyDescent="0.25">
      <c r="A2753" s="1">
        <v>45608</v>
      </c>
      <c r="B2753">
        <v>14.71</v>
      </c>
      <c r="C2753" s="1">
        <v>45635</v>
      </c>
      <c r="D2753">
        <v>19.09</v>
      </c>
      <c r="E2753" s="1">
        <v>45589</v>
      </c>
      <c r="F2753">
        <v>127.48</v>
      </c>
      <c r="G2753" s="1">
        <v>45629</v>
      </c>
      <c r="H2753">
        <v>34.549999999999997</v>
      </c>
      <c r="I2753" s="1">
        <v>45629</v>
      </c>
      <c r="J2753">
        <v>16.21</v>
      </c>
      <c r="K2753" s="1">
        <v>45502</v>
      </c>
      <c r="L2753">
        <v>104.56399999999999</v>
      </c>
    </row>
    <row r="2754" spans="1:12" x14ac:dyDescent="0.25">
      <c r="A2754" s="1">
        <v>45609</v>
      </c>
      <c r="B2754">
        <v>14.02</v>
      </c>
      <c r="C2754" s="1">
        <v>45636</v>
      </c>
      <c r="D2754">
        <v>19.23</v>
      </c>
      <c r="E2754" s="1">
        <v>45590</v>
      </c>
      <c r="F2754">
        <v>128.4</v>
      </c>
      <c r="G2754" s="1">
        <v>45630</v>
      </c>
      <c r="H2754">
        <v>33.82</v>
      </c>
      <c r="I2754" s="1">
        <v>45630</v>
      </c>
      <c r="J2754">
        <v>15.92</v>
      </c>
      <c r="K2754" s="1">
        <v>45503</v>
      </c>
      <c r="L2754">
        <v>104.554</v>
      </c>
    </row>
    <row r="2755" spans="1:12" x14ac:dyDescent="0.25">
      <c r="A2755" s="1">
        <v>45610</v>
      </c>
      <c r="B2755">
        <v>14.31</v>
      </c>
      <c r="C2755" s="1">
        <v>45637</v>
      </c>
      <c r="D2755">
        <v>17.75</v>
      </c>
      <c r="E2755" s="1">
        <v>45593</v>
      </c>
      <c r="F2755">
        <v>130.91999999999999</v>
      </c>
      <c r="G2755" s="1">
        <v>45631</v>
      </c>
      <c r="H2755">
        <v>29.45</v>
      </c>
      <c r="I2755" s="1">
        <v>45631</v>
      </c>
      <c r="J2755">
        <v>15.93</v>
      </c>
      <c r="K2755" s="1">
        <v>45504</v>
      </c>
      <c r="L2755">
        <v>104.096</v>
      </c>
    </row>
    <row r="2756" spans="1:12" x14ac:dyDescent="0.25">
      <c r="A2756" s="1">
        <v>45611</v>
      </c>
      <c r="B2756">
        <v>16.14</v>
      </c>
      <c r="C2756" s="1">
        <v>45638</v>
      </c>
      <c r="D2756">
        <v>16.690000000000001</v>
      </c>
      <c r="E2756" s="1">
        <v>45594</v>
      </c>
      <c r="F2756">
        <v>131.87</v>
      </c>
      <c r="G2756" s="1">
        <v>45632</v>
      </c>
      <c r="H2756">
        <v>30.98</v>
      </c>
      <c r="I2756" s="1">
        <v>45632</v>
      </c>
      <c r="J2756">
        <v>15.04</v>
      </c>
      <c r="K2756" s="1">
        <v>45505</v>
      </c>
      <c r="L2756">
        <v>104.42100000000001</v>
      </c>
    </row>
    <row r="2757" spans="1:12" x14ac:dyDescent="0.25">
      <c r="A2757" s="1">
        <v>45614</v>
      </c>
      <c r="B2757">
        <v>15.58</v>
      </c>
      <c r="C2757" s="1">
        <v>45639</v>
      </c>
      <c r="D2757">
        <v>16.02</v>
      </c>
      <c r="E2757" s="1">
        <v>45595</v>
      </c>
      <c r="F2757">
        <v>130.80000000000001</v>
      </c>
      <c r="G2757" s="1">
        <v>45635</v>
      </c>
      <c r="H2757">
        <v>27.7</v>
      </c>
      <c r="I2757" s="1">
        <v>45635</v>
      </c>
      <c r="J2757">
        <v>15.75</v>
      </c>
      <c r="K2757" s="1">
        <v>45506</v>
      </c>
      <c r="L2757">
        <v>103.208</v>
      </c>
    </row>
    <row r="2758" spans="1:12" x14ac:dyDescent="0.25">
      <c r="A2758" s="1">
        <v>45615</v>
      </c>
      <c r="B2758">
        <v>16.350000000000001</v>
      </c>
      <c r="C2758" s="1">
        <v>45642</v>
      </c>
      <c r="D2758">
        <v>16.64</v>
      </c>
      <c r="E2758" s="1">
        <v>45596</v>
      </c>
      <c r="F2758">
        <v>135.18</v>
      </c>
      <c r="G2758" s="1">
        <v>45636</v>
      </c>
      <c r="H2758">
        <v>28.61</v>
      </c>
      <c r="I2758" s="1">
        <v>45636</v>
      </c>
      <c r="J2758">
        <v>16.34</v>
      </c>
      <c r="K2758" s="1">
        <v>45509</v>
      </c>
      <c r="L2758">
        <v>102.68899999999999</v>
      </c>
    </row>
    <row r="2759" spans="1:12" x14ac:dyDescent="0.25">
      <c r="A2759" s="1">
        <v>45616</v>
      </c>
      <c r="B2759">
        <v>17.16</v>
      </c>
      <c r="C2759" s="1">
        <v>45643</v>
      </c>
      <c r="D2759">
        <v>14.69</v>
      </c>
      <c r="E2759" s="1">
        <v>45597</v>
      </c>
      <c r="F2759">
        <v>132.58000000000001</v>
      </c>
      <c r="G2759" s="1">
        <v>45637</v>
      </c>
      <c r="H2759">
        <v>31.99</v>
      </c>
      <c r="I2759" s="1">
        <v>45637</v>
      </c>
      <c r="J2759">
        <v>16.86</v>
      </c>
      <c r="K2759" s="1">
        <v>45510</v>
      </c>
      <c r="L2759">
        <v>102.96899999999999</v>
      </c>
    </row>
    <row r="2760" spans="1:12" x14ac:dyDescent="0.25">
      <c r="A2760" s="1">
        <v>45617</v>
      </c>
      <c r="B2760">
        <v>16.87</v>
      </c>
      <c r="C2760" s="1">
        <v>45644</v>
      </c>
      <c r="D2760">
        <v>19.79</v>
      </c>
      <c r="E2760" s="1">
        <v>45600</v>
      </c>
      <c r="F2760">
        <v>136.25</v>
      </c>
      <c r="G2760" s="1">
        <v>45638</v>
      </c>
      <c r="H2760">
        <v>33.64</v>
      </c>
      <c r="I2760" s="1">
        <v>45638</v>
      </c>
      <c r="J2760">
        <v>15.43</v>
      </c>
      <c r="K2760" s="1">
        <v>45511</v>
      </c>
      <c r="L2760">
        <v>103.197</v>
      </c>
    </row>
    <row r="2761" spans="1:12" x14ac:dyDescent="0.25">
      <c r="A2761" s="1">
        <v>45618</v>
      </c>
      <c r="B2761">
        <v>15.24</v>
      </c>
      <c r="C2761" s="1">
        <v>45645</v>
      </c>
      <c r="D2761">
        <v>19.93</v>
      </c>
      <c r="E2761" s="1">
        <v>45601</v>
      </c>
      <c r="F2761">
        <v>130.43</v>
      </c>
      <c r="G2761" s="1">
        <v>45639</v>
      </c>
      <c r="H2761">
        <v>34.92</v>
      </c>
      <c r="I2761" s="1">
        <v>45639</v>
      </c>
      <c r="J2761">
        <v>15.63</v>
      </c>
      <c r="K2761" s="1">
        <v>45512</v>
      </c>
      <c r="L2761">
        <v>103.209</v>
      </c>
    </row>
    <row r="2762" spans="1:12" x14ac:dyDescent="0.25">
      <c r="A2762" s="1">
        <v>45621</v>
      </c>
      <c r="B2762">
        <v>14.6</v>
      </c>
      <c r="C2762" s="1">
        <v>45646</v>
      </c>
      <c r="D2762">
        <v>17.940000000000001</v>
      </c>
      <c r="E2762" s="1">
        <v>45602</v>
      </c>
      <c r="F2762">
        <v>117.64</v>
      </c>
      <c r="G2762" s="1">
        <v>45642</v>
      </c>
      <c r="H2762">
        <v>33.409999999999997</v>
      </c>
      <c r="I2762" s="1">
        <v>45642</v>
      </c>
      <c r="J2762">
        <v>15.38</v>
      </c>
      <c r="K2762" s="1">
        <v>45513</v>
      </c>
      <c r="L2762">
        <v>103.13500000000001</v>
      </c>
    </row>
    <row r="2763" spans="1:12" x14ac:dyDescent="0.25">
      <c r="A2763" s="1">
        <v>45622</v>
      </c>
      <c r="B2763">
        <v>14.1</v>
      </c>
      <c r="C2763" s="1">
        <v>45649</v>
      </c>
      <c r="D2763">
        <v>17.13</v>
      </c>
      <c r="E2763" s="1">
        <v>45603</v>
      </c>
      <c r="F2763">
        <v>104.08</v>
      </c>
      <c r="G2763" s="1">
        <v>45643</v>
      </c>
      <c r="H2763">
        <v>30.71</v>
      </c>
      <c r="I2763" s="1">
        <v>45643</v>
      </c>
      <c r="J2763">
        <v>15.64</v>
      </c>
      <c r="K2763" s="1">
        <v>45516</v>
      </c>
      <c r="L2763">
        <v>103.139</v>
      </c>
    </row>
    <row r="2764" spans="1:12" x14ac:dyDescent="0.25">
      <c r="A2764" s="1">
        <v>45623</v>
      </c>
      <c r="B2764">
        <v>14.1</v>
      </c>
      <c r="C2764" s="1">
        <v>45650</v>
      </c>
      <c r="D2764">
        <v>16.5</v>
      </c>
      <c r="E2764" s="1">
        <v>45604</v>
      </c>
      <c r="F2764">
        <v>99.85</v>
      </c>
      <c r="G2764" s="1">
        <v>45644</v>
      </c>
      <c r="H2764">
        <v>32.6</v>
      </c>
      <c r="I2764" s="1">
        <v>45644</v>
      </c>
      <c r="J2764">
        <v>16.54</v>
      </c>
      <c r="K2764" s="1">
        <v>45517</v>
      </c>
      <c r="L2764">
        <v>102.559</v>
      </c>
    </row>
    <row r="2765" spans="1:12" x14ac:dyDescent="0.25">
      <c r="A2765" s="1">
        <v>45624</v>
      </c>
      <c r="B2765">
        <v>13.9</v>
      </c>
      <c r="C2765" s="1">
        <v>45652</v>
      </c>
      <c r="D2765">
        <v>16.88</v>
      </c>
      <c r="E2765" s="1">
        <v>45608</v>
      </c>
      <c r="F2765">
        <v>108.55</v>
      </c>
      <c r="G2765" s="1">
        <v>45645</v>
      </c>
      <c r="H2765">
        <v>30.5</v>
      </c>
      <c r="I2765" s="1">
        <v>45645</v>
      </c>
      <c r="J2765">
        <v>15.83</v>
      </c>
      <c r="K2765" s="1">
        <v>45518</v>
      </c>
      <c r="L2765">
        <v>102.568</v>
      </c>
    </row>
    <row r="2766" spans="1:12" x14ac:dyDescent="0.25">
      <c r="A2766" s="1">
        <v>45625</v>
      </c>
      <c r="B2766">
        <v>13.51</v>
      </c>
      <c r="C2766" s="1">
        <v>45653</v>
      </c>
      <c r="D2766">
        <v>17.55</v>
      </c>
      <c r="E2766" s="1">
        <v>45609</v>
      </c>
      <c r="F2766">
        <v>102.08</v>
      </c>
      <c r="G2766" s="1">
        <v>45646</v>
      </c>
      <c r="H2766">
        <v>29.27</v>
      </c>
      <c r="I2766" s="1">
        <v>45646</v>
      </c>
      <c r="J2766">
        <v>15.73</v>
      </c>
      <c r="K2766" s="1">
        <v>45519</v>
      </c>
      <c r="L2766">
        <v>102.977</v>
      </c>
    </row>
    <row r="2767" spans="1:12" x14ac:dyDescent="0.25">
      <c r="A2767" s="1">
        <v>45628</v>
      </c>
      <c r="B2767">
        <v>13.34</v>
      </c>
      <c r="C2767" s="1">
        <v>45656</v>
      </c>
      <c r="D2767">
        <v>16.920000000000002</v>
      </c>
      <c r="E2767" s="1">
        <v>45610</v>
      </c>
      <c r="F2767">
        <v>99.43</v>
      </c>
      <c r="G2767" s="1">
        <v>45649</v>
      </c>
      <c r="H2767">
        <v>30.16</v>
      </c>
      <c r="I2767" s="1">
        <v>45649</v>
      </c>
      <c r="J2767">
        <v>15.54</v>
      </c>
      <c r="K2767" s="1">
        <v>45520</v>
      </c>
      <c r="L2767">
        <v>102.46299999999999</v>
      </c>
    </row>
    <row r="2768" spans="1:12" x14ac:dyDescent="0.25">
      <c r="A2768" s="1">
        <v>45629</v>
      </c>
      <c r="B2768">
        <v>13.3</v>
      </c>
      <c r="C2768" s="1">
        <v>45657</v>
      </c>
      <c r="D2768">
        <v>17.57</v>
      </c>
      <c r="E2768" s="1">
        <v>45611</v>
      </c>
      <c r="F2768">
        <v>102.47</v>
      </c>
      <c r="G2768" s="1">
        <v>45650</v>
      </c>
      <c r="H2768">
        <v>30.35</v>
      </c>
      <c r="I2768" s="1">
        <v>45650</v>
      </c>
      <c r="J2768">
        <v>14.71</v>
      </c>
      <c r="K2768" s="1">
        <v>45523</v>
      </c>
      <c r="L2768">
        <v>101.886</v>
      </c>
    </row>
    <row r="2769" spans="1:12" x14ac:dyDescent="0.25">
      <c r="A2769" s="1">
        <v>45630</v>
      </c>
      <c r="B2769">
        <v>13.45</v>
      </c>
      <c r="C2769" s="1">
        <v>45659</v>
      </c>
      <c r="D2769">
        <v>17.27</v>
      </c>
      <c r="E2769" s="1">
        <v>45614</v>
      </c>
      <c r="F2769">
        <v>102.01</v>
      </c>
      <c r="G2769" s="1">
        <v>45652</v>
      </c>
      <c r="H2769">
        <v>30.01</v>
      </c>
      <c r="I2769" s="1">
        <v>45652</v>
      </c>
      <c r="J2769">
        <v>15.19</v>
      </c>
      <c r="K2769" s="1">
        <v>45524</v>
      </c>
      <c r="L2769">
        <v>101.441</v>
      </c>
    </row>
    <row r="2770" spans="1:12" x14ac:dyDescent="0.25">
      <c r="A2770" s="1">
        <v>45631</v>
      </c>
      <c r="B2770">
        <v>13.54</v>
      </c>
      <c r="C2770" s="1">
        <v>45660</v>
      </c>
      <c r="D2770">
        <v>15.88</v>
      </c>
      <c r="E2770" s="1">
        <v>45615</v>
      </c>
      <c r="F2770">
        <v>105.12</v>
      </c>
      <c r="G2770" s="1">
        <v>45653</v>
      </c>
      <c r="H2770">
        <v>30.21</v>
      </c>
      <c r="I2770" s="1">
        <v>45653</v>
      </c>
      <c r="J2770">
        <v>14.67</v>
      </c>
      <c r="K2770" s="1">
        <v>45525</v>
      </c>
      <c r="L2770">
        <v>101.039</v>
      </c>
    </row>
    <row r="2771" spans="1:12" x14ac:dyDescent="0.25">
      <c r="A2771" s="1">
        <v>45632</v>
      </c>
      <c r="B2771">
        <v>12.77</v>
      </c>
      <c r="C2771" s="1">
        <v>45663</v>
      </c>
      <c r="D2771">
        <v>16.670000000000002</v>
      </c>
      <c r="E2771" s="1">
        <v>45616</v>
      </c>
      <c r="F2771">
        <v>106.69</v>
      </c>
      <c r="G2771" s="1">
        <v>45656</v>
      </c>
      <c r="H2771">
        <v>30.77</v>
      </c>
      <c r="I2771" s="1">
        <v>45656</v>
      </c>
      <c r="J2771">
        <v>15.02</v>
      </c>
      <c r="K2771" s="1">
        <v>45526</v>
      </c>
      <c r="L2771">
        <v>101.508</v>
      </c>
    </row>
    <row r="2772" spans="1:12" x14ac:dyDescent="0.25">
      <c r="A2772" s="1">
        <v>45635</v>
      </c>
      <c r="B2772">
        <v>14.19</v>
      </c>
      <c r="C2772" s="1">
        <v>45664</v>
      </c>
      <c r="D2772">
        <v>17.2</v>
      </c>
      <c r="E2772" s="1">
        <v>45617</v>
      </c>
      <c r="F2772">
        <v>101.9</v>
      </c>
      <c r="G2772" s="1">
        <v>45657</v>
      </c>
      <c r="H2772">
        <v>30.02</v>
      </c>
      <c r="I2772" s="1">
        <v>45657</v>
      </c>
      <c r="J2772">
        <v>14.62</v>
      </c>
      <c r="K2772" s="1">
        <v>45527</v>
      </c>
      <c r="L2772">
        <v>100.718</v>
      </c>
    </row>
    <row r="2773" spans="1:12" x14ac:dyDescent="0.25">
      <c r="A2773" s="1">
        <v>45636</v>
      </c>
      <c r="B2773">
        <v>14.18</v>
      </c>
      <c r="C2773" s="1">
        <v>45665</v>
      </c>
      <c r="D2773">
        <v>17.48</v>
      </c>
      <c r="E2773" s="1">
        <v>45618</v>
      </c>
      <c r="F2773">
        <v>99.14</v>
      </c>
      <c r="G2773" s="1">
        <v>45659</v>
      </c>
      <c r="H2773">
        <v>29.54</v>
      </c>
      <c r="I2773" s="1">
        <v>45659</v>
      </c>
      <c r="J2773">
        <v>15.07</v>
      </c>
      <c r="K2773" s="1">
        <v>45530</v>
      </c>
      <c r="L2773">
        <v>100.851</v>
      </c>
    </row>
    <row r="2774" spans="1:12" x14ac:dyDescent="0.25">
      <c r="A2774" s="1">
        <v>45637</v>
      </c>
      <c r="B2774">
        <v>13.58</v>
      </c>
      <c r="C2774" s="1">
        <v>45667</v>
      </c>
      <c r="D2774">
        <v>18.28</v>
      </c>
      <c r="E2774" s="1">
        <v>45621</v>
      </c>
      <c r="F2774">
        <v>99.96</v>
      </c>
      <c r="G2774" s="1">
        <v>45660</v>
      </c>
      <c r="H2774">
        <v>29.98</v>
      </c>
      <c r="I2774" s="1">
        <v>45660</v>
      </c>
      <c r="J2774">
        <v>14.49</v>
      </c>
      <c r="K2774" s="1">
        <v>45531</v>
      </c>
      <c r="L2774">
        <v>100.55200000000001</v>
      </c>
    </row>
    <row r="2775" spans="1:12" x14ac:dyDescent="0.25">
      <c r="A2775" s="1">
        <v>45638</v>
      </c>
      <c r="B2775">
        <v>13.92</v>
      </c>
      <c r="C2775" s="1">
        <v>45670</v>
      </c>
      <c r="D2775">
        <v>18.82</v>
      </c>
      <c r="E2775" s="1">
        <v>45622</v>
      </c>
      <c r="F2775">
        <v>99.18</v>
      </c>
      <c r="G2775" s="1">
        <v>45663</v>
      </c>
      <c r="H2775">
        <v>29.31</v>
      </c>
      <c r="I2775" s="1">
        <v>45663</v>
      </c>
      <c r="J2775">
        <v>14.76</v>
      </c>
      <c r="K2775" s="1">
        <v>45532</v>
      </c>
      <c r="L2775">
        <v>101.09399999999999</v>
      </c>
    </row>
    <row r="2776" spans="1:12" x14ac:dyDescent="0.25">
      <c r="A2776" s="1">
        <v>45639</v>
      </c>
      <c r="B2776">
        <v>13.81</v>
      </c>
      <c r="C2776" s="1">
        <v>45671</v>
      </c>
      <c r="D2776">
        <v>19.05</v>
      </c>
      <c r="E2776" s="1">
        <v>45623</v>
      </c>
      <c r="F2776">
        <v>97.74</v>
      </c>
      <c r="G2776" s="1">
        <v>45664</v>
      </c>
      <c r="H2776">
        <v>31.09</v>
      </c>
      <c r="I2776" s="1">
        <v>45664</v>
      </c>
      <c r="J2776">
        <v>14.68</v>
      </c>
      <c r="K2776" s="1">
        <v>45533</v>
      </c>
      <c r="L2776">
        <v>101.343</v>
      </c>
    </row>
    <row r="2777" spans="1:12" x14ac:dyDescent="0.25">
      <c r="A2777" s="1">
        <v>45642</v>
      </c>
      <c r="B2777">
        <v>14.69</v>
      </c>
      <c r="C2777" s="1">
        <v>45672</v>
      </c>
      <c r="D2777">
        <v>17.55</v>
      </c>
      <c r="E2777" s="1">
        <v>45625</v>
      </c>
      <c r="F2777">
        <v>95.22</v>
      </c>
      <c r="G2777" s="1">
        <v>45665</v>
      </c>
      <c r="H2777">
        <v>31.56</v>
      </c>
      <c r="I2777" s="1">
        <v>45665</v>
      </c>
      <c r="J2777">
        <v>14.82</v>
      </c>
      <c r="K2777" s="1">
        <v>45534</v>
      </c>
      <c r="L2777">
        <v>101.69799999999999</v>
      </c>
    </row>
    <row r="2778" spans="1:12" x14ac:dyDescent="0.25">
      <c r="A2778" s="1">
        <v>45643</v>
      </c>
      <c r="B2778">
        <v>15.87</v>
      </c>
      <c r="C2778" s="1">
        <v>45673</v>
      </c>
      <c r="D2778">
        <v>17.09</v>
      </c>
      <c r="E2778" s="1">
        <v>45628</v>
      </c>
      <c r="F2778">
        <v>97.81</v>
      </c>
      <c r="G2778" s="1">
        <v>45667</v>
      </c>
      <c r="H2778">
        <v>33.909999999999997</v>
      </c>
      <c r="I2778" s="1">
        <v>45667</v>
      </c>
      <c r="J2778">
        <v>15.77</v>
      </c>
      <c r="K2778" s="1">
        <v>45537</v>
      </c>
      <c r="L2778">
        <v>101.65300000000001</v>
      </c>
    </row>
    <row r="2779" spans="1:12" x14ac:dyDescent="0.25">
      <c r="A2779" s="1">
        <v>45644</v>
      </c>
      <c r="B2779">
        <v>27.62</v>
      </c>
      <c r="C2779" s="1">
        <v>45674</v>
      </c>
      <c r="D2779">
        <v>17.52</v>
      </c>
      <c r="E2779" s="1">
        <v>45629</v>
      </c>
      <c r="F2779">
        <v>95.6</v>
      </c>
      <c r="G2779" s="1">
        <v>45670</v>
      </c>
      <c r="H2779">
        <v>33.979999999999997</v>
      </c>
      <c r="I2779" s="1">
        <v>45670</v>
      </c>
      <c r="J2779">
        <v>15.27</v>
      </c>
      <c r="K2779" s="1">
        <v>45538</v>
      </c>
      <c r="L2779">
        <v>101.825</v>
      </c>
    </row>
    <row r="2780" spans="1:12" x14ac:dyDescent="0.25">
      <c r="A2780" s="1">
        <v>45645</v>
      </c>
      <c r="B2780">
        <v>24.09</v>
      </c>
      <c r="C2780" s="1">
        <v>45678</v>
      </c>
      <c r="D2780">
        <v>16.579999999999998</v>
      </c>
      <c r="E2780" s="1">
        <v>45630</v>
      </c>
      <c r="F2780">
        <v>92.25</v>
      </c>
      <c r="G2780" s="1">
        <v>45671</v>
      </c>
      <c r="H2780">
        <v>33.51</v>
      </c>
      <c r="I2780" s="1">
        <v>45671</v>
      </c>
      <c r="J2780">
        <v>15</v>
      </c>
      <c r="K2780" s="1">
        <v>45539</v>
      </c>
      <c r="L2780">
        <v>101.358</v>
      </c>
    </row>
    <row r="2781" spans="1:12" x14ac:dyDescent="0.25">
      <c r="A2781" s="1">
        <v>45646</v>
      </c>
      <c r="B2781">
        <v>18.36</v>
      </c>
      <c r="C2781" s="1">
        <v>45679</v>
      </c>
      <c r="D2781">
        <v>16.809999999999999</v>
      </c>
      <c r="E2781" s="1">
        <v>45631</v>
      </c>
      <c r="F2781">
        <v>91.48</v>
      </c>
      <c r="G2781" s="1">
        <v>45672</v>
      </c>
      <c r="H2781">
        <v>32.93</v>
      </c>
      <c r="I2781" s="1">
        <v>45672</v>
      </c>
      <c r="J2781">
        <v>15.23</v>
      </c>
      <c r="K2781" s="1">
        <v>45540</v>
      </c>
      <c r="L2781">
        <v>101.107</v>
      </c>
    </row>
    <row r="2782" spans="1:12" x14ac:dyDescent="0.25">
      <c r="A2782" s="1">
        <v>45649</v>
      </c>
      <c r="B2782">
        <v>16.78</v>
      </c>
      <c r="C2782" s="1">
        <v>45680</v>
      </c>
      <c r="D2782">
        <v>16.309999999999999</v>
      </c>
      <c r="E2782" s="1">
        <v>45632</v>
      </c>
      <c r="F2782">
        <v>83.2</v>
      </c>
      <c r="G2782" s="1">
        <v>45673</v>
      </c>
      <c r="H2782">
        <v>33.130000000000003</v>
      </c>
      <c r="I2782" s="1">
        <v>45673</v>
      </c>
      <c r="J2782">
        <v>15.4</v>
      </c>
      <c r="K2782" s="1">
        <v>45541</v>
      </c>
      <c r="L2782">
        <v>101.17700000000001</v>
      </c>
    </row>
    <row r="2783" spans="1:12" x14ac:dyDescent="0.25">
      <c r="A2783" s="1">
        <v>45650</v>
      </c>
      <c r="B2783">
        <v>14.27</v>
      </c>
      <c r="C2783" s="1">
        <v>45681</v>
      </c>
      <c r="D2783">
        <v>15.46</v>
      </c>
      <c r="E2783" s="1">
        <v>45635</v>
      </c>
      <c r="F2783">
        <v>85.63</v>
      </c>
      <c r="G2783" s="1">
        <v>45674</v>
      </c>
      <c r="H2783">
        <v>33.520000000000003</v>
      </c>
      <c r="I2783" s="1">
        <v>45674</v>
      </c>
      <c r="J2783">
        <v>14.98</v>
      </c>
      <c r="K2783" s="1">
        <v>45544</v>
      </c>
      <c r="L2783">
        <v>101.55200000000001</v>
      </c>
    </row>
    <row r="2784" spans="1:12" x14ac:dyDescent="0.25">
      <c r="A2784" s="1">
        <v>45652</v>
      </c>
      <c r="B2784">
        <v>14.73</v>
      </c>
      <c r="C2784" s="1">
        <v>45684</v>
      </c>
      <c r="D2784">
        <v>17.32</v>
      </c>
      <c r="E2784" s="1">
        <v>45636</v>
      </c>
      <c r="F2784">
        <v>90.1</v>
      </c>
      <c r="G2784" s="1">
        <v>45678</v>
      </c>
      <c r="H2784">
        <v>35.1</v>
      </c>
      <c r="I2784" s="1">
        <v>45678</v>
      </c>
      <c r="J2784">
        <v>15.5</v>
      </c>
      <c r="K2784" s="1">
        <v>45545</v>
      </c>
      <c r="L2784">
        <v>101.63</v>
      </c>
    </row>
    <row r="2785" spans="1:12" x14ac:dyDescent="0.25">
      <c r="A2785" s="1">
        <v>45653</v>
      </c>
      <c r="B2785">
        <v>15.95</v>
      </c>
      <c r="C2785" s="1">
        <v>45685</v>
      </c>
      <c r="D2785">
        <v>16.13</v>
      </c>
      <c r="E2785" s="1">
        <v>45637</v>
      </c>
      <c r="F2785">
        <v>82.4</v>
      </c>
      <c r="G2785" s="1">
        <v>45679</v>
      </c>
      <c r="H2785">
        <v>34.68</v>
      </c>
      <c r="I2785" s="1">
        <v>45679</v>
      </c>
      <c r="J2785">
        <v>15.24</v>
      </c>
      <c r="K2785" s="1">
        <v>45546</v>
      </c>
      <c r="L2785">
        <v>101.684</v>
      </c>
    </row>
    <row r="2786" spans="1:12" x14ac:dyDescent="0.25">
      <c r="A2786" s="1">
        <v>45656</v>
      </c>
      <c r="B2786">
        <v>17.399999999999999</v>
      </c>
      <c r="C2786" s="1">
        <v>45686</v>
      </c>
      <c r="D2786">
        <v>18.11</v>
      </c>
      <c r="E2786" s="1">
        <v>45638</v>
      </c>
      <c r="F2786">
        <v>82.66</v>
      </c>
      <c r="G2786" s="1">
        <v>45680</v>
      </c>
      <c r="H2786">
        <v>34.18</v>
      </c>
      <c r="I2786" s="1">
        <v>45680</v>
      </c>
      <c r="J2786">
        <v>14.95</v>
      </c>
      <c r="K2786" s="1">
        <v>45547</v>
      </c>
      <c r="L2786">
        <v>101.366</v>
      </c>
    </row>
    <row r="2787" spans="1:12" x14ac:dyDescent="0.25">
      <c r="A2787" s="1">
        <v>45657</v>
      </c>
      <c r="B2787">
        <v>17.350000000000001</v>
      </c>
      <c r="C2787" s="1">
        <v>45687</v>
      </c>
      <c r="D2787">
        <v>17.489999999999998</v>
      </c>
      <c r="E2787" s="1">
        <v>45639</v>
      </c>
      <c r="F2787">
        <v>85.66</v>
      </c>
      <c r="G2787" s="1">
        <v>45681</v>
      </c>
      <c r="H2787">
        <v>29.98</v>
      </c>
      <c r="I2787" s="1">
        <v>45681</v>
      </c>
      <c r="J2787">
        <v>14.85</v>
      </c>
      <c r="K2787" s="1">
        <v>45548</v>
      </c>
      <c r="L2787">
        <v>101.114</v>
      </c>
    </row>
    <row r="2788" spans="1:12" x14ac:dyDescent="0.25">
      <c r="A2788" s="1">
        <v>45659</v>
      </c>
      <c r="B2788">
        <v>17.93</v>
      </c>
      <c r="C2788" s="1">
        <v>45688</v>
      </c>
      <c r="D2788">
        <v>18.14</v>
      </c>
      <c r="E2788" s="1">
        <v>45642</v>
      </c>
      <c r="F2788">
        <v>90.88</v>
      </c>
      <c r="G2788" s="1">
        <v>45684</v>
      </c>
      <c r="H2788">
        <v>35.979999999999997</v>
      </c>
      <c r="I2788" s="1">
        <v>45684</v>
      </c>
      <c r="J2788">
        <v>15.23</v>
      </c>
      <c r="K2788" s="1">
        <v>45551</v>
      </c>
      <c r="L2788">
        <v>100.76300000000001</v>
      </c>
    </row>
    <row r="2789" spans="1:12" x14ac:dyDescent="0.25">
      <c r="A2789" s="1">
        <v>45660</v>
      </c>
      <c r="B2789">
        <v>16.13</v>
      </c>
      <c r="C2789" s="1">
        <v>45691</v>
      </c>
      <c r="D2789">
        <v>18.64</v>
      </c>
      <c r="E2789" s="1">
        <v>45643</v>
      </c>
      <c r="F2789">
        <v>90.42</v>
      </c>
      <c r="G2789" s="1">
        <v>45685</v>
      </c>
      <c r="H2789">
        <v>31.95</v>
      </c>
      <c r="I2789" s="1">
        <v>45685</v>
      </c>
      <c r="J2789">
        <v>15.46</v>
      </c>
      <c r="K2789" s="1">
        <v>45552</v>
      </c>
      <c r="L2789">
        <v>100.89400000000001</v>
      </c>
    </row>
    <row r="2790" spans="1:12" x14ac:dyDescent="0.25">
      <c r="A2790" s="1">
        <v>45663</v>
      </c>
      <c r="B2790">
        <v>16.04</v>
      </c>
      <c r="C2790" s="1">
        <v>45692</v>
      </c>
      <c r="D2790">
        <v>18.09</v>
      </c>
      <c r="E2790" s="1">
        <v>45644</v>
      </c>
      <c r="F2790">
        <v>87.21</v>
      </c>
      <c r="G2790" s="1">
        <v>45686</v>
      </c>
      <c r="H2790">
        <v>33.020000000000003</v>
      </c>
      <c r="I2790" s="1">
        <v>45686</v>
      </c>
      <c r="J2790">
        <v>14.84</v>
      </c>
      <c r="K2790" s="1">
        <v>45553</v>
      </c>
      <c r="L2790">
        <v>100.596</v>
      </c>
    </row>
    <row r="2791" spans="1:12" x14ac:dyDescent="0.25">
      <c r="A2791" s="1">
        <v>45664</v>
      </c>
      <c r="B2791">
        <v>17.82</v>
      </c>
      <c r="C2791" s="1">
        <v>45693</v>
      </c>
      <c r="D2791">
        <v>18.13</v>
      </c>
      <c r="E2791" s="1">
        <v>45645</v>
      </c>
      <c r="F2791">
        <v>90.41</v>
      </c>
      <c r="G2791" s="1">
        <v>45687</v>
      </c>
      <c r="H2791">
        <v>31.05</v>
      </c>
      <c r="I2791" s="1">
        <v>45687</v>
      </c>
      <c r="J2791">
        <v>16.09</v>
      </c>
      <c r="K2791" s="1">
        <v>45554</v>
      </c>
      <c r="L2791">
        <v>100.614</v>
      </c>
    </row>
    <row r="2792" spans="1:12" x14ac:dyDescent="0.25">
      <c r="A2792" s="1">
        <v>45665</v>
      </c>
      <c r="B2792">
        <v>17.7</v>
      </c>
      <c r="C2792" s="1">
        <v>45694</v>
      </c>
      <c r="D2792">
        <v>16.440000000000001</v>
      </c>
      <c r="E2792" s="1">
        <v>45646</v>
      </c>
      <c r="F2792">
        <v>91.75</v>
      </c>
      <c r="G2792" s="1">
        <v>45688</v>
      </c>
      <c r="H2792">
        <v>29.96</v>
      </c>
      <c r="I2792" s="1">
        <v>45688</v>
      </c>
      <c r="J2792">
        <v>15.82</v>
      </c>
      <c r="K2792" s="1">
        <v>45555</v>
      </c>
      <c r="L2792">
        <v>100.723</v>
      </c>
    </row>
    <row r="2793" spans="1:12" x14ac:dyDescent="0.25">
      <c r="A2793" s="1">
        <v>45666</v>
      </c>
      <c r="B2793">
        <v>18.07</v>
      </c>
      <c r="C2793" s="1">
        <v>45695</v>
      </c>
      <c r="D2793">
        <v>17.239999999999998</v>
      </c>
      <c r="E2793" s="1">
        <v>45649</v>
      </c>
      <c r="F2793">
        <v>95.85</v>
      </c>
      <c r="G2793" s="1">
        <v>45691</v>
      </c>
      <c r="H2793">
        <v>35.299999999999997</v>
      </c>
      <c r="I2793" s="1">
        <v>45691</v>
      </c>
      <c r="J2793">
        <v>16.809999999999999</v>
      </c>
      <c r="K2793" s="1">
        <v>45558</v>
      </c>
      <c r="L2793">
        <v>100.851</v>
      </c>
    </row>
    <row r="2794" spans="1:12" x14ac:dyDescent="0.25">
      <c r="A2794" s="1">
        <v>45667</v>
      </c>
      <c r="B2794">
        <v>19.54</v>
      </c>
      <c r="C2794" s="1">
        <v>45698</v>
      </c>
      <c r="D2794">
        <v>17.350000000000001</v>
      </c>
      <c r="E2794" s="1">
        <v>45650</v>
      </c>
      <c r="F2794">
        <v>96.95</v>
      </c>
      <c r="G2794" s="1">
        <v>45692</v>
      </c>
      <c r="H2794">
        <v>33.619999999999997</v>
      </c>
      <c r="I2794" s="1">
        <v>45692</v>
      </c>
      <c r="J2794">
        <v>17.11</v>
      </c>
      <c r="K2794" s="1">
        <v>45559</v>
      </c>
      <c r="L2794">
        <v>100.46599999999999</v>
      </c>
    </row>
    <row r="2795" spans="1:12" x14ac:dyDescent="0.25">
      <c r="A2795" s="1">
        <v>45670</v>
      </c>
      <c r="B2795">
        <v>19.190000000000001</v>
      </c>
      <c r="C2795" s="1">
        <v>45699</v>
      </c>
      <c r="D2795">
        <v>17.78</v>
      </c>
      <c r="E2795" s="1">
        <v>45652</v>
      </c>
      <c r="F2795">
        <v>95.2</v>
      </c>
      <c r="G2795" s="1">
        <v>45693</v>
      </c>
      <c r="H2795">
        <v>34.25</v>
      </c>
      <c r="I2795" s="1">
        <v>45693</v>
      </c>
      <c r="J2795">
        <v>17.190000000000001</v>
      </c>
      <c r="K2795" s="1">
        <v>45560</v>
      </c>
      <c r="L2795">
        <v>100.91200000000001</v>
      </c>
    </row>
    <row r="2796" spans="1:12" x14ac:dyDescent="0.25">
      <c r="A2796" s="1">
        <v>45671</v>
      </c>
      <c r="B2796">
        <v>18.71</v>
      </c>
      <c r="C2796" s="1">
        <v>45700</v>
      </c>
      <c r="D2796">
        <v>17.100000000000001</v>
      </c>
      <c r="E2796" s="1">
        <v>45653</v>
      </c>
      <c r="F2796">
        <v>94.8</v>
      </c>
      <c r="G2796" s="1">
        <v>45694</v>
      </c>
      <c r="H2796">
        <v>36.25</v>
      </c>
      <c r="I2796" s="1">
        <v>45694</v>
      </c>
      <c r="J2796">
        <v>16.27</v>
      </c>
      <c r="K2796" s="1">
        <v>45561</v>
      </c>
      <c r="L2796">
        <v>100.562</v>
      </c>
    </row>
    <row r="2797" spans="1:12" x14ac:dyDescent="0.25">
      <c r="A2797" s="1">
        <v>45672</v>
      </c>
      <c r="B2797">
        <v>16.12</v>
      </c>
      <c r="C2797" s="1">
        <v>45701</v>
      </c>
      <c r="D2797">
        <v>16.920000000000002</v>
      </c>
      <c r="E2797" s="1">
        <v>45656</v>
      </c>
      <c r="F2797">
        <v>99.08</v>
      </c>
      <c r="G2797" s="1">
        <v>45695</v>
      </c>
      <c r="H2797">
        <v>29.66</v>
      </c>
      <c r="I2797" s="1">
        <v>45695</v>
      </c>
      <c r="J2797">
        <v>16.23</v>
      </c>
      <c r="K2797" s="1">
        <v>45562</v>
      </c>
      <c r="L2797">
        <v>100.381</v>
      </c>
    </row>
    <row r="2798" spans="1:12" x14ac:dyDescent="0.25">
      <c r="A2798" s="1">
        <v>45673</v>
      </c>
      <c r="B2798">
        <v>16.600000000000001</v>
      </c>
      <c r="C2798" s="1">
        <v>45702</v>
      </c>
      <c r="D2798">
        <v>16.59</v>
      </c>
      <c r="E2798" s="1">
        <v>45657</v>
      </c>
      <c r="F2798">
        <v>98.8</v>
      </c>
      <c r="G2798" s="1">
        <v>45698</v>
      </c>
      <c r="H2798">
        <v>32.090000000000003</v>
      </c>
      <c r="I2798" s="1">
        <v>45698</v>
      </c>
      <c r="J2798">
        <v>17.59</v>
      </c>
      <c r="K2798" s="1">
        <v>45565</v>
      </c>
      <c r="L2798">
        <v>100.779</v>
      </c>
    </row>
    <row r="2799" spans="1:12" x14ac:dyDescent="0.25">
      <c r="A2799" s="1">
        <v>45674</v>
      </c>
      <c r="B2799">
        <v>15.97</v>
      </c>
      <c r="C2799" s="1">
        <v>45706</v>
      </c>
      <c r="D2799">
        <v>17.05</v>
      </c>
      <c r="E2799" s="1">
        <v>45659</v>
      </c>
      <c r="F2799">
        <v>96.67</v>
      </c>
      <c r="G2799" s="1">
        <v>45699</v>
      </c>
      <c r="H2799">
        <v>29.76</v>
      </c>
      <c r="I2799" s="1">
        <v>45699</v>
      </c>
      <c r="J2799">
        <v>17.48</v>
      </c>
      <c r="K2799" s="1">
        <v>45566</v>
      </c>
      <c r="L2799">
        <v>101.194</v>
      </c>
    </row>
    <row r="2800" spans="1:12" x14ac:dyDescent="0.25">
      <c r="A2800" s="1">
        <v>45677</v>
      </c>
      <c r="B2800">
        <v>15.81</v>
      </c>
      <c r="C2800" s="1">
        <v>45707</v>
      </c>
      <c r="D2800">
        <v>17.18</v>
      </c>
      <c r="E2800" s="1">
        <v>45660</v>
      </c>
      <c r="F2800">
        <v>93.35</v>
      </c>
      <c r="G2800" s="1">
        <v>45700</v>
      </c>
      <c r="H2800">
        <v>31.79</v>
      </c>
      <c r="I2800" s="1">
        <v>45700</v>
      </c>
      <c r="J2800">
        <v>17.34</v>
      </c>
      <c r="K2800" s="1">
        <v>45567</v>
      </c>
      <c r="L2800">
        <v>101.67700000000001</v>
      </c>
    </row>
    <row r="2801" spans="1:12" x14ac:dyDescent="0.25">
      <c r="A2801" s="1">
        <v>45678</v>
      </c>
      <c r="B2801">
        <v>15.06</v>
      </c>
      <c r="C2801" s="1">
        <v>45708</v>
      </c>
      <c r="D2801">
        <v>19.62</v>
      </c>
      <c r="E2801" s="1">
        <v>45663</v>
      </c>
      <c r="F2801">
        <v>97.89</v>
      </c>
      <c r="G2801" s="1">
        <v>45701</v>
      </c>
      <c r="H2801">
        <v>31.47</v>
      </c>
      <c r="I2801" s="1">
        <v>45701</v>
      </c>
      <c r="J2801">
        <v>17.13</v>
      </c>
      <c r="K2801" s="1">
        <v>45568</v>
      </c>
      <c r="L2801">
        <v>101.989</v>
      </c>
    </row>
    <row r="2802" spans="1:12" x14ac:dyDescent="0.25">
      <c r="A2802" s="1">
        <v>45679</v>
      </c>
      <c r="B2802">
        <v>15.1</v>
      </c>
      <c r="C2802" s="1">
        <v>45709</v>
      </c>
      <c r="D2802">
        <v>18.61</v>
      </c>
      <c r="E2802" s="1">
        <v>45664</v>
      </c>
      <c r="F2802">
        <v>102.78</v>
      </c>
      <c r="G2802" s="1">
        <v>45702</v>
      </c>
      <c r="H2802">
        <v>28.46</v>
      </c>
      <c r="I2802" s="1">
        <v>45702</v>
      </c>
      <c r="J2802">
        <v>17.23</v>
      </c>
      <c r="K2802" s="1">
        <v>45569</v>
      </c>
      <c r="L2802">
        <v>102.52</v>
      </c>
    </row>
    <row r="2803" spans="1:12" x14ac:dyDescent="0.25">
      <c r="A2803" s="1">
        <v>45680</v>
      </c>
      <c r="B2803">
        <v>15.02</v>
      </c>
      <c r="C2803" s="1">
        <v>45712</v>
      </c>
      <c r="D2803">
        <v>17.690000000000001</v>
      </c>
      <c r="E2803" s="1">
        <v>45665</v>
      </c>
      <c r="F2803">
        <v>100.76</v>
      </c>
      <c r="G2803" s="1">
        <v>45706</v>
      </c>
      <c r="H2803">
        <v>27.47</v>
      </c>
      <c r="I2803" s="1">
        <v>45706</v>
      </c>
      <c r="J2803">
        <v>18.03</v>
      </c>
      <c r="K2803" s="1">
        <v>45572</v>
      </c>
      <c r="L2803">
        <v>102.53700000000001</v>
      </c>
    </row>
    <row r="2804" spans="1:12" x14ac:dyDescent="0.25">
      <c r="A2804" s="1">
        <v>45681</v>
      </c>
      <c r="B2804">
        <v>14.85</v>
      </c>
      <c r="C2804" s="1">
        <v>45713</v>
      </c>
      <c r="D2804">
        <v>18.52</v>
      </c>
      <c r="E2804" s="1">
        <v>45666</v>
      </c>
      <c r="F2804">
        <v>99.73</v>
      </c>
      <c r="G2804" s="1">
        <v>45707</v>
      </c>
      <c r="H2804">
        <v>28.36</v>
      </c>
      <c r="I2804" s="1">
        <v>45707</v>
      </c>
      <c r="J2804">
        <v>16.760000000000002</v>
      </c>
      <c r="K2804" s="1">
        <v>45573</v>
      </c>
      <c r="L2804">
        <v>102.54900000000001</v>
      </c>
    </row>
    <row r="2805" spans="1:12" x14ac:dyDescent="0.25">
      <c r="A2805" s="1">
        <v>45684</v>
      </c>
      <c r="B2805">
        <v>17.899999999999999</v>
      </c>
      <c r="C2805" s="1">
        <v>45714</v>
      </c>
      <c r="D2805">
        <v>18.48</v>
      </c>
      <c r="E2805" s="1">
        <v>45667</v>
      </c>
      <c r="F2805">
        <v>96.57</v>
      </c>
      <c r="G2805" s="1">
        <v>45708</v>
      </c>
      <c r="H2805">
        <v>29.3</v>
      </c>
      <c r="I2805" s="1">
        <v>45708</v>
      </c>
      <c r="J2805">
        <v>16.45</v>
      </c>
      <c r="K2805" s="1">
        <v>45574</v>
      </c>
      <c r="L2805">
        <v>102.928</v>
      </c>
    </row>
    <row r="2806" spans="1:12" x14ac:dyDescent="0.25">
      <c r="A2806" s="1">
        <v>45685</v>
      </c>
      <c r="B2806">
        <v>16.41</v>
      </c>
      <c r="C2806" s="1">
        <v>45715</v>
      </c>
      <c r="D2806">
        <v>20.05</v>
      </c>
      <c r="E2806" s="1">
        <v>45670</v>
      </c>
      <c r="F2806">
        <v>103.51</v>
      </c>
      <c r="G2806" s="1">
        <v>45709</v>
      </c>
      <c r="H2806">
        <v>35.79</v>
      </c>
      <c r="I2806" s="1">
        <v>45709</v>
      </c>
      <c r="J2806">
        <v>16.55</v>
      </c>
      <c r="K2806" s="1">
        <v>45575</v>
      </c>
      <c r="L2806">
        <v>102.988</v>
      </c>
    </row>
    <row r="2807" spans="1:12" x14ac:dyDescent="0.25">
      <c r="A2807" s="1">
        <v>45686</v>
      </c>
      <c r="B2807">
        <v>16.559999999999999</v>
      </c>
      <c r="C2807" s="1">
        <v>45716</v>
      </c>
      <c r="D2807">
        <v>20.46</v>
      </c>
      <c r="E2807" s="1">
        <v>45671</v>
      </c>
      <c r="F2807">
        <v>101.99</v>
      </c>
      <c r="G2807" s="1">
        <v>45712</v>
      </c>
      <c r="H2807">
        <v>31.3</v>
      </c>
      <c r="I2807" s="1">
        <v>45712</v>
      </c>
      <c r="J2807">
        <v>16.73</v>
      </c>
      <c r="K2807" s="1">
        <v>45576</v>
      </c>
      <c r="L2807">
        <v>102.89</v>
      </c>
    </row>
    <row r="2808" spans="1:12" x14ac:dyDescent="0.25">
      <c r="A2808" s="1">
        <v>45687</v>
      </c>
      <c r="B2808">
        <v>15.84</v>
      </c>
      <c r="C2808" s="1">
        <v>45719</v>
      </c>
      <c r="D2808">
        <v>19.79</v>
      </c>
      <c r="E2808" s="1">
        <v>45672</v>
      </c>
      <c r="F2808">
        <v>93.1</v>
      </c>
      <c r="G2808" s="1">
        <v>45713</v>
      </c>
      <c r="H2808">
        <v>32.770000000000003</v>
      </c>
      <c r="I2808" s="1">
        <v>45713</v>
      </c>
      <c r="J2808">
        <v>16.72</v>
      </c>
      <c r="K2808" s="1">
        <v>45579</v>
      </c>
      <c r="L2808">
        <v>103.298</v>
      </c>
    </row>
    <row r="2809" spans="1:12" x14ac:dyDescent="0.25">
      <c r="A2809" s="1">
        <v>45688</v>
      </c>
      <c r="B2809">
        <v>16.43</v>
      </c>
      <c r="C2809" s="1">
        <v>45720</v>
      </c>
      <c r="D2809">
        <v>21.44</v>
      </c>
      <c r="E2809" s="1">
        <v>45673</v>
      </c>
      <c r="F2809">
        <v>92.72</v>
      </c>
      <c r="G2809" s="1">
        <v>45714</v>
      </c>
      <c r="H2809">
        <v>33.36</v>
      </c>
      <c r="I2809" s="1">
        <v>45714</v>
      </c>
      <c r="J2809">
        <v>16.36</v>
      </c>
      <c r="K2809" s="1">
        <v>45580</v>
      </c>
      <c r="L2809">
        <v>103.261</v>
      </c>
    </row>
    <row r="2810" spans="1:12" x14ac:dyDescent="0.25">
      <c r="A2810" s="1">
        <v>45691</v>
      </c>
      <c r="B2810">
        <v>18.62</v>
      </c>
      <c r="C2810" s="1">
        <v>45721</v>
      </c>
      <c r="D2810">
        <v>22.06</v>
      </c>
      <c r="E2810" s="1">
        <v>45674</v>
      </c>
      <c r="F2810">
        <v>95.6</v>
      </c>
      <c r="G2810" s="1">
        <v>45715</v>
      </c>
      <c r="H2810">
        <v>31.72</v>
      </c>
      <c r="I2810" s="1">
        <v>45715</v>
      </c>
      <c r="J2810">
        <v>16.45</v>
      </c>
      <c r="K2810" s="1">
        <v>45581</v>
      </c>
      <c r="L2810">
        <v>103.59</v>
      </c>
    </row>
    <row r="2811" spans="1:12" x14ac:dyDescent="0.25">
      <c r="A2811" s="1">
        <v>45692</v>
      </c>
      <c r="B2811">
        <v>17.21</v>
      </c>
      <c r="C2811" s="1">
        <v>45722</v>
      </c>
      <c r="D2811">
        <v>22.36</v>
      </c>
      <c r="E2811" s="1">
        <v>45678</v>
      </c>
      <c r="F2811">
        <v>96.78</v>
      </c>
      <c r="G2811" s="1">
        <v>45716</v>
      </c>
      <c r="H2811">
        <v>29.97</v>
      </c>
      <c r="I2811" s="1">
        <v>45716</v>
      </c>
      <c r="J2811">
        <v>15.82</v>
      </c>
      <c r="K2811" s="1">
        <v>45582</v>
      </c>
      <c r="L2811">
        <v>103.825</v>
      </c>
    </row>
    <row r="2812" spans="1:12" x14ac:dyDescent="0.25">
      <c r="A2812" s="1">
        <v>45693</v>
      </c>
      <c r="B2812">
        <v>15.77</v>
      </c>
      <c r="C2812" s="1">
        <v>45723</v>
      </c>
      <c r="D2812">
        <v>22.53</v>
      </c>
      <c r="E2812" s="1">
        <v>45679</v>
      </c>
      <c r="F2812">
        <v>89.9</v>
      </c>
      <c r="G2812" s="1">
        <v>45719</v>
      </c>
      <c r="H2812">
        <v>38.520000000000003</v>
      </c>
      <c r="I2812" s="1">
        <v>45719</v>
      </c>
      <c r="J2812">
        <v>16.809999999999999</v>
      </c>
      <c r="K2812" s="1">
        <v>45583</v>
      </c>
      <c r="L2812">
        <v>103.49299999999999</v>
      </c>
    </row>
    <row r="2813" spans="1:12" x14ac:dyDescent="0.25">
      <c r="A2813" s="1">
        <v>45694</v>
      </c>
      <c r="B2813">
        <v>15.5</v>
      </c>
      <c r="C2813" s="1">
        <v>45726</v>
      </c>
      <c r="D2813">
        <v>23.79</v>
      </c>
      <c r="E2813" s="1">
        <v>45680</v>
      </c>
      <c r="F2813">
        <v>88.51</v>
      </c>
      <c r="G2813" s="1">
        <v>45720</v>
      </c>
      <c r="H2813">
        <v>37.520000000000003</v>
      </c>
      <c r="I2813" s="1">
        <v>45720</v>
      </c>
      <c r="J2813">
        <v>17.25</v>
      </c>
      <c r="K2813" s="1">
        <v>45586</v>
      </c>
      <c r="L2813">
        <v>104.012</v>
      </c>
    </row>
    <row r="2814" spans="1:12" x14ac:dyDescent="0.25">
      <c r="A2814" s="1">
        <v>45695</v>
      </c>
      <c r="B2814">
        <v>16.54</v>
      </c>
      <c r="C2814" s="1">
        <v>45727</v>
      </c>
      <c r="D2814">
        <v>27.38</v>
      </c>
      <c r="E2814" s="1">
        <v>45681</v>
      </c>
      <c r="F2814">
        <v>86.75</v>
      </c>
      <c r="G2814" s="1">
        <v>45721</v>
      </c>
      <c r="H2814">
        <v>35.04</v>
      </c>
      <c r="I2814" s="1">
        <v>45721</v>
      </c>
      <c r="J2814">
        <v>16.920000000000002</v>
      </c>
      <c r="K2814" s="1">
        <v>45587</v>
      </c>
      <c r="L2814">
        <v>104.075</v>
      </c>
    </row>
    <row r="2815" spans="1:12" x14ac:dyDescent="0.25">
      <c r="A2815" s="1">
        <v>45698</v>
      </c>
      <c r="B2815">
        <v>15.81</v>
      </c>
      <c r="C2815" s="1">
        <v>45728</v>
      </c>
      <c r="D2815">
        <v>21.79</v>
      </c>
      <c r="E2815" s="1">
        <v>45684</v>
      </c>
      <c r="F2815">
        <v>95.05</v>
      </c>
      <c r="G2815" s="1">
        <v>45722</v>
      </c>
      <c r="H2815">
        <v>37.14</v>
      </c>
      <c r="I2815" s="1">
        <v>45722</v>
      </c>
      <c r="J2815">
        <v>16.829999999999998</v>
      </c>
      <c r="K2815" s="1">
        <v>45588</v>
      </c>
      <c r="L2815">
        <v>104.431</v>
      </c>
    </row>
    <row r="2816" spans="1:12" x14ac:dyDescent="0.25">
      <c r="A2816" s="1">
        <v>45699</v>
      </c>
      <c r="B2816">
        <v>16.02</v>
      </c>
      <c r="C2816" s="1">
        <v>45729</v>
      </c>
      <c r="D2816">
        <v>23.46</v>
      </c>
      <c r="E2816" s="1">
        <v>45685</v>
      </c>
      <c r="F2816">
        <v>92.83</v>
      </c>
      <c r="G2816" s="1">
        <v>45723</v>
      </c>
      <c r="H2816">
        <v>29.75</v>
      </c>
      <c r="I2816" s="1">
        <v>45723</v>
      </c>
      <c r="J2816">
        <v>16.190000000000001</v>
      </c>
      <c r="K2816" s="1">
        <v>45589</v>
      </c>
      <c r="L2816">
        <v>104.05800000000001</v>
      </c>
    </row>
    <row r="2817" spans="1:12" x14ac:dyDescent="0.25">
      <c r="A2817" s="1">
        <v>45700</v>
      </c>
      <c r="B2817">
        <v>15.89</v>
      </c>
      <c r="C2817" s="1">
        <v>45730</v>
      </c>
      <c r="D2817">
        <v>20.72</v>
      </c>
      <c r="E2817" s="1">
        <v>45686</v>
      </c>
      <c r="F2817">
        <v>90.73</v>
      </c>
      <c r="G2817" s="1">
        <v>45726</v>
      </c>
      <c r="H2817">
        <v>34.82</v>
      </c>
      <c r="I2817" s="1">
        <v>45726</v>
      </c>
      <c r="J2817">
        <v>17.059999999999999</v>
      </c>
      <c r="K2817" s="1">
        <v>45590</v>
      </c>
      <c r="L2817">
        <v>104.25700000000001</v>
      </c>
    </row>
    <row r="2818" spans="1:12" x14ac:dyDescent="0.25">
      <c r="A2818" s="1">
        <v>45701</v>
      </c>
      <c r="B2818">
        <v>15.1</v>
      </c>
      <c r="C2818" s="1">
        <v>45733</v>
      </c>
      <c r="D2818">
        <v>22.78</v>
      </c>
      <c r="E2818" s="1">
        <v>45687</v>
      </c>
      <c r="F2818">
        <v>90.54</v>
      </c>
      <c r="G2818" s="1">
        <v>45727</v>
      </c>
      <c r="H2818">
        <v>31.83</v>
      </c>
      <c r="I2818" s="1">
        <v>45727</v>
      </c>
      <c r="J2818">
        <v>17.14</v>
      </c>
      <c r="K2818" s="1">
        <v>45593</v>
      </c>
      <c r="L2818">
        <v>104.316</v>
      </c>
    </row>
    <row r="2819" spans="1:12" x14ac:dyDescent="0.25">
      <c r="A2819" s="1">
        <v>45702</v>
      </c>
      <c r="B2819">
        <v>14.77</v>
      </c>
      <c r="C2819" s="1">
        <v>45734</v>
      </c>
      <c r="D2819">
        <v>22.47</v>
      </c>
      <c r="E2819" s="1">
        <v>45688</v>
      </c>
      <c r="F2819">
        <v>91.76</v>
      </c>
      <c r="G2819" s="1">
        <v>45728</v>
      </c>
      <c r="H2819">
        <v>31.09</v>
      </c>
      <c r="I2819" s="1">
        <v>45728</v>
      </c>
      <c r="J2819">
        <v>16.82</v>
      </c>
      <c r="K2819" s="1">
        <v>45594</v>
      </c>
      <c r="L2819">
        <v>104.316</v>
      </c>
    </row>
    <row r="2820" spans="1:12" x14ac:dyDescent="0.25">
      <c r="A2820" s="1">
        <v>45705</v>
      </c>
      <c r="B2820">
        <v>15.37</v>
      </c>
      <c r="C2820" s="1">
        <v>45735</v>
      </c>
      <c r="D2820">
        <v>19.399999999999999</v>
      </c>
      <c r="E2820" s="1">
        <v>45691</v>
      </c>
      <c r="F2820">
        <v>94.15</v>
      </c>
      <c r="G2820" s="1">
        <v>45729</v>
      </c>
      <c r="H2820">
        <v>32.799999999999997</v>
      </c>
      <c r="I2820" s="1">
        <v>45729</v>
      </c>
      <c r="J2820">
        <v>17.41</v>
      </c>
      <c r="K2820" s="1">
        <v>45595</v>
      </c>
      <c r="L2820">
        <v>103.994</v>
      </c>
    </row>
    <row r="2821" spans="1:12" x14ac:dyDescent="0.25">
      <c r="A2821" s="1">
        <v>45706</v>
      </c>
      <c r="B2821">
        <v>15.35</v>
      </c>
      <c r="C2821" s="1">
        <v>45736</v>
      </c>
      <c r="D2821">
        <v>20.27</v>
      </c>
      <c r="E2821" s="1">
        <v>45692</v>
      </c>
      <c r="F2821">
        <v>90.28</v>
      </c>
      <c r="G2821" s="1">
        <v>45730</v>
      </c>
      <c r="H2821">
        <v>33.520000000000003</v>
      </c>
      <c r="I2821" s="1">
        <v>45730</v>
      </c>
      <c r="J2821">
        <v>17.13</v>
      </c>
      <c r="K2821" s="1">
        <v>45596</v>
      </c>
      <c r="L2821">
        <v>103.976</v>
      </c>
    </row>
    <row r="2822" spans="1:12" x14ac:dyDescent="0.25">
      <c r="A2822" s="1">
        <v>45707</v>
      </c>
      <c r="B2822">
        <v>15.27</v>
      </c>
      <c r="C2822" s="1">
        <v>45737</v>
      </c>
      <c r="D2822">
        <v>18.72</v>
      </c>
      <c r="E2822" s="1">
        <v>45693</v>
      </c>
      <c r="F2822">
        <v>94.68</v>
      </c>
      <c r="G2822" s="1">
        <v>45733</v>
      </c>
      <c r="H2822">
        <v>30.9</v>
      </c>
      <c r="I2822" s="1">
        <v>45733</v>
      </c>
      <c r="J2822">
        <v>17.600000000000001</v>
      </c>
      <c r="K2822" s="1">
        <v>45597</v>
      </c>
      <c r="L2822">
        <v>104.282</v>
      </c>
    </row>
    <row r="2823" spans="1:12" x14ac:dyDescent="0.25">
      <c r="A2823" s="1">
        <v>45708</v>
      </c>
      <c r="B2823">
        <v>15.66</v>
      </c>
      <c r="C2823" s="1">
        <v>45740</v>
      </c>
      <c r="D2823">
        <v>19.91</v>
      </c>
      <c r="E2823" s="1">
        <v>45694</v>
      </c>
      <c r="F2823">
        <v>93.9</v>
      </c>
      <c r="G2823" s="1">
        <v>45734</v>
      </c>
      <c r="H2823">
        <v>36.119999999999997</v>
      </c>
      <c r="I2823" s="1">
        <v>45734</v>
      </c>
      <c r="J2823">
        <v>17.53</v>
      </c>
      <c r="K2823" s="1">
        <v>45600</v>
      </c>
      <c r="L2823">
        <v>103.88500000000001</v>
      </c>
    </row>
    <row r="2824" spans="1:12" x14ac:dyDescent="0.25">
      <c r="A2824" s="1">
        <v>45709</v>
      </c>
      <c r="B2824">
        <v>18.21</v>
      </c>
      <c r="C2824" s="1">
        <v>45741</v>
      </c>
      <c r="D2824">
        <v>18.78</v>
      </c>
      <c r="E2824" s="1">
        <v>45695</v>
      </c>
      <c r="F2824">
        <v>93.13</v>
      </c>
      <c r="G2824" s="1">
        <v>45735</v>
      </c>
      <c r="H2824">
        <v>33.869999999999997</v>
      </c>
      <c r="I2824" s="1">
        <v>45735</v>
      </c>
      <c r="J2824">
        <v>16.739999999999998</v>
      </c>
      <c r="K2824" s="1">
        <v>45601</v>
      </c>
      <c r="L2824">
        <v>103.423</v>
      </c>
    </row>
    <row r="2825" spans="1:12" x14ac:dyDescent="0.25">
      <c r="A2825" s="1">
        <v>45712</v>
      </c>
      <c r="B2825">
        <v>18.98</v>
      </c>
      <c r="C2825" s="1">
        <v>45742</v>
      </c>
      <c r="D2825">
        <v>19.149999999999999</v>
      </c>
      <c r="E2825" s="1">
        <v>45698</v>
      </c>
      <c r="F2825">
        <v>87.68</v>
      </c>
      <c r="G2825" s="1">
        <v>45736</v>
      </c>
      <c r="H2825">
        <v>29.72</v>
      </c>
      <c r="I2825" s="1">
        <v>45736</v>
      </c>
      <c r="J2825">
        <v>16.45</v>
      </c>
      <c r="K2825" s="1">
        <v>45602</v>
      </c>
      <c r="L2825">
        <v>105.08799999999999</v>
      </c>
    </row>
    <row r="2826" spans="1:12" x14ac:dyDescent="0.25">
      <c r="A2826" s="1">
        <v>45713</v>
      </c>
      <c r="B2826">
        <v>19.43</v>
      </c>
      <c r="C2826" s="1">
        <v>45743</v>
      </c>
      <c r="D2826">
        <v>20.46</v>
      </c>
      <c r="E2826" s="1">
        <v>45699</v>
      </c>
      <c r="F2826">
        <v>85.58</v>
      </c>
      <c r="G2826" s="1">
        <v>45737</v>
      </c>
      <c r="H2826">
        <v>28.43</v>
      </c>
      <c r="I2826" s="1">
        <v>45737</v>
      </c>
      <c r="J2826">
        <v>15.98</v>
      </c>
      <c r="K2826" s="1">
        <v>45603</v>
      </c>
      <c r="L2826">
        <v>104.508</v>
      </c>
    </row>
    <row r="2827" spans="1:12" x14ac:dyDescent="0.25">
      <c r="A2827" s="1">
        <v>45714</v>
      </c>
      <c r="B2827">
        <v>19.100000000000001</v>
      </c>
      <c r="C2827" s="1">
        <v>45744</v>
      </c>
      <c r="D2827">
        <v>20.18</v>
      </c>
      <c r="E2827" s="1">
        <v>45700</v>
      </c>
      <c r="F2827">
        <v>86.58</v>
      </c>
      <c r="G2827" s="1">
        <v>45740</v>
      </c>
      <c r="H2827">
        <v>29.67</v>
      </c>
      <c r="I2827" s="1">
        <v>45740</v>
      </c>
      <c r="J2827">
        <v>15.8</v>
      </c>
      <c r="K2827" s="1">
        <v>45604</v>
      </c>
      <c r="L2827">
        <v>104.997</v>
      </c>
    </row>
    <row r="2828" spans="1:12" x14ac:dyDescent="0.25">
      <c r="A2828" s="1">
        <v>45715</v>
      </c>
      <c r="B2828">
        <v>21.13</v>
      </c>
      <c r="C2828" s="1">
        <v>45747</v>
      </c>
      <c r="D2828">
        <v>19.3</v>
      </c>
      <c r="E2828" s="1">
        <v>45701</v>
      </c>
      <c r="F2828">
        <v>84.57</v>
      </c>
      <c r="G2828" s="1">
        <v>45741</v>
      </c>
      <c r="H2828">
        <v>28.27</v>
      </c>
      <c r="I2828" s="1">
        <v>45741</v>
      </c>
      <c r="J2828">
        <v>15.23</v>
      </c>
      <c r="K2828" s="1">
        <v>45607</v>
      </c>
      <c r="L2828">
        <v>105.54300000000001</v>
      </c>
    </row>
    <row r="2829" spans="1:12" x14ac:dyDescent="0.25">
      <c r="A2829" s="1">
        <v>45716</v>
      </c>
      <c r="B2829">
        <v>19.63</v>
      </c>
      <c r="C2829" s="1">
        <v>45748</v>
      </c>
      <c r="D2829">
        <v>21.09</v>
      </c>
      <c r="E2829" s="1">
        <v>45702</v>
      </c>
      <c r="F2829">
        <v>84.67</v>
      </c>
      <c r="G2829" s="1">
        <v>45742</v>
      </c>
      <c r="H2829">
        <v>28.84</v>
      </c>
      <c r="I2829" s="1">
        <v>45742</v>
      </c>
      <c r="J2829">
        <v>15.04</v>
      </c>
      <c r="K2829" s="1">
        <v>45608</v>
      </c>
      <c r="L2829">
        <v>106.024</v>
      </c>
    </row>
    <row r="2830" spans="1:12" x14ac:dyDescent="0.25">
      <c r="A2830" s="1">
        <v>45719</v>
      </c>
      <c r="B2830">
        <v>22.78</v>
      </c>
      <c r="C2830" s="1">
        <v>45749</v>
      </c>
      <c r="D2830">
        <v>20.83</v>
      </c>
      <c r="E2830" s="1">
        <v>45706</v>
      </c>
      <c r="F2830">
        <v>84.51</v>
      </c>
      <c r="G2830" s="1">
        <v>45743</v>
      </c>
      <c r="H2830">
        <v>28.49</v>
      </c>
      <c r="I2830" s="1">
        <v>45743</v>
      </c>
      <c r="J2830">
        <v>16.079999999999998</v>
      </c>
      <c r="K2830" s="1">
        <v>45609</v>
      </c>
      <c r="L2830">
        <v>106.48099999999999</v>
      </c>
    </row>
    <row r="2831" spans="1:12" x14ac:dyDescent="0.25">
      <c r="A2831" s="1">
        <v>45720</v>
      </c>
      <c r="B2831">
        <v>23.51</v>
      </c>
      <c r="C2831" s="1">
        <v>45750</v>
      </c>
      <c r="D2831">
        <v>24.03</v>
      </c>
      <c r="E2831" s="1">
        <v>45707</v>
      </c>
      <c r="F2831">
        <v>83.86</v>
      </c>
      <c r="G2831" s="1">
        <v>45744</v>
      </c>
      <c r="H2831">
        <v>28.7</v>
      </c>
      <c r="I2831" s="1">
        <v>45744</v>
      </c>
      <c r="J2831">
        <v>16.45</v>
      </c>
      <c r="K2831" s="1">
        <v>45610</v>
      </c>
      <c r="L2831">
        <v>106.673</v>
      </c>
    </row>
    <row r="2832" spans="1:12" x14ac:dyDescent="0.25">
      <c r="A2832" s="1">
        <v>45721</v>
      </c>
      <c r="B2832">
        <v>21.93</v>
      </c>
      <c r="C2832" s="1">
        <v>45751</v>
      </c>
      <c r="D2832">
        <v>30.06</v>
      </c>
      <c r="E2832" s="1">
        <v>45708</v>
      </c>
      <c r="F2832">
        <v>86.26</v>
      </c>
      <c r="G2832" s="1">
        <v>45747</v>
      </c>
      <c r="H2832">
        <v>30.88</v>
      </c>
      <c r="I2832" s="1">
        <v>45747</v>
      </c>
      <c r="J2832">
        <v>17.84</v>
      </c>
      <c r="K2832" s="1">
        <v>45611</v>
      </c>
      <c r="L2832">
        <v>106.687</v>
      </c>
    </row>
    <row r="2833" spans="1:12" x14ac:dyDescent="0.25">
      <c r="A2833" s="1">
        <v>45722</v>
      </c>
      <c r="B2833">
        <v>24.87</v>
      </c>
      <c r="C2833" s="1">
        <v>45754</v>
      </c>
      <c r="D2833">
        <v>43.08</v>
      </c>
      <c r="E2833" s="1">
        <v>45709</v>
      </c>
      <c r="F2833">
        <v>91.83</v>
      </c>
      <c r="G2833" s="1">
        <v>45748</v>
      </c>
      <c r="H2833">
        <v>30.57</v>
      </c>
      <c r="I2833" s="1">
        <v>45748</v>
      </c>
      <c r="J2833">
        <v>17.95</v>
      </c>
      <c r="K2833" s="1">
        <v>45614</v>
      </c>
      <c r="L2833">
        <v>106.27500000000001</v>
      </c>
    </row>
    <row r="2834" spans="1:12" x14ac:dyDescent="0.25">
      <c r="A2834" s="1">
        <v>45723</v>
      </c>
      <c r="B2834">
        <v>23.37</v>
      </c>
      <c r="C2834" s="1">
        <v>45755</v>
      </c>
      <c r="D2834">
        <v>40.42</v>
      </c>
      <c r="E2834" s="1">
        <v>45712</v>
      </c>
      <c r="F2834">
        <v>88.44</v>
      </c>
      <c r="G2834" s="1">
        <v>45749</v>
      </c>
      <c r="H2834">
        <v>29.98</v>
      </c>
      <c r="I2834" s="1">
        <v>45749</v>
      </c>
      <c r="J2834">
        <v>17.920000000000002</v>
      </c>
      <c r="K2834" s="1">
        <v>45615</v>
      </c>
      <c r="L2834">
        <v>106.206</v>
      </c>
    </row>
    <row r="2835" spans="1:12" x14ac:dyDescent="0.25">
      <c r="A2835" s="1">
        <v>45726</v>
      </c>
      <c r="B2835">
        <v>27.86</v>
      </c>
      <c r="C2835" s="1">
        <v>45756</v>
      </c>
      <c r="D2835">
        <v>28.83</v>
      </c>
      <c r="E2835" s="1">
        <v>45713</v>
      </c>
      <c r="F2835">
        <v>96.61</v>
      </c>
      <c r="G2835" s="1">
        <v>45750</v>
      </c>
      <c r="H2835">
        <v>35.450000000000003</v>
      </c>
      <c r="I2835" s="1">
        <v>45750</v>
      </c>
      <c r="J2835">
        <v>18.36</v>
      </c>
      <c r="K2835" s="1">
        <v>45616</v>
      </c>
      <c r="L2835">
        <v>106.68</v>
      </c>
    </row>
    <row r="2836" spans="1:12" x14ac:dyDescent="0.25">
      <c r="A2836" s="1">
        <v>45727</v>
      </c>
      <c r="B2836">
        <v>26.92</v>
      </c>
      <c r="C2836" s="1">
        <v>45757</v>
      </c>
      <c r="D2836">
        <v>35.1</v>
      </c>
      <c r="E2836" s="1">
        <v>45714</v>
      </c>
      <c r="F2836">
        <v>97.52</v>
      </c>
      <c r="G2836" s="1">
        <v>45751</v>
      </c>
      <c r="H2836">
        <v>44.72</v>
      </c>
      <c r="I2836" s="1">
        <v>45751</v>
      </c>
      <c r="J2836">
        <v>22.03</v>
      </c>
      <c r="K2836" s="1">
        <v>45617</v>
      </c>
      <c r="L2836">
        <v>106.97199999999999</v>
      </c>
    </row>
    <row r="2837" spans="1:12" x14ac:dyDescent="0.25">
      <c r="A2837" s="1">
        <v>45728</v>
      </c>
      <c r="B2837">
        <v>24.23</v>
      </c>
      <c r="C2837" s="1">
        <v>45758</v>
      </c>
      <c r="D2837">
        <v>28.22</v>
      </c>
      <c r="E2837" s="1">
        <v>45715</v>
      </c>
      <c r="F2837">
        <v>96.27</v>
      </c>
      <c r="G2837" s="1">
        <v>45754</v>
      </c>
      <c r="H2837">
        <v>52.81</v>
      </c>
      <c r="I2837" s="1">
        <v>45754</v>
      </c>
      <c r="J2837">
        <v>19.68</v>
      </c>
      <c r="K2837" s="1">
        <v>45618</v>
      </c>
      <c r="L2837">
        <v>107.554</v>
      </c>
    </row>
    <row r="2838" spans="1:12" x14ac:dyDescent="0.25">
      <c r="A2838" s="1">
        <v>45729</v>
      </c>
      <c r="B2838">
        <v>24.66</v>
      </c>
      <c r="C2838" s="1">
        <v>45761</v>
      </c>
      <c r="D2838">
        <v>28.69</v>
      </c>
      <c r="E2838" s="1">
        <v>45716</v>
      </c>
      <c r="F2838">
        <v>104.46</v>
      </c>
      <c r="G2838" s="1">
        <v>45755</v>
      </c>
      <c r="H2838">
        <v>55.26</v>
      </c>
      <c r="I2838" s="1">
        <v>45755</v>
      </c>
      <c r="J2838">
        <v>23.73</v>
      </c>
      <c r="K2838" s="1">
        <v>45621</v>
      </c>
      <c r="L2838">
        <v>106.81699999999999</v>
      </c>
    </row>
    <row r="2839" spans="1:12" x14ac:dyDescent="0.25">
      <c r="A2839" s="1">
        <v>45730</v>
      </c>
      <c r="B2839">
        <v>21.77</v>
      </c>
      <c r="C2839" s="1">
        <v>45762</v>
      </c>
      <c r="D2839">
        <v>23.61</v>
      </c>
      <c r="E2839" s="1">
        <v>45719</v>
      </c>
      <c r="F2839">
        <v>105.65</v>
      </c>
      <c r="G2839" s="1">
        <v>45756</v>
      </c>
      <c r="H2839">
        <v>42.9</v>
      </c>
      <c r="I2839" s="1">
        <v>45756</v>
      </c>
      <c r="J2839">
        <v>24.53</v>
      </c>
      <c r="K2839" s="1">
        <v>45622</v>
      </c>
      <c r="L2839">
        <v>107.01300000000001</v>
      </c>
    </row>
    <row r="2840" spans="1:12" x14ac:dyDescent="0.25">
      <c r="A2840" s="1">
        <v>45733</v>
      </c>
      <c r="B2840">
        <v>20.51</v>
      </c>
      <c r="C2840" s="1">
        <v>45763</v>
      </c>
      <c r="D2840">
        <v>25.45</v>
      </c>
      <c r="E2840" s="1">
        <v>45720</v>
      </c>
      <c r="F2840">
        <v>108.87</v>
      </c>
      <c r="G2840" s="1">
        <v>45757</v>
      </c>
      <c r="H2840">
        <v>49</v>
      </c>
      <c r="I2840" s="1">
        <v>45757</v>
      </c>
      <c r="J2840">
        <v>26.59</v>
      </c>
      <c r="K2840" s="1">
        <v>45623</v>
      </c>
      <c r="L2840">
        <v>106.084</v>
      </c>
    </row>
    <row r="2841" spans="1:12" x14ac:dyDescent="0.25">
      <c r="A2841" s="1">
        <v>45734</v>
      </c>
      <c r="B2841">
        <v>21.7</v>
      </c>
      <c r="C2841" s="1">
        <v>45764</v>
      </c>
      <c r="D2841">
        <v>23.95</v>
      </c>
      <c r="E2841" s="1">
        <v>45721</v>
      </c>
      <c r="F2841">
        <v>104.32</v>
      </c>
      <c r="G2841" s="1">
        <v>45758</v>
      </c>
      <c r="H2841">
        <v>50.88</v>
      </c>
      <c r="I2841" s="1">
        <v>45758</v>
      </c>
      <c r="J2841">
        <v>28.44</v>
      </c>
      <c r="K2841" s="1">
        <v>45624</v>
      </c>
      <c r="L2841">
        <v>106.048</v>
      </c>
    </row>
    <row r="2842" spans="1:12" x14ac:dyDescent="0.25">
      <c r="A2842" s="1">
        <v>45735</v>
      </c>
      <c r="B2842">
        <v>19.899999999999999</v>
      </c>
      <c r="C2842" s="1">
        <v>45768</v>
      </c>
      <c r="D2842">
        <v>26.62</v>
      </c>
      <c r="E2842" s="1">
        <v>45722</v>
      </c>
      <c r="F2842">
        <v>108.95</v>
      </c>
      <c r="G2842" s="1">
        <v>45761</v>
      </c>
      <c r="H2842">
        <v>47.76</v>
      </c>
      <c r="I2842" s="1">
        <v>45761</v>
      </c>
      <c r="J2842">
        <v>23.8</v>
      </c>
      <c r="K2842" s="1">
        <v>45625</v>
      </c>
      <c r="L2842">
        <v>105.73699999999999</v>
      </c>
    </row>
    <row r="2843" spans="1:12" x14ac:dyDescent="0.25">
      <c r="A2843" s="1">
        <v>45736</v>
      </c>
      <c r="B2843">
        <v>19.8</v>
      </c>
      <c r="C2843" s="1">
        <v>45769</v>
      </c>
      <c r="D2843">
        <v>25.4</v>
      </c>
      <c r="E2843" s="1">
        <v>45723</v>
      </c>
      <c r="F2843">
        <v>104.41</v>
      </c>
      <c r="G2843" s="1">
        <v>45762</v>
      </c>
      <c r="H2843">
        <v>42.31</v>
      </c>
      <c r="I2843" s="1">
        <v>45762</v>
      </c>
      <c r="J2843">
        <v>21.54</v>
      </c>
      <c r="K2843" s="1">
        <v>45628</v>
      </c>
      <c r="L2843">
        <v>106.446</v>
      </c>
    </row>
    <row r="2844" spans="1:12" x14ac:dyDescent="0.25">
      <c r="A2844" s="1">
        <v>45737</v>
      </c>
      <c r="B2844">
        <v>19.28</v>
      </c>
      <c r="C2844" s="1">
        <v>45770</v>
      </c>
      <c r="D2844">
        <v>24</v>
      </c>
      <c r="E2844" s="1">
        <v>45726</v>
      </c>
      <c r="F2844">
        <v>112.5</v>
      </c>
      <c r="G2844" s="1">
        <v>45763</v>
      </c>
      <c r="H2844">
        <v>43.56</v>
      </c>
      <c r="I2844" s="1">
        <v>45763</v>
      </c>
      <c r="J2844">
        <v>26.73</v>
      </c>
      <c r="K2844" s="1">
        <v>45629</v>
      </c>
      <c r="L2844">
        <v>106.36499999999999</v>
      </c>
    </row>
    <row r="2845" spans="1:12" x14ac:dyDescent="0.25">
      <c r="A2845" s="1">
        <v>45740</v>
      </c>
      <c r="B2845">
        <v>17.48</v>
      </c>
      <c r="C2845" s="1">
        <v>45771</v>
      </c>
      <c r="D2845">
        <v>23.13</v>
      </c>
      <c r="E2845" s="1">
        <v>45727</v>
      </c>
      <c r="F2845">
        <v>114.6</v>
      </c>
      <c r="G2845" s="1">
        <v>45764</v>
      </c>
      <c r="H2845">
        <v>41.27</v>
      </c>
      <c r="I2845" s="1">
        <v>45764</v>
      </c>
      <c r="J2845">
        <v>24.14</v>
      </c>
      <c r="K2845" s="1">
        <v>45630</v>
      </c>
      <c r="L2845">
        <v>106.321</v>
      </c>
    </row>
    <row r="2846" spans="1:12" x14ac:dyDescent="0.25">
      <c r="A2846" s="1">
        <v>45741</v>
      </c>
      <c r="B2846">
        <v>17.149999999999999</v>
      </c>
      <c r="C2846" s="1">
        <v>45772</v>
      </c>
      <c r="D2846">
        <v>21.4</v>
      </c>
      <c r="E2846" s="1">
        <v>45728</v>
      </c>
      <c r="F2846">
        <v>104.11</v>
      </c>
      <c r="G2846" s="1">
        <v>45768</v>
      </c>
      <c r="H2846">
        <v>41.21</v>
      </c>
      <c r="I2846" s="1">
        <v>45768</v>
      </c>
      <c r="J2846">
        <v>28.14</v>
      </c>
      <c r="K2846" s="1">
        <v>45631</v>
      </c>
      <c r="L2846">
        <v>105.714</v>
      </c>
    </row>
    <row r="2847" spans="1:12" x14ac:dyDescent="0.25">
      <c r="A2847" s="1">
        <v>45742</v>
      </c>
      <c r="B2847">
        <v>18.329999999999998</v>
      </c>
      <c r="C2847" s="1">
        <v>45775</v>
      </c>
      <c r="D2847">
        <v>21.41</v>
      </c>
      <c r="E2847" s="1">
        <v>45729</v>
      </c>
      <c r="F2847">
        <v>106.19</v>
      </c>
      <c r="G2847" s="1">
        <v>45769</v>
      </c>
      <c r="H2847">
        <v>43.15</v>
      </c>
      <c r="I2847" s="1">
        <v>45769</v>
      </c>
      <c r="J2847">
        <v>28.44</v>
      </c>
      <c r="K2847" s="1">
        <v>45632</v>
      </c>
      <c r="L2847">
        <v>106.05500000000001</v>
      </c>
    </row>
    <row r="2848" spans="1:12" x14ac:dyDescent="0.25">
      <c r="A2848" s="1">
        <v>45743</v>
      </c>
      <c r="B2848">
        <v>18.690000000000001</v>
      </c>
      <c r="C2848" s="1">
        <v>45776</v>
      </c>
      <c r="D2848">
        <v>21.02</v>
      </c>
      <c r="E2848" s="1">
        <v>45730</v>
      </c>
      <c r="F2848">
        <v>101.01</v>
      </c>
      <c r="G2848" s="1">
        <v>45770</v>
      </c>
      <c r="H2848">
        <v>43.56</v>
      </c>
      <c r="I2848" s="1">
        <v>45770</v>
      </c>
      <c r="J2848">
        <v>25.23</v>
      </c>
      <c r="K2848" s="1">
        <v>45635</v>
      </c>
      <c r="L2848">
        <v>106.145</v>
      </c>
    </row>
    <row r="2849" spans="1:12" x14ac:dyDescent="0.25">
      <c r="A2849" s="1">
        <v>45744</v>
      </c>
      <c r="B2849">
        <v>21.65</v>
      </c>
      <c r="C2849" s="1">
        <v>45777</v>
      </c>
      <c r="D2849">
        <v>20.72</v>
      </c>
      <c r="E2849" s="1">
        <v>45733</v>
      </c>
      <c r="F2849">
        <v>99.78</v>
      </c>
      <c r="G2849" s="1">
        <v>45771</v>
      </c>
      <c r="H2849">
        <v>44.37</v>
      </c>
      <c r="I2849" s="1">
        <v>45771</v>
      </c>
      <c r="J2849">
        <v>24.93</v>
      </c>
      <c r="K2849" s="1">
        <v>45636</v>
      </c>
      <c r="L2849">
        <v>106.399</v>
      </c>
    </row>
    <row r="2850" spans="1:12" x14ac:dyDescent="0.25">
      <c r="A2850" s="1">
        <v>45747</v>
      </c>
      <c r="B2850">
        <v>22.28</v>
      </c>
      <c r="C2850" s="1">
        <v>45778</v>
      </c>
      <c r="D2850">
        <v>20.32</v>
      </c>
      <c r="E2850" s="1">
        <v>45734</v>
      </c>
      <c r="F2850">
        <v>96.68</v>
      </c>
      <c r="G2850" s="1">
        <v>45772</v>
      </c>
      <c r="H2850">
        <v>43.53</v>
      </c>
      <c r="I2850" s="1">
        <v>45772</v>
      </c>
      <c r="J2850">
        <v>23.36</v>
      </c>
      <c r="K2850" s="1">
        <v>45637</v>
      </c>
      <c r="L2850">
        <v>106.71</v>
      </c>
    </row>
    <row r="2851" spans="1:12" x14ac:dyDescent="0.25">
      <c r="A2851" s="1">
        <v>45748</v>
      </c>
      <c r="B2851">
        <v>21.77</v>
      </c>
      <c r="C2851" s="1">
        <v>45779</v>
      </c>
      <c r="D2851">
        <v>20.39</v>
      </c>
      <c r="E2851" s="1">
        <v>45735</v>
      </c>
      <c r="F2851">
        <v>91.4</v>
      </c>
      <c r="G2851" s="1">
        <v>45775</v>
      </c>
      <c r="H2851">
        <v>43.55</v>
      </c>
      <c r="I2851" s="1">
        <v>45775</v>
      </c>
      <c r="J2851">
        <v>23.25</v>
      </c>
      <c r="K2851" s="1">
        <v>45638</v>
      </c>
      <c r="L2851">
        <v>106.956</v>
      </c>
    </row>
    <row r="2852" spans="1:12" x14ac:dyDescent="0.25">
      <c r="A2852" s="1">
        <v>45749</v>
      </c>
      <c r="B2852">
        <v>21.51</v>
      </c>
      <c r="C2852" s="1">
        <v>45782</v>
      </c>
      <c r="D2852">
        <v>21.74</v>
      </c>
      <c r="E2852" s="1">
        <v>45736</v>
      </c>
      <c r="F2852">
        <v>95.74</v>
      </c>
      <c r="G2852" s="1">
        <v>45776</v>
      </c>
      <c r="H2852">
        <v>48.41</v>
      </c>
      <c r="I2852" s="1">
        <v>45776</v>
      </c>
      <c r="J2852">
        <v>22.1</v>
      </c>
      <c r="K2852" s="1">
        <v>45639</v>
      </c>
      <c r="L2852">
        <v>107.003</v>
      </c>
    </row>
    <row r="2853" spans="1:12" x14ac:dyDescent="0.25">
      <c r="A2853" s="1">
        <v>45750</v>
      </c>
      <c r="B2853">
        <v>30.02</v>
      </c>
      <c r="C2853" s="1">
        <v>45783</v>
      </c>
      <c r="D2853">
        <v>22.21</v>
      </c>
      <c r="E2853" s="1">
        <v>45737</v>
      </c>
      <c r="F2853">
        <v>94.54</v>
      </c>
      <c r="G2853" s="1">
        <v>45777</v>
      </c>
      <c r="H2853">
        <v>54.46</v>
      </c>
      <c r="I2853" s="1">
        <v>45777</v>
      </c>
      <c r="J2853">
        <v>21.52</v>
      </c>
      <c r="K2853" s="1">
        <v>45642</v>
      </c>
      <c r="L2853">
        <v>106.858</v>
      </c>
    </row>
    <row r="2854" spans="1:12" x14ac:dyDescent="0.25">
      <c r="A2854" s="1">
        <v>45751</v>
      </c>
      <c r="B2854">
        <v>45.31</v>
      </c>
      <c r="C2854" s="1">
        <v>45784</v>
      </c>
      <c r="D2854">
        <v>22.71</v>
      </c>
      <c r="E2854" s="1">
        <v>45740</v>
      </c>
      <c r="F2854">
        <v>95.22</v>
      </c>
      <c r="G2854" s="1">
        <v>45778</v>
      </c>
      <c r="H2854">
        <v>51.96</v>
      </c>
      <c r="I2854" s="1">
        <v>45778</v>
      </c>
      <c r="J2854">
        <v>21.51</v>
      </c>
      <c r="K2854" s="1">
        <v>45643</v>
      </c>
      <c r="L2854">
        <v>106.956</v>
      </c>
    </row>
    <row r="2855" spans="1:12" x14ac:dyDescent="0.25">
      <c r="A2855" s="1">
        <v>45754</v>
      </c>
      <c r="B2855">
        <v>46.98</v>
      </c>
      <c r="C2855" s="1">
        <v>45785</v>
      </c>
      <c r="D2855">
        <v>21.38</v>
      </c>
      <c r="E2855" s="1">
        <v>45741</v>
      </c>
      <c r="F2855">
        <v>93.57</v>
      </c>
      <c r="G2855" s="1">
        <v>45779</v>
      </c>
      <c r="H2855">
        <v>50.59</v>
      </c>
      <c r="I2855" s="1">
        <v>45779</v>
      </c>
      <c r="J2855">
        <v>21.35</v>
      </c>
      <c r="K2855" s="1">
        <v>45644</v>
      </c>
      <c r="L2855">
        <v>108.027</v>
      </c>
    </row>
    <row r="2856" spans="1:12" x14ac:dyDescent="0.25">
      <c r="A2856" s="1">
        <v>45755</v>
      </c>
      <c r="B2856">
        <v>52.33</v>
      </c>
      <c r="C2856" s="1">
        <v>45786</v>
      </c>
      <c r="D2856">
        <v>20.09</v>
      </c>
      <c r="E2856" s="1">
        <v>45742</v>
      </c>
      <c r="F2856">
        <v>91.41</v>
      </c>
      <c r="G2856" s="1">
        <v>45782</v>
      </c>
      <c r="H2856">
        <v>42.58</v>
      </c>
      <c r="I2856" s="1">
        <v>45782</v>
      </c>
      <c r="J2856">
        <v>23.2</v>
      </c>
      <c r="K2856" s="1">
        <v>45645</v>
      </c>
      <c r="L2856">
        <v>108.408</v>
      </c>
    </row>
    <row r="2857" spans="1:12" x14ac:dyDescent="0.25">
      <c r="A2857" s="1">
        <v>45756</v>
      </c>
      <c r="B2857">
        <v>33.619999999999997</v>
      </c>
      <c r="C2857" s="1">
        <v>45789</v>
      </c>
      <c r="D2857">
        <v>19.12</v>
      </c>
      <c r="E2857" s="1">
        <v>45743</v>
      </c>
      <c r="F2857">
        <v>91.03</v>
      </c>
      <c r="G2857" s="1">
        <v>45783</v>
      </c>
      <c r="H2857">
        <v>42.14</v>
      </c>
      <c r="I2857" s="1">
        <v>45783</v>
      </c>
      <c r="J2857">
        <v>24.72</v>
      </c>
      <c r="K2857" s="1">
        <v>45646</v>
      </c>
      <c r="L2857">
        <v>107.621</v>
      </c>
    </row>
    <row r="2858" spans="1:12" x14ac:dyDescent="0.25">
      <c r="A2858" s="1">
        <v>45757</v>
      </c>
      <c r="B2858">
        <v>40.72</v>
      </c>
      <c r="C2858" s="1">
        <v>45790</v>
      </c>
      <c r="D2858">
        <v>17.600000000000001</v>
      </c>
      <c r="E2858" s="1">
        <v>45744</v>
      </c>
      <c r="F2858">
        <v>96.83</v>
      </c>
      <c r="G2858" s="1">
        <v>45784</v>
      </c>
      <c r="H2858">
        <v>42.66</v>
      </c>
      <c r="I2858" s="1">
        <v>45784</v>
      </c>
      <c r="J2858">
        <v>22.99</v>
      </c>
      <c r="K2858" s="1">
        <v>45649</v>
      </c>
      <c r="L2858">
        <v>108.03700000000001</v>
      </c>
    </row>
    <row r="2859" spans="1:12" x14ac:dyDescent="0.25">
      <c r="A2859" s="1">
        <v>45758</v>
      </c>
      <c r="B2859">
        <v>37.56</v>
      </c>
      <c r="C2859" s="1">
        <v>45791</v>
      </c>
      <c r="D2859">
        <v>16.82</v>
      </c>
      <c r="E2859" s="1">
        <v>45747</v>
      </c>
      <c r="F2859">
        <v>101.35</v>
      </c>
      <c r="G2859" s="1">
        <v>45785</v>
      </c>
      <c r="H2859">
        <v>40.6</v>
      </c>
      <c r="I2859" s="1">
        <v>45785</v>
      </c>
      <c r="J2859">
        <v>22.58</v>
      </c>
      <c r="K2859" s="1">
        <v>45650</v>
      </c>
      <c r="L2859">
        <v>108.25700000000001</v>
      </c>
    </row>
    <row r="2860" spans="1:12" x14ac:dyDescent="0.25">
      <c r="A2860" s="1">
        <v>45761</v>
      </c>
      <c r="B2860">
        <v>30.89</v>
      </c>
      <c r="C2860" s="1">
        <v>45792</v>
      </c>
      <c r="D2860">
        <v>17.350000000000001</v>
      </c>
      <c r="E2860" s="1">
        <v>45748</v>
      </c>
      <c r="F2860">
        <v>104.73</v>
      </c>
      <c r="G2860" s="1">
        <v>45786</v>
      </c>
      <c r="H2860">
        <v>39.82</v>
      </c>
      <c r="I2860" s="1">
        <v>45786</v>
      </c>
      <c r="J2860">
        <v>21.86</v>
      </c>
      <c r="K2860" s="1">
        <v>45652</v>
      </c>
      <c r="L2860">
        <v>108.129</v>
      </c>
    </row>
    <row r="2861" spans="1:12" x14ac:dyDescent="0.25">
      <c r="A2861" s="1">
        <v>45762</v>
      </c>
      <c r="B2861">
        <v>30.12</v>
      </c>
      <c r="C2861" s="1">
        <v>45793</v>
      </c>
      <c r="D2861">
        <v>15.92</v>
      </c>
      <c r="E2861" s="1">
        <v>45749</v>
      </c>
      <c r="F2861">
        <v>106.39</v>
      </c>
      <c r="G2861" s="1">
        <v>45789</v>
      </c>
      <c r="H2861">
        <v>37.5</v>
      </c>
      <c r="I2861" s="1">
        <v>45789</v>
      </c>
      <c r="J2861">
        <v>21.38</v>
      </c>
      <c r="K2861" s="1">
        <v>45653</v>
      </c>
      <c r="L2861">
        <v>107.998</v>
      </c>
    </row>
    <row r="2862" spans="1:12" x14ac:dyDescent="0.25">
      <c r="A2862" s="1">
        <v>45763</v>
      </c>
      <c r="B2862">
        <v>32.64</v>
      </c>
      <c r="C2862" s="1">
        <v>45796</v>
      </c>
      <c r="D2862">
        <v>18.87</v>
      </c>
      <c r="E2862" s="1">
        <v>45750</v>
      </c>
      <c r="F2862">
        <v>112</v>
      </c>
      <c r="G2862" s="1">
        <v>45790</v>
      </c>
      <c r="H2862">
        <v>36.71</v>
      </c>
      <c r="I2862" s="1">
        <v>45790</v>
      </c>
      <c r="J2862">
        <v>19.579999999999998</v>
      </c>
      <c r="K2862" s="1">
        <v>45656</v>
      </c>
      <c r="L2862">
        <v>108.13</v>
      </c>
    </row>
    <row r="2863" spans="1:12" x14ac:dyDescent="0.25">
      <c r="A2863" s="1">
        <v>45764</v>
      </c>
      <c r="B2863">
        <v>29.65</v>
      </c>
      <c r="C2863" s="1">
        <v>45797</v>
      </c>
      <c r="D2863">
        <v>16.37</v>
      </c>
      <c r="E2863" s="1">
        <v>45751</v>
      </c>
      <c r="F2863">
        <v>125.71</v>
      </c>
      <c r="G2863" s="1">
        <v>45791</v>
      </c>
      <c r="H2863">
        <v>36.72</v>
      </c>
      <c r="I2863" s="1">
        <v>45791</v>
      </c>
      <c r="J2863">
        <v>20.78</v>
      </c>
      <c r="K2863" s="1">
        <v>45657</v>
      </c>
      <c r="L2863">
        <v>108.48699999999999</v>
      </c>
    </row>
    <row r="2864" spans="1:12" x14ac:dyDescent="0.25">
      <c r="A2864" s="1">
        <v>45768</v>
      </c>
      <c r="B2864">
        <v>33.82</v>
      </c>
      <c r="C2864" s="1">
        <v>45798</v>
      </c>
      <c r="D2864">
        <v>17.079999999999998</v>
      </c>
      <c r="E2864" s="1">
        <v>45754</v>
      </c>
      <c r="F2864">
        <v>137.30000000000001</v>
      </c>
      <c r="G2864" s="1">
        <v>45792</v>
      </c>
      <c r="H2864">
        <v>37.4</v>
      </c>
      <c r="I2864" s="1">
        <v>45792</v>
      </c>
      <c r="J2864">
        <v>21.63</v>
      </c>
      <c r="K2864" s="1">
        <v>45659</v>
      </c>
      <c r="L2864">
        <v>109.39400000000001</v>
      </c>
    </row>
    <row r="2865" spans="1:12" x14ac:dyDescent="0.25">
      <c r="A2865" s="1">
        <v>45769</v>
      </c>
      <c r="B2865">
        <v>30.57</v>
      </c>
      <c r="C2865" s="1">
        <v>45799</v>
      </c>
      <c r="D2865">
        <v>17.28</v>
      </c>
      <c r="E2865" s="1">
        <v>45755</v>
      </c>
      <c r="F2865">
        <v>139.88</v>
      </c>
      <c r="G2865" s="1">
        <v>45793</v>
      </c>
      <c r="H2865">
        <v>37.880000000000003</v>
      </c>
      <c r="I2865" s="1">
        <v>45793</v>
      </c>
      <c r="J2865">
        <v>21.47</v>
      </c>
      <c r="K2865" s="1">
        <v>45660</v>
      </c>
      <c r="L2865">
        <v>108.952</v>
      </c>
    </row>
    <row r="2866" spans="1:12" x14ac:dyDescent="0.25">
      <c r="A2866" s="1">
        <v>45770</v>
      </c>
      <c r="B2866">
        <v>28.45</v>
      </c>
      <c r="C2866" s="1">
        <v>45800</v>
      </c>
      <c r="D2866">
        <v>16.98</v>
      </c>
      <c r="E2866" s="1">
        <v>45756</v>
      </c>
      <c r="F2866">
        <v>128.83000000000001</v>
      </c>
      <c r="G2866" s="1">
        <v>45796</v>
      </c>
      <c r="H2866">
        <v>38</v>
      </c>
      <c r="I2866" s="1">
        <v>45796</v>
      </c>
      <c r="J2866">
        <v>21.37</v>
      </c>
      <c r="K2866" s="1">
        <v>45663</v>
      </c>
      <c r="L2866">
        <v>108.25700000000001</v>
      </c>
    </row>
    <row r="2867" spans="1:12" x14ac:dyDescent="0.25">
      <c r="A2867" s="1">
        <v>45771</v>
      </c>
      <c r="B2867">
        <v>26.47</v>
      </c>
      <c r="C2867" s="1">
        <v>45804</v>
      </c>
      <c r="D2867">
        <v>18.77</v>
      </c>
      <c r="E2867" s="1">
        <v>45757</v>
      </c>
      <c r="F2867">
        <v>128.35</v>
      </c>
      <c r="G2867" s="1">
        <v>45797</v>
      </c>
      <c r="H2867">
        <v>34.619999999999997</v>
      </c>
      <c r="I2867" s="1">
        <v>45797</v>
      </c>
      <c r="J2867">
        <v>21.95</v>
      </c>
      <c r="K2867" s="1">
        <v>45664</v>
      </c>
      <c r="L2867">
        <v>108.542</v>
      </c>
    </row>
    <row r="2868" spans="1:12" x14ac:dyDescent="0.25">
      <c r="A2868" s="1">
        <v>45772</v>
      </c>
      <c r="B2868">
        <v>24.84</v>
      </c>
      <c r="C2868" s="1">
        <v>45805</v>
      </c>
      <c r="D2868">
        <v>17.79</v>
      </c>
      <c r="E2868" s="1">
        <v>45758</v>
      </c>
      <c r="F2868">
        <v>137.26</v>
      </c>
      <c r="G2868" s="1">
        <v>45798</v>
      </c>
      <c r="H2868">
        <v>39.119999999999997</v>
      </c>
      <c r="I2868" s="1">
        <v>45798</v>
      </c>
      <c r="J2868">
        <v>22.23</v>
      </c>
      <c r="K2868" s="1">
        <v>45665</v>
      </c>
      <c r="L2868">
        <v>109.09</v>
      </c>
    </row>
    <row r="2869" spans="1:12" x14ac:dyDescent="0.25">
      <c r="A2869" s="1">
        <v>45775</v>
      </c>
      <c r="B2869">
        <v>25.15</v>
      </c>
      <c r="C2869" s="1">
        <v>45806</v>
      </c>
      <c r="D2869">
        <v>18.670000000000002</v>
      </c>
      <c r="E2869" s="1">
        <v>45761</v>
      </c>
      <c r="F2869">
        <v>132.46</v>
      </c>
      <c r="G2869" s="1">
        <v>45799</v>
      </c>
      <c r="H2869">
        <v>41.44</v>
      </c>
      <c r="I2869" s="1">
        <v>45799</v>
      </c>
      <c r="J2869">
        <v>21.55</v>
      </c>
      <c r="K2869" s="1">
        <v>45666</v>
      </c>
      <c r="L2869">
        <v>109.179</v>
      </c>
    </row>
    <row r="2870" spans="1:12" x14ac:dyDescent="0.25">
      <c r="A2870" s="1">
        <v>45776</v>
      </c>
      <c r="B2870">
        <v>24.17</v>
      </c>
      <c r="C2870" s="1">
        <v>45807</v>
      </c>
      <c r="D2870">
        <v>17.510000000000002</v>
      </c>
      <c r="E2870" s="1">
        <v>45762</v>
      </c>
      <c r="F2870">
        <v>122.56</v>
      </c>
      <c r="G2870" s="1">
        <v>45800</v>
      </c>
      <c r="H2870">
        <v>43.13</v>
      </c>
      <c r="I2870" s="1">
        <v>45800</v>
      </c>
      <c r="J2870">
        <v>22.28</v>
      </c>
      <c r="K2870" s="1">
        <v>45667</v>
      </c>
      <c r="L2870">
        <v>109.65</v>
      </c>
    </row>
    <row r="2871" spans="1:12" x14ac:dyDescent="0.25">
      <c r="A2871" s="1">
        <v>45777</v>
      </c>
      <c r="B2871">
        <v>24.7</v>
      </c>
      <c r="C2871" s="1">
        <v>45810</v>
      </c>
      <c r="D2871">
        <v>20.12</v>
      </c>
      <c r="E2871" s="1">
        <v>45763</v>
      </c>
      <c r="F2871">
        <v>119.4</v>
      </c>
      <c r="G2871" s="1">
        <v>45804</v>
      </c>
      <c r="H2871">
        <v>41.94</v>
      </c>
      <c r="I2871" s="1">
        <v>45804</v>
      </c>
      <c r="J2871">
        <v>21.12</v>
      </c>
      <c r="K2871" s="1">
        <v>45670</v>
      </c>
      <c r="L2871">
        <v>109.956</v>
      </c>
    </row>
    <row r="2872" spans="1:12" x14ac:dyDescent="0.25">
      <c r="A2872" s="1">
        <v>45778</v>
      </c>
      <c r="B2872">
        <v>24.6</v>
      </c>
      <c r="C2872" s="1">
        <v>45811</v>
      </c>
      <c r="D2872">
        <v>17.440000000000001</v>
      </c>
      <c r="E2872" s="1">
        <v>45764</v>
      </c>
      <c r="F2872">
        <v>114.64</v>
      </c>
      <c r="G2872" s="1">
        <v>45805</v>
      </c>
      <c r="H2872">
        <v>40.42</v>
      </c>
      <c r="I2872" s="1">
        <v>45805</v>
      </c>
      <c r="J2872">
        <v>19.690000000000001</v>
      </c>
      <c r="K2872" s="1">
        <v>45671</v>
      </c>
      <c r="L2872">
        <v>109.273</v>
      </c>
    </row>
    <row r="2873" spans="1:12" x14ac:dyDescent="0.25">
      <c r="A2873" s="1">
        <v>45779</v>
      </c>
      <c r="B2873">
        <v>22.68</v>
      </c>
      <c r="C2873" s="1">
        <v>45812</v>
      </c>
      <c r="D2873">
        <v>20.5</v>
      </c>
      <c r="E2873" s="1">
        <v>45768</v>
      </c>
      <c r="F2873">
        <v>128.56</v>
      </c>
      <c r="G2873" s="1">
        <v>45806</v>
      </c>
      <c r="H2873">
        <v>40.26</v>
      </c>
      <c r="I2873" s="1">
        <v>45806</v>
      </c>
      <c r="J2873">
        <v>19.649999999999999</v>
      </c>
      <c r="K2873" s="1">
        <v>45672</v>
      </c>
      <c r="L2873">
        <v>109.09</v>
      </c>
    </row>
    <row r="2874" spans="1:12" x14ac:dyDescent="0.25">
      <c r="A2874" s="1">
        <v>45782</v>
      </c>
      <c r="B2874">
        <v>23.64</v>
      </c>
      <c r="C2874" s="1">
        <v>45813</v>
      </c>
      <c r="D2874">
        <v>19.100000000000001</v>
      </c>
      <c r="E2874" s="1">
        <v>45769</v>
      </c>
      <c r="F2874">
        <v>118.35</v>
      </c>
      <c r="G2874" s="1">
        <v>45807</v>
      </c>
      <c r="H2874">
        <v>40.71</v>
      </c>
      <c r="I2874" s="1">
        <v>45807</v>
      </c>
      <c r="J2874">
        <v>19.100000000000001</v>
      </c>
      <c r="K2874" s="1">
        <v>45673</v>
      </c>
      <c r="L2874">
        <v>108.95699999999999</v>
      </c>
    </row>
    <row r="2875" spans="1:12" x14ac:dyDescent="0.25">
      <c r="A2875" s="1">
        <v>45783</v>
      </c>
      <c r="B2875">
        <v>24.76</v>
      </c>
      <c r="C2875" s="1">
        <v>45814</v>
      </c>
      <c r="D2875">
        <v>16.34</v>
      </c>
      <c r="E2875" s="1">
        <v>45770</v>
      </c>
      <c r="F2875">
        <v>116.6</v>
      </c>
      <c r="G2875" s="1">
        <v>45810</v>
      </c>
      <c r="H2875">
        <v>38.700000000000003</v>
      </c>
      <c r="I2875" s="1">
        <v>45810</v>
      </c>
      <c r="J2875">
        <v>20.6</v>
      </c>
      <c r="K2875" s="1">
        <v>45674</v>
      </c>
      <c r="L2875">
        <v>109.34699999999999</v>
      </c>
    </row>
    <row r="2876" spans="1:12" x14ac:dyDescent="0.25">
      <c r="A2876" s="1">
        <v>45784</v>
      </c>
      <c r="B2876">
        <v>23.55</v>
      </c>
      <c r="C2876" s="1">
        <v>45817</v>
      </c>
      <c r="D2876">
        <v>17.34</v>
      </c>
      <c r="E2876" s="1">
        <v>45771</v>
      </c>
      <c r="F2876">
        <v>108.28</v>
      </c>
      <c r="G2876" s="1">
        <v>45811</v>
      </c>
      <c r="H2876">
        <v>37.75</v>
      </c>
      <c r="I2876" s="1">
        <v>45811</v>
      </c>
      <c r="J2876">
        <v>20.100000000000001</v>
      </c>
      <c r="K2876" s="1">
        <v>45677</v>
      </c>
      <c r="L2876">
        <v>109.34699999999999</v>
      </c>
    </row>
    <row r="2877" spans="1:12" x14ac:dyDescent="0.25">
      <c r="A2877" s="1">
        <v>45785</v>
      </c>
      <c r="B2877">
        <v>22.48</v>
      </c>
      <c r="C2877" s="1">
        <v>45818</v>
      </c>
      <c r="D2877">
        <v>14.87</v>
      </c>
      <c r="E2877" s="1">
        <v>45772</v>
      </c>
      <c r="F2877">
        <v>105.79</v>
      </c>
      <c r="G2877" s="1">
        <v>45812</v>
      </c>
      <c r="H2877">
        <v>37.700000000000003</v>
      </c>
      <c r="I2877" s="1">
        <v>45812</v>
      </c>
      <c r="J2877">
        <v>19.82</v>
      </c>
      <c r="K2877" s="1">
        <v>45678</v>
      </c>
      <c r="L2877">
        <v>108.062</v>
      </c>
    </row>
    <row r="2878" spans="1:12" x14ac:dyDescent="0.25">
      <c r="A2878" s="1">
        <v>45786</v>
      </c>
      <c r="B2878">
        <v>21.9</v>
      </c>
      <c r="C2878" s="1">
        <v>45819</v>
      </c>
      <c r="D2878">
        <v>15.86</v>
      </c>
      <c r="E2878" s="1">
        <v>45775</v>
      </c>
      <c r="F2878">
        <v>110.01</v>
      </c>
      <c r="G2878" s="1">
        <v>45813</v>
      </c>
      <c r="H2878">
        <v>34.89</v>
      </c>
      <c r="I2878" s="1">
        <v>45813</v>
      </c>
      <c r="J2878">
        <v>19.690000000000001</v>
      </c>
      <c r="K2878" s="1">
        <v>45679</v>
      </c>
      <c r="L2878">
        <v>108.167</v>
      </c>
    </row>
    <row r="2879" spans="1:12" x14ac:dyDescent="0.25">
      <c r="A2879" s="1">
        <v>45789</v>
      </c>
      <c r="B2879">
        <v>18.39</v>
      </c>
      <c r="C2879" s="1">
        <v>45820</v>
      </c>
      <c r="D2879">
        <v>15.72</v>
      </c>
      <c r="E2879" s="1">
        <v>45776</v>
      </c>
      <c r="F2879">
        <v>112.27</v>
      </c>
      <c r="G2879" s="1">
        <v>45814</v>
      </c>
      <c r="H2879">
        <v>35.72</v>
      </c>
      <c r="I2879" s="1">
        <v>45814</v>
      </c>
      <c r="J2879">
        <v>19.16</v>
      </c>
      <c r="K2879" s="1">
        <v>45680</v>
      </c>
      <c r="L2879">
        <v>108.047</v>
      </c>
    </row>
    <row r="2880" spans="1:12" x14ac:dyDescent="0.25">
      <c r="A2880" s="1">
        <v>45790</v>
      </c>
      <c r="B2880">
        <v>18.22</v>
      </c>
      <c r="C2880" s="1">
        <v>45821</v>
      </c>
      <c r="D2880">
        <v>19.04</v>
      </c>
      <c r="E2880" s="1">
        <v>45777</v>
      </c>
      <c r="F2880">
        <v>112.48</v>
      </c>
      <c r="G2880" s="1">
        <v>45817</v>
      </c>
      <c r="H2880">
        <v>34.42</v>
      </c>
      <c r="I2880" s="1">
        <v>45817</v>
      </c>
      <c r="J2880">
        <v>19.45</v>
      </c>
      <c r="K2880" s="1">
        <v>45681</v>
      </c>
      <c r="L2880">
        <v>107.443</v>
      </c>
    </row>
    <row r="2881" spans="1:12" x14ac:dyDescent="0.25">
      <c r="A2881" s="1">
        <v>45791</v>
      </c>
      <c r="B2881">
        <v>18.62</v>
      </c>
      <c r="C2881" s="1">
        <v>45824</v>
      </c>
      <c r="D2881">
        <v>18.43</v>
      </c>
      <c r="E2881" s="1">
        <v>45778</v>
      </c>
      <c r="F2881">
        <v>107.33</v>
      </c>
      <c r="G2881" s="1">
        <v>45818</v>
      </c>
      <c r="H2881">
        <v>35.049999999999997</v>
      </c>
      <c r="I2881" s="1">
        <v>45818</v>
      </c>
      <c r="J2881">
        <v>19</v>
      </c>
      <c r="K2881" s="1">
        <v>45684</v>
      </c>
      <c r="L2881">
        <v>107.34099999999999</v>
      </c>
    </row>
    <row r="2882" spans="1:12" x14ac:dyDescent="0.25">
      <c r="A2882" s="1">
        <v>45792</v>
      </c>
      <c r="B2882">
        <v>17.829999999999998</v>
      </c>
      <c r="C2882" s="1">
        <v>45825</v>
      </c>
      <c r="D2882">
        <v>18.690000000000001</v>
      </c>
      <c r="E2882" s="1">
        <v>45779</v>
      </c>
      <c r="F2882">
        <v>101.4</v>
      </c>
      <c r="G2882" s="1">
        <v>45819</v>
      </c>
      <c r="H2882">
        <v>43.24</v>
      </c>
      <c r="I2882" s="1">
        <v>45819</v>
      </c>
      <c r="J2882">
        <v>19.16</v>
      </c>
      <c r="K2882" s="1">
        <v>45685</v>
      </c>
      <c r="L2882">
        <v>107.866</v>
      </c>
    </row>
    <row r="2883" spans="1:12" x14ac:dyDescent="0.25">
      <c r="A2883" s="1">
        <v>45793</v>
      </c>
      <c r="B2883">
        <v>17.239999999999998</v>
      </c>
      <c r="C2883" s="1">
        <v>45826</v>
      </c>
      <c r="D2883">
        <v>18.03</v>
      </c>
      <c r="E2883" s="1">
        <v>45782</v>
      </c>
      <c r="F2883">
        <v>104.45</v>
      </c>
      <c r="G2883" s="1">
        <v>45820</v>
      </c>
      <c r="H2883">
        <v>45.37</v>
      </c>
      <c r="I2883" s="1">
        <v>45820</v>
      </c>
      <c r="J2883">
        <v>19.7</v>
      </c>
      <c r="K2883" s="1">
        <v>45686</v>
      </c>
      <c r="L2883">
        <v>108</v>
      </c>
    </row>
    <row r="2884" spans="1:12" x14ac:dyDescent="0.25">
      <c r="A2884" s="1">
        <v>45796</v>
      </c>
      <c r="B2884">
        <v>18.14</v>
      </c>
      <c r="C2884" s="1">
        <v>45828</v>
      </c>
      <c r="D2884">
        <v>17.16</v>
      </c>
      <c r="E2884" s="1">
        <v>45783</v>
      </c>
      <c r="F2884">
        <v>106.18</v>
      </c>
      <c r="G2884" s="1">
        <v>45821</v>
      </c>
      <c r="H2884">
        <v>57.23</v>
      </c>
      <c r="I2884" s="1">
        <v>45821</v>
      </c>
      <c r="J2884">
        <v>21.16</v>
      </c>
      <c r="K2884" s="1">
        <v>45687</v>
      </c>
      <c r="L2884">
        <v>107.797</v>
      </c>
    </row>
    <row r="2885" spans="1:12" x14ac:dyDescent="0.25">
      <c r="A2885" s="1">
        <v>45797</v>
      </c>
      <c r="B2885">
        <v>18.09</v>
      </c>
      <c r="C2885" s="1">
        <v>45831</v>
      </c>
      <c r="D2885">
        <v>17.88</v>
      </c>
      <c r="E2885" s="1">
        <v>45784</v>
      </c>
      <c r="F2885">
        <v>99.87</v>
      </c>
      <c r="G2885" s="1">
        <v>45824</v>
      </c>
      <c r="H2885">
        <v>56.6</v>
      </c>
      <c r="I2885" s="1">
        <v>45824</v>
      </c>
      <c r="J2885">
        <v>19.87</v>
      </c>
      <c r="K2885" s="1">
        <v>45688</v>
      </c>
      <c r="L2885">
        <v>108.37</v>
      </c>
    </row>
    <row r="2886" spans="1:12" x14ac:dyDescent="0.25">
      <c r="A2886" s="1">
        <v>45798</v>
      </c>
      <c r="B2886">
        <v>20.87</v>
      </c>
      <c r="C2886" s="1">
        <v>45832</v>
      </c>
      <c r="D2886">
        <v>16.63</v>
      </c>
      <c r="E2886" s="1">
        <v>45785</v>
      </c>
      <c r="F2886">
        <v>98.66</v>
      </c>
      <c r="G2886" s="1">
        <v>45825</v>
      </c>
      <c r="H2886">
        <v>71.56</v>
      </c>
      <c r="I2886" s="1">
        <v>45825</v>
      </c>
      <c r="J2886">
        <v>20.41</v>
      </c>
      <c r="K2886" s="1">
        <v>45691</v>
      </c>
      <c r="L2886">
        <v>108.99</v>
      </c>
    </row>
    <row r="2887" spans="1:12" x14ac:dyDescent="0.25">
      <c r="A2887" s="1">
        <v>45799</v>
      </c>
      <c r="B2887">
        <v>20.28</v>
      </c>
      <c r="C2887" s="1">
        <v>45833</v>
      </c>
      <c r="D2887">
        <v>16.59</v>
      </c>
      <c r="E2887" s="1">
        <v>45786</v>
      </c>
      <c r="F2887">
        <v>100.4</v>
      </c>
      <c r="G2887" s="1">
        <v>45826</v>
      </c>
      <c r="H2887">
        <v>66.86</v>
      </c>
      <c r="I2887" s="1">
        <v>45826</v>
      </c>
      <c r="J2887">
        <v>19.579999999999998</v>
      </c>
      <c r="K2887" s="1">
        <v>45692</v>
      </c>
      <c r="L2887">
        <v>107.96</v>
      </c>
    </row>
    <row r="2888" spans="1:12" x14ac:dyDescent="0.25">
      <c r="A2888" s="1">
        <v>45800</v>
      </c>
      <c r="B2888">
        <v>22.29</v>
      </c>
      <c r="C2888" s="1">
        <v>45834</v>
      </c>
      <c r="D2888">
        <v>15.99</v>
      </c>
      <c r="E2888" s="1">
        <v>45789</v>
      </c>
      <c r="F2888">
        <v>102.9</v>
      </c>
      <c r="G2888" s="1">
        <v>45828</v>
      </c>
      <c r="H2888">
        <v>64.67</v>
      </c>
      <c r="I2888" s="1">
        <v>45828</v>
      </c>
      <c r="J2888">
        <v>19.27</v>
      </c>
      <c r="K2888" s="1">
        <v>45693</v>
      </c>
      <c r="L2888">
        <v>107.57899999999999</v>
      </c>
    </row>
    <row r="2889" spans="1:12" x14ac:dyDescent="0.25">
      <c r="A2889" s="1">
        <v>45803</v>
      </c>
      <c r="B2889">
        <v>20.57</v>
      </c>
      <c r="C2889" s="1">
        <v>45835</v>
      </c>
      <c r="D2889">
        <v>16.82</v>
      </c>
      <c r="E2889" s="1">
        <v>45790</v>
      </c>
      <c r="F2889">
        <v>100.13</v>
      </c>
      <c r="G2889" s="1">
        <v>45831</v>
      </c>
      <c r="H2889">
        <v>53.65</v>
      </c>
      <c r="I2889" s="1">
        <v>45831</v>
      </c>
      <c r="J2889">
        <v>19.02</v>
      </c>
      <c r="K2889" s="1">
        <v>45694</v>
      </c>
      <c r="L2889">
        <v>107.68899999999999</v>
      </c>
    </row>
    <row r="2890" spans="1:12" x14ac:dyDescent="0.25">
      <c r="A2890" s="1">
        <v>45804</v>
      </c>
      <c r="B2890">
        <v>18.96</v>
      </c>
      <c r="C2890" s="1">
        <v>45838</v>
      </c>
      <c r="D2890">
        <v>14.77</v>
      </c>
      <c r="E2890" s="1">
        <v>45791</v>
      </c>
      <c r="F2890">
        <v>100.73</v>
      </c>
      <c r="G2890" s="1">
        <v>45832</v>
      </c>
      <c r="H2890">
        <v>48.8</v>
      </c>
      <c r="I2890" s="1">
        <v>45832</v>
      </c>
      <c r="J2890">
        <v>18.28</v>
      </c>
      <c r="K2890" s="1">
        <v>45695</v>
      </c>
      <c r="L2890">
        <v>108.04</v>
      </c>
    </row>
    <row r="2891" spans="1:12" x14ac:dyDescent="0.25">
      <c r="A2891" s="1">
        <v>45805</v>
      </c>
      <c r="B2891">
        <v>19.309999999999999</v>
      </c>
      <c r="C2891" s="1">
        <v>45839</v>
      </c>
      <c r="D2891">
        <v>16.66</v>
      </c>
      <c r="E2891" s="1">
        <v>45792</v>
      </c>
      <c r="F2891">
        <v>98.65</v>
      </c>
      <c r="G2891" s="1">
        <v>45833</v>
      </c>
      <c r="H2891">
        <v>42.75</v>
      </c>
      <c r="I2891" s="1">
        <v>45833</v>
      </c>
      <c r="J2891">
        <v>17.329999999999998</v>
      </c>
      <c r="K2891" s="1">
        <v>45698</v>
      </c>
      <c r="L2891">
        <v>108.319</v>
      </c>
    </row>
    <row r="2892" spans="1:12" x14ac:dyDescent="0.25">
      <c r="A2892" s="1">
        <v>45806</v>
      </c>
      <c r="B2892">
        <v>19.18</v>
      </c>
      <c r="C2892" s="1">
        <v>45840</v>
      </c>
      <c r="D2892">
        <v>17.45</v>
      </c>
      <c r="E2892" s="1">
        <v>45793</v>
      </c>
      <c r="F2892">
        <v>96.7</v>
      </c>
      <c r="G2892" s="1">
        <v>45834</v>
      </c>
      <c r="H2892">
        <v>41.86</v>
      </c>
      <c r="I2892" s="1">
        <v>45834</v>
      </c>
      <c r="J2892">
        <v>16.649999999999999</v>
      </c>
      <c r="K2892" s="1">
        <v>45699</v>
      </c>
      <c r="L2892">
        <v>107.96299999999999</v>
      </c>
    </row>
    <row r="2893" spans="1:12" x14ac:dyDescent="0.25">
      <c r="A2893" s="1">
        <v>45807</v>
      </c>
      <c r="B2893">
        <v>18.57</v>
      </c>
      <c r="C2893" s="1">
        <v>45841</v>
      </c>
      <c r="D2893">
        <v>16.46</v>
      </c>
      <c r="E2893" s="1">
        <v>45796</v>
      </c>
      <c r="F2893">
        <v>103.81</v>
      </c>
      <c r="G2893" s="1">
        <v>45835</v>
      </c>
      <c r="H2893">
        <v>41.23</v>
      </c>
      <c r="I2893" s="1">
        <v>45835</v>
      </c>
      <c r="J2893">
        <v>16.489999999999998</v>
      </c>
      <c r="K2893" s="1">
        <v>45700</v>
      </c>
      <c r="L2893">
        <v>107.938</v>
      </c>
    </row>
    <row r="2894" spans="1:12" x14ac:dyDescent="0.25">
      <c r="A2894" s="1">
        <v>45810</v>
      </c>
      <c r="B2894">
        <v>18.36</v>
      </c>
      <c r="C2894" s="1">
        <v>45845</v>
      </c>
      <c r="D2894">
        <v>18.07</v>
      </c>
      <c r="E2894" s="1">
        <v>45797</v>
      </c>
      <c r="F2894">
        <v>101.37</v>
      </c>
      <c r="G2894" s="1">
        <v>45838</v>
      </c>
      <c r="H2894">
        <v>38.89</v>
      </c>
      <c r="I2894" s="1">
        <v>45838</v>
      </c>
      <c r="J2894">
        <v>17.309999999999999</v>
      </c>
      <c r="K2894" s="1">
        <v>45701</v>
      </c>
      <c r="L2894">
        <v>107.313</v>
      </c>
    </row>
    <row r="2895" spans="1:12" x14ac:dyDescent="0.25">
      <c r="A2895" s="1">
        <v>45811</v>
      </c>
      <c r="B2895">
        <v>17.690000000000001</v>
      </c>
      <c r="C2895" s="1">
        <v>45846</v>
      </c>
      <c r="D2895">
        <v>17.239999999999998</v>
      </c>
      <c r="E2895" s="1">
        <v>45798</v>
      </c>
      <c r="F2895">
        <v>102.1</v>
      </c>
      <c r="G2895" s="1">
        <v>45839</v>
      </c>
      <c r="H2895">
        <v>38</v>
      </c>
      <c r="I2895" s="1">
        <v>45839</v>
      </c>
      <c r="J2895">
        <v>16.760000000000002</v>
      </c>
      <c r="K2895" s="1">
        <v>45702</v>
      </c>
      <c r="L2895">
        <v>106.71</v>
      </c>
    </row>
    <row r="2896" spans="1:12" x14ac:dyDescent="0.25">
      <c r="A2896" s="1">
        <v>45812</v>
      </c>
      <c r="B2896">
        <v>17.61</v>
      </c>
      <c r="C2896" s="1">
        <v>45847</v>
      </c>
      <c r="D2896">
        <v>17.190000000000001</v>
      </c>
      <c r="E2896" s="1">
        <v>45799</v>
      </c>
      <c r="F2896">
        <v>99.47</v>
      </c>
      <c r="G2896" s="1">
        <v>45840</v>
      </c>
      <c r="H2896">
        <v>40.24</v>
      </c>
      <c r="I2896" s="1">
        <v>45840</v>
      </c>
      <c r="J2896">
        <v>16.87</v>
      </c>
      <c r="K2896" s="1">
        <v>45705</v>
      </c>
      <c r="L2896">
        <v>106.575</v>
      </c>
    </row>
    <row r="2897" spans="1:12" x14ac:dyDescent="0.25">
      <c r="A2897" s="1">
        <v>45813</v>
      </c>
      <c r="B2897">
        <v>18.48</v>
      </c>
      <c r="C2897" s="1">
        <v>45848</v>
      </c>
      <c r="D2897">
        <v>16.809999999999999</v>
      </c>
      <c r="E2897" s="1">
        <v>45800</v>
      </c>
      <c r="F2897">
        <v>100.91</v>
      </c>
      <c r="G2897" s="1">
        <v>45841</v>
      </c>
      <c r="H2897">
        <v>37.75</v>
      </c>
      <c r="I2897" s="1">
        <v>45841</v>
      </c>
      <c r="J2897">
        <v>16.190000000000001</v>
      </c>
      <c r="K2897" s="1">
        <v>45706</v>
      </c>
      <c r="L2897">
        <v>107.054</v>
      </c>
    </row>
    <row r="2898" spans="1:12" x14ac:dyDescent="0.25">
      <c r="A2898" s="1">
        <v>45814</v>
      </c>
      <c r="B2898">
        <v>16.77</v>
      </c>
      <c r="C2898" s="1">
        <v>45849</v>
      </c>
      <c r="D2898">
        <v>16.48</v>
      </c>
      <c r="E2898" s="1">
        <v>45804</v>
      </c>
      <c r="F2898">
        <v>97.93</v>
      </c>
      <c r="G2898" s="1">
        <v>45845</v>
      </c>
      <c r="H2898">
        <v>41.23</v>
      </c>
      <c r="I2898" s="1">
        <v>45845</v>
      </c>
      <c r="J2898">
        <v>16.91</v>
      </c>
      <c r="K2898" s="1">
        <v>45707</v>
      </c>
      <c r="L2898">
        <v>107.173</v>
      </c>
    </row>
    <row r="2899" spans="1:12" x14ac:dyDescent="0.25">
      <c r="A2899" s="1">
        <v>45817</v>
      </c>
      <c r="B2899">
        <v>17.16</v>
      </c>
      <c r="C2899" s="1">
        <v>45852</v>
      </c>
      <c r="D2899">
        <v>17</v>
      </c>
      <c r="E2899" s="1">
        <v>45805</v>
      </c>
      <c r="F2899">
        <v>93.2</v>
      </c>
      <c r="G2899" s="1">
        <v>45846</v>
      </c>
      <c r="H2899">
        <v>35.71</v>
      </c>
      <c r="I2899" s="1">
        <v>45846</v>
      </c>
      <c r="J2899">
        <v>16.2</v>
      </c>
      <c r="K2899" s="1">
        <v>45708</v>
      </c>
      <c r="L2899">
        <v>106.372</v>
      </c>
    </row>
    <row r="2900" spans="1:12" x14ac:dyDescent="0.25">
      <c r="A2900" s="1">
        <v>45818</v>
      </c>
      <c r="B2900">
        <v>16.95</v>
      </c>
      <c r="C2900" s="1">
        <v>45853</v>
      </c>
      <c r="D2900">
        <v>17.190000000000001</v>
      </c>
      <c r="E2900" s="1">
        <v>45806</v>
      </c>
      <c r="F2900">
        <v>92.67</v>
      </c>
      <c r="G2900" s="1">
        <v>45847</v>
      </c>
      <c r="H2900">
        <v>34.17</v>
      </c>
      <c r="I2900" s="1">
        <v>45847</v>
      </c>
      <c r="J2900">
        <v>15.86</v>
      </c>
      <c r="K2900" s="1">
        <v>45709</v>
      </c>
      <c r="L2900">
        <v>106.61199999999999</v>
      </c>
    </row>
    <row r="2901" spans="1:12" x14ac:dyDescent="0.25">
      <c r="A2901" s="1">
        <v>45819</v>
      </c>
      <c r="B2901">
        <v>17.260000000000002</v>
      </c>
      <c r="C2901" s="1">
        <v>45854</v>
      </c>
      <c r="D2901">
        <v>17.97</v>
      </c>
      <c r="E2901" s="1">
        <v>45807</v>
      </c>
      <c r="F2901">
        <v>92.11</v>
      </c>
      <c r="G2901" s="1">
        <v>45848</v>
      </c>
      <c r="H2901">
        <v>32.799999999999997</v>
      </c>
      <c r="I2901" s="1">
        <v>45848</v>
      </c>
      <c r="J2901">
        <v>16.04</v>
      </c>
      <c r="K2901" s="1">
        <v>45712</v>
      </c>
      <c r="L2901">
        <v>106.596</v>
      </c>
    </row>
    <row r="2902" spans="1:12" x14ac:dyDescent="0.25">
      <c r="A2902" s="1">
        <v>45820</v>
      </c>
      <c r="B2902">
        <v>18.02</v>
      </c>
      <c r="C2902" s="1">
        <v>45855</v>
      </c>
      <c r="D2902">
        <v>17.04</v>
      </c>
      <c r="E2902" s="1">
        <v>45810</v>
      </c>
      <c r="F2902">
        <v>95.76</v>
      </c>
      <c r="G2902" s="1">
        <v>45849</v>
      </c>
      <c r="H2902">
        <v>37.06</v>
      </c>
      <c r="I2902" s="1">
        <v>45849</v>
      </c>
      <c r="J2902">
        <v>16.940000000000001</v>
      </c>
      <c r="K2902" s="1">
        <v>45713</v>
      </c>
      <c r="L2902">
        <v>106.30800000000001</v>
      </c>
    </row>
    <row r="2903" spans="1:12" x14ac:dyDescent="0.25">
      <c r="A2903" s="1">
        <v>45821</v>
      </c>
      <c r="B2903">
        <v>20.82</v>
      </c>
      <c r="C2903" s="1">
        <v>45856</v>
      </c>
      <c r="D2903">
        <v>17.22</v>
      </c>
      <c r="E2903" s="1">
        <v>45811</v>
      </c>
      <c r="F2903">
        <v>100</v>
      </c>
      <c r="G2903" s="1">
        <v>45852</v>
      </c>
      <c r="H2903">
        <v>33.53</v>
      </c>
      <c r="I2903" s="1">
        <v>45852</v>
      </c>
      <c r="J2903">
        <v>16.989999999999998</v>
      </c>
      <c r="K2903" s="1">
        <v>45714</v>
      </c>
      <c r="L2903">
        <v>106.416</v>
      </c>
    </row>
    <row r="2904" spans="1:12" x14ac:dyDescent="0.25">
      <c r="A2904" s="1">
        <v>45824</v>
      </c>
      <c r="B2904">
        <v>19.11</v>
      </c>
      <c r="C2904" s="1">
        <v>45859</v>
      </c>
      <c r="D2904">
        <v>17.71</v>
      </c>
      <c r="E2904" s="1">
        <v>45812</v>
      </c>
      <c r="F2904">
        <v>96.98</v>
      </c>
      <c r="G2904" s="1">
        <v>45853</v>
      </c>
      <c r="H2904">
        <v>34.380000000000003</v>
      </c>
      <c r="I2904" s="1">
        <v>45853</v>
      </c>
      <c r="J2904">
        <v>16.37</v>
      </c>
      <c r="K2904" s="1">
        <v>45715</v>
      </c>
      <c r="L2904">
        <v>107.244</v>
      </c>
    </row>
    <row r="2905" spans="1:12" x14ac:dyDescent="0.25">
      <c r="A2905" s="1">
        <v>45825</v>
      </c>
      <c r="B2905">
        <v>21.6</v>
      </c>
      <c r="C2905" s="1">
        <v>45860</v>
      </c>
      <c r="D2905">
        <v>18.18</v>
      </c>
      <c r="E2905" s="1">
        <v>45813</v>
      </c>
      <c r="F2905">
        <v>94.65</v>
      </c>
      <c r="G2905" s="1">
        <v>45854</v>
      </c>
      <c r="H2905">
        <v>33.159999999999997</v>
      </c>
      <c r="I2905" s="1">
        <v>45854</v>
      </c>
      <c r="J2905">
        <v>17.27</v>
      </c>
      <c r="K2905" s="1">
        <v>45716</v>
      </c>
      <c r="L2905">
        <v>107.614</v>
      </c>
    </row>
    <row r="2906" spans="1:12" x14ac:dyDescent="0.25">
      <c r="A2906" s="1">
        <v>45826</v>
      </c>
      <c r="B2906">
        <v>20.14</v>
      </c>
      <c r="C2906" s="1">
        <v>45861</v>
      </c>
      <c r="D2906">
        <v>17.8</v>
      </c>
      <c r="E2906" s="1">
        <v>45814</v>
      </c>
      <c r="F2906">
        <v>89.65</v>
      </c>
      <c r="G2906" s="1">
        <v>45855</v>
      </c>
      <c r="H2906">
        <v>32.840000000000003</v>
      </c>
      <c r="I2906" s="1">
        <v>45855</v>
      </c>
      <c r="J2906">
        <v>16.91</v>
      </c>
      <c r="K2906" s="1">
        <v>45719</v>
      </c>
      <c r="L2906">
        <v>106.747</v>
      </c>
    </row>
    <row r="2907" spans="1:12" x14ac:dyDescent="0.25">
      <c r="A2907" s="1">
        <v>45827</v>
      </c>
      <c r="B2907">
        <v>22.17</v>
      </c>
      <c r="C2907" s="1">
        <v>45862</v>
      </c>
      <c r="D2907">
        <v>17.16</v>
      </c>
      <c r="E2907" s="1">
        <v>45817</v>
      </c>
      <c r="F2907">
        <v>92.62</v>
      </c>
      <c r="G2907" s="1">
        <v>45856</v>
      </c>
      <c r="H2907">
        <v>32.17</v>
      </c>
      <c r="I2907" s="1">
        <v>45856</v>
      </c>
      <c r="J2907">
        <v>16.73</v>
      </c>
      <c r="K2907" s="1">
        <v>45720</v>
      </c>
      <c r="L2907">
        <v>105.74299999999999</v>
      </c>
    </row>
    <row r="2908" spans="1:12" x14ac:dyDescent="0.25">
      <c r="A2908" s="1">
        <v>45828</v>
      </c>
      <c r="B2908">
        <v>20.62</v>
      </c>
      <c r="C2908" s="1">
        <v>45863</v>
      </c>
      <c r="D2908">
        <v>16.32</v>
      </c>
      <c r="E2908" s="1">
        <v>45818</v>
      </c>
      <c r="F2908">
        <v>91.22</v>
      </c>
      <c r="G2908" s="1">
        <v>45859</v>
      </c>
      <c r="H2908">
        <v>31.38</v>
      </c>
      <c r="I2908" s="1">
        <v>45859</v>
      </c>
      <c r="J2908">
        <v>17.78</v>
      </c>
      <c r="K2908" s="1">
        <v>45721</v>
      </c>
      <c r="L2908">
        <v>104.276</v>
      </c>
    </row>
    <row r="2909" spans="1:12" x14ac:dyDescent="0.25">
      <c r="A2909" s="1">
        <v>45831</v>
      </c>
      <c r="B2909">
        <v>19.829999999999998</v>
      </c>
      <c r="C2909" s="1">
        <v>45866</v>
      </c>
      <c r="D2909">
        <v>17.260000000000002</v>
      </c>
      <c r="E2909" s="1">
        <v>45819</v>
      </c>
      <c r="F2909">
        <v>89.36</v>
      </c>
      <c r="G2909" s="1">
        <v>45860</v>
      </c>
      <c r="H2909">
        <v>32.26</v>
      </c>
      <c r="I2909" s="1">
        <v>45860</v>
      </c>
      <c r="J2909">
        <v>19.079999999999998</v>
      </c>
      <c r="K2909" s="1">
        <v>45722</v>
      </c>
      <c r="L2909">
        <v>104.062</v>
      </c>
    </row>
    <row r="2910" spans="1:12" x14ac:dyDescent="0.25">
      <c r="A2910" s="1">
        <v>45832</v>
      </c>
      <c r="B2910">
        <v>17.48</v>
      </c>
      <c r="C2910" s="1">
        <v>45867</v>
      </c>
      <c r="D2910">
        <v>17.32</v>
      </c>
      <c r="E2910" s="1">
        <v>45820</v>
      </c>
      <c r="F2910">
        <v>88.99</v>
      </c>
      <c r="G2910" s="1">
        <v>45861</v>
      </c>
      <c r="H2910">
        <v>32.39</v>
      </c>
      <c r="I2910" s="1">
        <v>45861</v>
      </c>
      <c r="J2910">
        <v>18.440000000000001</v>
      </c>
      <c r="K2910" s="1">
        <v>45723</v>
      </c>
      <c r="L2910">
        <v>103.83799999999999</v>
      </c>
    </row>
    <row r="2911" spans="1:12" x14ac:dyDescent="0.25">
      <c r="A2911" s="1">
        <v>45833</v>
      </c>
      <c r="B2911">
        <v>16.760000000000002</v>
      </c>
      <c r="C2911" s="1">
        <v>45868</v>
      </c>
      <c r="D2911">
        <v>18.260000000000002</v>
      </c>
      <c r="E2911" s="1">
        <v>45821</v>
      </c>
      <c r="F2911">
        <v>95.31</v>
      </c>
      <c r="G2911" s="1">
        <v>45862</v>
      </c>
      <c r="H2911">
        <v>32.369999999999997</v>
      </c>
      <c r="I2911" s="1">
        <v>45862</v>
      </c>
      <c r="J2911">
        <v>17.82</v>
      </c>
      <c r="K2911" s="1">
        <v>45726</v>
      </c>
      <c r="L2911">
        <v>103.9</v>
      </c>
    </row>
    <row r="2912" spans="1:12" x14ac:dyDescent="0.25">
      <c r="A2912" s="1">
        <v>45834</v>
      </c>
      <c r="B2912">
        <v>16.59</v>
      </c>
      <c r="C2912" s="1">
        <v>45869</v>
      </c>
      <c r="D2912">
        <v>17.920000000000002</v>
      </c>
      <c r="E2912" s="1">
        <v>45824</v>
      </c>
      <c r="F2912">
        <v>93.48</v>
      </c>
      <c r="G2912" s="1">
        <v>45863</v>
      </c>
      <c r="H2912">
        <v>32.880000000000003</v>
      </c>
      <c r="I2912" s="1">
        <v>45863</v>
      </c>
      <c r="J2912">
        <v>17.05</v>
      </c>
      <c r="K2912" s="1">
        <v>45727</v>
      </c>
      <c r="L2912">
        <v>103.419</v>
      </c>
    </row>
    <row r="2913" spans="1:12" x14ac:dyDescent="0.25">
      <c r="A2913" s="1">
        <v>45835</v>
      </c>
      <c r="B2913">
        <v>16.32</v>
      </c>
      <c r="C2913" s="1">
        <v>45870</v>
      </c>
      <c r="D2913">
        <v>18.29</v>
      </c>
      <c r="E2913" s="1">
        <v>45825</v>
      </c>
      <c r="F2913">
        <v>97.18</v>
      </c>
      <c r="G2913" s="1">
        <v>45866</v>
      </c>
      <c r="H2913">
        <v>35.369999999999997</v>
      </c>
      <c r="I2913" s="1">
        <v>45866</v>
      </c>
      <c r="J2913">
        <v>16.79</v>
      </c>
      <c r="K2913" s="1">
        <v>45728</v>
      </c>
      <c r="L2913">
        <v>103.61199999999999</v>
      </c>
    </row>
    <row r="2914" spans="1:12" x14ac:dyDescent="0.25">
      <c r="A2914" s="1">
        <v>45838</v>
      </c>
      <c r="B2914">
        <v>16.73</v>
      </c>
      <c r="C2914" s="1">
        <v>45873</v>
      </c>
      <c r="D2914">
        <v>17.75</v>
      </c>
      <c r="E2914" s="1">
        <v>45826</v>
      </c>
      <c r="F2914">
        <v>93.64</v>
      </c>
      <c r="G2914" s="1">
        <v>45867</v>
      </c>
      <c r="H2914">
        <v>38.04</v>
      </c>
      <c r="I2914" s="1">
        <v>45867</v>
      </c>
      <c r="J2914">
        <v>16.61</v>
      </c>
      <c r="K2914" s="1">
        <v>45729</v>
      </c>
      <c r="L2914">
        <v>103.828</v>
      </c>
    </row>
    <row r="2915" spans="1:12" x14ac:dyDescent="0.25">
      <c r="A2915" s="1">
        <v>45839</v>
      </c>
      <c r="B2915">
        <v>16.829999999999998</v>
      </c>
      <c r="C2915" s="1">
        <v>45874</v>
      </c>
      <c r="D2915">
        <v>17.68</v>
      </c>
      <c r="E2915" s="1">
        <v>45828</v>
      </c>
      <c r="F2915">
        <v>90.1</v>
      </c>
      <c r="G2915" s="1">
        <v>45868</v>
      </c>
      <c r="H2915">
        <v>37.75</v>
      </c>
      <c r="I2915" s="1">
        <v>45868</v>
      </c>
      <c r="J2915">
        <v>16.48</v>
      </c>
      <c r="K2915" s="1">
        <v>45730</v>
      </c>
      <c r="L2915">
        <v>103.718</v>
      </c>
    </row>
    <row r="2916" spans="1:12" x14ac:dyDescent="0.25">
      <c r="A2916" s="1">
        <v>45840</v>
      </c>
      <c r="B2916">
        <v>16.64</v>
      </c>
      <c r="C2916" s="1">
        <v>45875</v>
      </c>
      <c r="D2916">
        <v>17.190000000000001</v>
      </c>
      <c r="E2916" s="1">
        <v>45831</v>
      </c>
      <c r="F2916">
        <v>95.03</v>
      </c>
      <c r="G2916" s="1">
        <v>45869</v>
      </c>
      <c r="H2916">
        <v>36.78</v>
      </c>
      <c r="I2916" s="1">
        <v>45869</v>
      </c>
      <c r="J2916">
        <v>16.04</v>
      </c>
      <c r="K2916" s="1">
        <v>45733</v>
      </c>
      <c r="L2916">
        <v>103.37</v>
      </c>
    </row>
    <row r="2917" spans="1:12" x14ac:dyDescent="0.25">
      <c r="A2917" s="1">
        <v>45841</v>
      </c>
      <c r="B2917">
        <v>16.38</v>
      </c>
      <c r="C2917" s="1">
        <v>45876</v>
      </c>
      <c r="D2917">
        <v>17.43</v>
      </c>
      <c r="E2917" s="1">
        <v>45832</v>
      </c>
      <c r="F2917">
        <v>92.62</v>
      </c>
      <c r="G2917" s="1">
        <v>45870</v>
      </c>
      <c r="H2917">
        <v>39.369999999999997</v>
      </c>
      <c r="I2917" s="1">
        <v>45870</v>
      </c>
      <c r="J2917">
        <v>17.3</v>
      </c>
      <c r="K2917" s="1">
        <v>45734</v>
      </c>
      <c r="L2917">
        <v>103.244</v>
      </c>
    </row>
    <row r="2918" spans="1:12" x14ac:dyDescent="0.25">
      <c r="A2918" s="1">
        <v>45842</v>
      </c>
      <c r="B2918">
        <v>17.48</v>
      </c>
      <c r="C2918" s="1">
        <v>45877</v>
      </c>
      <c r="D2918">
        <v>16.3</v>
      </c>
      <c r="E2918" s="1">
        <v>45833</v>
      </c>
      <c r="F2918">
        <v>91.24</v>
      </c>
      <c r="G2918" s="1">
        <v>45873</v>
      </c>
      <c r="H2918">
        <v>38.79</v>
      </c>
      <c r="I2918" s="1">
        <v>45873</v>
      </c>
      <c r="J2918">
        <v>17.07</v>
      </c>
      <c r="K2918" s="1">
        <v>45735</v>
      </c>
      <c r="L2918">
        <v>103.428</v>
      </c>
    </row>
    <row r="2919" spans="1:12" x14ac:dyDescent="0.25">
      <c r="A2919" s="1">
        <v>45845</v>
      </c>
      <c r="B2919">
        <v>17.79</v>
      </c>
      <c r="C2919" s="1">
        <v>45880</v>
      </c>
      <c r="D2919">
        <v>16.84</v>
      </c>
      <c r="E2919" s="1">
        <v>45834</v>
      </c>
      <c r="F2919">
        <v>89.47</v>
      </c>
      <c r="G2919" s="1">
        <v>45874</v>
      </c>
      <c r="H2919">
        <v>35.299999999999997</v>
      </c>
      <c r="I2919" s="1">
        <v>45874</v>
      </c>
      <c r="J2919">
        <v>16.68</v>
      </c>
      <c r="K2919" s="1">
        <v>45736</v>
      </c>
      <c r="L2919">
        <v>103.851</v>
      </c>
    </row>
    <row r="2920" spans="1:12" x14ac:dyDescent="0.25">
      <c r="A2920" s="1">
        <v>45846</v>
      </c>
      <c r="B2920">
        <v>16.809999999999999</v>
      </c>
      <c r="C2920" s="1">
        <v>45881</v>
      </c>
      <c r="D2920">
        <v>15.53</v>
      </c>
      <c r="E2920" s="1">
        <v>45835</v>
      </c>
      <c r="F2920">
        <v>87.93</v>
      </c>
      <c r="G2920" s="1">
        <v>45875</v>
      </c>
      <c r="H2920">
        <v>36.67</v>
      </c>
      <c r="I2920" s="1">
        <v>45875</v>
      </c>
      <c r="J2920">
        <v>16.420000000000002</v>
      </c>
      <c r="K2920" s="1">
        <v>45737</v>
      </c>
      <c r="L2920">
        <v>104.08799999999999</v>
      </c>
    </row>
    <row r="2921" spans="1:12" x14ac:dyDescent="0.25">
      <c r="A2921" s="1">
        <v>45847</v>
      </c>
      <c r="B2921">
        <v>15.94</v>
      </c>
      <c r="C2921" s="1">
        <v>45882</v>
      </c>
      <c r="D2921">
        <v>15.71</v>
      </c>
      <c r="E2921" s="1">
        <v>45838</v>
      </c>
      <c r="F2921">
        <v>90.26</v>
      </c>
      <c r="G2921" s="1">
        <v>45876</v>
      </c>
      <c r="H2921">
        <v>35.01</v>
      </c>
      <c r="I2921" s="1">
        <v>45876</v>
      </c>
      <c r="J2921">
        <v>16.95</v>
      </c>
      <c r="K2921" s="1">
        <v>45740</v>
      </c>
      <c r="L2921">
        <v>104.262</v>
      </c>
    </row>
    <row r="2922" spans="1:12" x14ac:dyDescent="0.25">
      <c r="A2922" s="1">
        <v>45848</v>
      </c>
      <c r="B2922">
        <v>15.78</v>
      </c>
      <c r="C2922" s="1">
        <v>45883</v>
      </c>
      <c r="D2922">
        <v>16.190000000000001</v>
      </c>
      <c r="E2922" s="1">
        <v>45839</v>
      </c>
      <c r="F2922">
        <v>93.48</v>
      </c>
      <c r="G2922" s="1">
        <v>45877</v>
      </c>
      <c r="H2922">
        <v>34.06</v>
      </c>
      <c r="I2922" s="1">
        <v>45877</v>
      </c>
      <c r="J2922">
        <v>16.36</v>
      </c>
      <c r="K2922" s="1">
        <v>45741</v>
      </c>
      <c r="L2922">
        <v>104.184</v>
      </c>
    </row>
    <row r="2923" spans="1:12" x14ac:dyDescent="0.25">
      <c r="A2923" s="1">
        <v>45849</v>
      </c>
      <c r="B2923">
        <v>16.399999999999999</v>
      </c>
      <c r="C2923" s="1">
        <v>45884</v>
      </c>
      <c r="D2923">
        <v>15.31</v>
      </c>
      <c r="E2923" s="1">
        <v>45840</v>
      </c>
      <c r="F2923">
        <v>91.37</v>
      </c>
      <c r="G2923" s="1">
        <v>45880</v>
      </c>
      <c r="H2923">
        <v>31.4</v>
      </c>
      <c r="I2923" s="1">
        <v>45880</v>
      </c>
      <c r="J2923">
        <v>16.940000000000001</v>
      </c>
      <c r="K2923" s="1">
        <v>45742</v>
      </c>
      <c r="L2923">
        <v>104.547</v>
      </c>
    </row>
    <row r="2924" spans="1:12" x14ac:dyDescent="0.25">
      <c r="A2924" s="1">
        <v>45852</v>
      </c>
      <c r="B2924">
        <v>17.2</v>
      </c>
      <c r="C2924" s="1">
        <v>45887</v>
      </c>
      <c r="D2924">
        <v>15.48</v>
      </c>
      <c r="E2924" s="1">
        <v>45841</v>
      </c>
      <c r="F2924">
        <v>86.09</v>
      </c>
      <c r="G2924" s="1">
        <v>45881</v>
      </c>
      <c r="H2924">
        <v>30.31</v>
      </c>
      <c r="I2924" s="1">
        <v>45881</v>
      </c>
      <c r="J2924">
        <v>16.350000000000001</v>
      </c>
      <c r="K2924" s="1">
        <v>45743</v>
      </c>
      <c r="L2924">
        <v>104.33499999999999</v>
      </c>
    </row>
    <row r="2925" spans="1:12" x14ac:dyDescent="0.25">
      <c r="A2925" s="1">
        <v>45853</v>
      </c>
      <c r="B2925">
        <v>17.38</v>
      </c>
      <c r="C2925" s="1">
        <v>45888</v>
      </c>
      <c r="D2925">
        <v>15.96</v>
      </c>
      <c r="E2925" s="1">
        <v>45845</v>
      </c>
      <c r="F2925">
        <v>88.53</v>
      </c>
      <c r="G2925" s="1">
        <v>45882</v>
      </c>
      <c r="H2925">
        <v>33.82</v>
      </c>
      <c r="I2925" s="1">
        <v>45882</v>
      </c>
      <c r="J2925">
        <v>15.95</v>
      </c>
      <c r="K2925" s="1">
        <v>45744</v>
      </c>
      <c r="L2925">
        <v>104.044</v>
      </c>
    </row>
    <row r="2926" spans="1:12" x14ac:dyDescent="0.25">
      <c r="A2926" s="1">
        <v>45854</v>
      </c>
      <c r="B2926">
        <v>17.16</v>
      </c>
      <c r="C2926" s="1">
        <v>45889</v>
      </c>
      <c r="D2926">
        <v>15.43</v>
      </c>
      <c r="E2926" s="1">
        <v>45846</v>
      </c>
      <c r="F2926">
        <v>88.05</v>
      </c>
      <c r="G2926" s="1">
        <v>45883</v>
      </c>
      <c r="H2926">
        <v>35.96</v>
      </c>
      <c r="I2926" s="1">
        <v>45883</v>
      </c>
      <c r="J2926">
        <v>15.33</v>
      </c>
      <c r="K2926" s="1">
        <v>45747</v>
      </c>
      <c r="L2926">
        <v>104.21</v>
      </c>
    </row>
    <row r="2927" spans="1:12" x14ac:dyDescent="0.25">
      <c r="A2927" s="1">
        <v>45855</v>
      </c>
      <c r="B2927">
        <v>16.52</v>
      </c>
      <c r="C2927" s="1">
        <v>45890</v>
      </c>
      <c r="D2927">
        <v>16.329999999999998</v>
      </c>
      <c r="E2927" s="1">
        <v>45847</v>
      </c>
      <c r="F2927">
        <v>84.31</v>
      </c>
      <c r="G2927" s="1">
        <v>45884</v>
      </c>
      <c r="H2927">
        <v>37.22</v>
      </c>
      <c r="I2927" s="1">
        <v>45884</v>
      </c>
      <c r="J2927">
        <v>15.22</v>
      </c>
      <c r="K2927" s="1">
        <v>45748</v>
      </c>
      <c r="L2927">
        <v>104.26</v>
      </c>
    </row>
    <row r="2928" spans="1:12" x14ac:dyDescent="0.25">
      <c r="A2928" s="1">
        <v>45856</v>
      </c>
      <c r="B2928">
        <v>16.41</v>
      </c>
      <c r="C2928" s="1">
        <v>45891</v>
      </c>
      <c r="D2928">
        <v>15.68</v>
      </c>
      <c r="E2928" s="1">
        <v>45848</v>
      </c>
      <c r="F2928">
        <v>81.58</v>
      </c>
      <c r="G2928" s="1">
        <v>45887</v>
      </c>
      <c r="H2928">
        <v>32.15</v>
      </c>
      <c r="I2928" s="1">
        <v>45887</v>
      </c>
      <c r="J2928">
        <v>14.9</v>
      </c>
      <c r="K2928" s="1">
        <v>45749</v>
      </c>
      <c r="L2928">
        <v>103.807</v>
      </c>
    </row>
    <row r="2929" spans="1:12" x14ac:dyDescent="0.25">
      <c r="A2929" s="1">
        <v>45859</v>
      </c>
      <c r="B2929">
        <v>16.649999999999999</v>
      </c>
      <c r="C2929" s="1">
        <v>45894</v>
      </c>
      <c r="D2929">
        <v>16.149999999999999</v>
      </c>
      <c r="E2929" s="1">
        <v>45849</v>
      </c>
      <c r="F2929">
        <v>85.48</v>
      </c>
      <c r="G2929" s="1">
        <v>45888</v>
      </c>
      <c r="H2929">
        <v>33.04</v>
      </c>
      <c r="I2929" s="1">
        <v>45888</v>
      </c>
      <c r="J2929">
        <v>14.82</v>
      </c>
      <c r="K2929" s="1">
        <v>45750</v>
      </c>
      <c r="L2929">
        <v>102.072</v>
      </c>
    </row>
    <row r="2930" spans="1:12" x14ac:dyDescent="0.25">
      <c r="A2930" s="1">
        <v>45860</v>
      </c>
      <c r="B2930">
        <v>16.5</v>
      </c>
      <c r="C2930" s="1">
        <v>45895</v>
      </c>
      <c r="D2930">
        <v>16.41</v>
      </c>
      <c r="E2930" s="1">
        <v>45852</v>
      </c>
      <c r="F2930">
        <v>90.73</v>
      </c>
      <c r="G2930" s="1">
        <v>45889</v>
      </c>
      <c r="H2930">
        <v>32.51</v>
      </c>
      <c r="I2930" s="1">
        <v>45889</v>
      </c>
      <c r="J2930">
        <v>15.4</v>
      </c>
      <c r="K2930" s="1">
        <v>45751</v>
      </c>
      <c r="L2930">
        <v>103.023</v>
      </c>
    </row>
    <row r="2931" spans="1:12" x14ac:dyDescent="0.25">
      <c r="A2931" s="1">
        <v>45861</v>
      </c>
      <c r="B2931">
        <v>15.37</v>
      </c>
      <c r="C2931" s="1">
        <v>45896</v>
      </c>
      <c r="D2931">
        <v>16.02</v>
      </c>
      <c r="E2931" s="1">
        <v>45853</v>
      </c>
      <c r="F2931">
        <v>88.95</v>
      </c>
      <c r="G2931" s="1">
        <v>45890</v>
      </c>
      <c r="H2931">
        <v>31.54</v>
      </c>
      <c r="I2931" s="1">
        <v>45890</v>
      </c>
      <c r="J2931">
        <v>15.44</v>
      </c>
      <c r="K2931" s="1">
        <v>45754</v>
      </c>
      <c r="L2931">
        <v>103.256</v>
      </c>
    </row>
    <row r="2932" spans="1:12" x14ac:dyDescent="0.25">
      <c r="A2932" s="1">
        <v>45862</v>
      </c>
      <c r="B2932">
        <v>15.39</v>
      </c>
      <c r="C2932" s="1">
        <v>45897</v>
      </c>
      <c r="D2932">
        <v>15.62</v>
      </c>
      <c r="E2932" s="1">
        <v>45854</v>
      </c>
      <c r="F2932">
        <v>89.52</v>
      </c>
      <c r="G2932" s="1">
        <v>45891</v>
      </c>
      <c r="H2932">
        <v>30.35</v>
      </c>
      <c r="I2932" s="1">
        <v>45891</v>
      </c>
      <c r="J2932">
        <v>15.15</v>
      </c>
      <c r="K2932" s="1">
        <v>45755</v>
      </c>
      <c r="L2932">
        <v>102.955</v>
      </c>
    </row>
    <row r="2933" spans="1:12" x14ac:dyDescent="0.25">
      <c r="A2933" s="1">
        <v>45863</v>
      </c>
      <c r="B2933">
        <v>14.93</v>
      </c>
      <c r="C2933" s="1">
        <v>45898</v>
      </c>
      <c r="D2933">
        <v>15.89</v>
      </c>
      <c r="E2933" s="1">
        <v>45855</v>
      </c>
      <c r="F2933">
        <v>85.57</v>
      </c>
      <c r="G2933" s="1">
        <v>45894</v>
      </c>
      <c r="H2933">
        <v>31.24</v>
      </c>
      <c r="I2933" s="1">
        <v>45894</v>
      </c>
      <c r="J2933">
        <v>15.09</v>
      </c>
      <c r="K2933" s="1">
        <v>45756</v>
      </c>
      <c r="L2933">
        <v>102.9</v>
      </c>
    </row>
    <row r="2934" spans="1:12" x14ac:dyDescent="0.25">
      <c r="A2934" s="1">
        <v>45866</v>
      </c>
      <c r="B2934">
        <v>15.03</v>
      </c>
      <c r="C2934" s="1">
        <v>45902</v>
      </c>
      <c r="D2934">
        <v>16.829999999999998</v>
      </c>
      <c r="E2934" s="1">
        <v>45856</v>
      </c>
      <c r="F2934">
        <v>83.29</v>
      </c>
      <c r="G2934" s="1">
        <v>45895</v>
      </c>
      <c r="H2934">
        <v>33.729999999999997</v>
      </c>
      <c r="I2934" s="1">
        <v>45895</v>
      </c>
      <c r="J2934">
        <v>15.88</v>
      </c>
      <c r="K2934" s="1">
        <v>45757</v>
      </c>
      <c r="L2934">
        <v>100.867</v>
      </c>
    </row>
    <row r="2935" spans="1:12" x14ac:dyDescent="0.25">
      <c r="A2935" s="1">
        <v>45867</v>
      </c>
      <c r="B2935">
        <v>15.98</v>
      </c>
      <c r="C2935" s="1">
        <v>45903</v>
      </c>
      <c r="D2935">
        <v>16.149999999999999</v>
      </c>
      <c r="E2935" s="1">
        <v>45859</v>
      </c>
      <c r="F2935">
        <v>86.62</v>
      </c>
      <c r="G2935" s="1">
        <v>45896</v>
      </c>
      <c r="H2935">
        <v>31.94</v>
      </c>
      <c r="I2935" s="1">
        <v>45896</v>
      </c>
      <c r="J2935">
        <v>15.9</v>
      </c>
      <c r="K2935" s="1">
        <v>45758</v>
      </c>
      <c r="L2935">
        <v>100.102</v>
      </c>
    </row>
    <row r="2936" spans="1:12" x14ac:dyDescent="0.25">
      <c r="A2936" s="1">
        <v>45868</v>
      </c>
      <c r="B2936">
        <v>15.48</v>
      </c>
      <c r="C2936" s="1">
        <v>45904</v>
      </c>
      <c r="D2936">
        <v>16.05</v>
      </c>
      <c r="E2936" s="1">
        <v>45860</v>
      </c>
      <c r="F2936">
        <v>89.89</v>
      </c>
      <c r="G2936" s="1">
        <v>45897</v>
      </c>
      <c r="H2936">
        <v>33.979999999999997</v>
      </c>
      <c r="I2936" s="1">
        <v>45897</v>
      </c>
      <c r="J2936">
        <v>16.34</v>
      </c>
      <c r="K2936" s="1">
        <v>45761</v>
      </c>
      <c r="L2936">
        <v>99.64</v>
      </c>
    </row>
    <row r="2937" spans="1:12" x14ac:dyDescent="0.25">
      <c r="A2937" s="1">
        <v>45869</v>
      </c>
      <c r="B2937">
        <v>16.72</v>
      </c>
      <c r="C2937" s="1">
        <v>45905</v>
      </c>
      <c r="D2937">
        <v>15.89</v>
      </c>
      <c r="E2937" s="1">
        <v>45861</v>
      </c>
      <c r="F2937">
        <v>85.95</v>
      </c>
      <c r="G2937" s="1">
        <v>45898</v>
      </c>
      <c r="H2937">
        <v>32.630000000000003</v>
      </c>
      <c r="I2937" s="1">
        <v>45898</v>
      </c>
      <c r="J2937">
        <v>17.39</v>
      </c>
      <c r="K2937" s="1">
        <v>45762</v>
      </c>
      <c r="L2937">
        <v>100.215</v>
      </c>
    </row>
    <row r="2938" spans="1:12" x14ac:dyDescent="0.25">
      <c r="A2938" s="1">
        <v>45870</v>
      </c>
      <c r="B2938">
        <v>20.38</v>
      </c>
      <c r="C2938" s="1">
        <v>45908</v>
      </c>
      <c r="D2938">
        <v>16.12</v>
      </c>
      <c r="E2938" s="1">
        <v>45862</v>
      </c>
      <c r="F2938">
        <v>82.75</v>
      </c>
      <c r="G2938" s="1">
        <v>45902</v>
      </c>
      <c r="H2938">
        <v>34.28</v>
      </c>
      <c r="I2938" s="1">
        <v>45902</v>
      </c>
      <c r="J2938">
        <v>19.809999999999999</v>
      </c>
      <c r="K2938" s="1">
        <v>45763</v>
      </c>
      <c r="L2938">
        <v>99.38</v>
      </c>
    </row>
    <row r="2939" spans="1:12" x14ac:dyDescent="0.25">
      <c r="A2939" s="1">
        <v>45873</v>
      </c>
      <c r="B2939">
        <v>17.52</v>
      </c>
      <c r="C2939" s="1">
        <v>45909</v>
      </c>
      <c r="D2939">
        <v>16.55</v>
      </c>
      <c r="E2939" s="1">
        <v>45863</v>
      </c>
      <c r="F2939">
        <v>82.09</v>
      </c>
      <c r="G2939" s="1">
        <v>45903</v>
      </c>
      <c r="H2939">
        <v>35.22</v>
      </c>
      <c r="I2939" s="1">
        <v>45903</v>
      </c>
      <c r="J2939">
        <v>19.53</v>
      </c>
      <c r="K2939" s="1">
        <v>45764</v>
      </c>
      <c r="L2939">
        <v>99.376000000000005</v>
      </c>
    </row>
    <row r="2940" spans="1:12" x14ac:dyDescent="0.25">
      <c r="A2940" s="1">
        <v>45874</v>
      </c>
      <c r="B2940">
        <v>17.850000000000001</v>
      </c>
      <c r="C2940" s="1">
        <v>45910</v>
      </c>
      <c r="D2940">
        <v>16.350000000000001</v>
      </c>
      <c r="E2940" s="1">
        <v>45866</v>
      </c>
      <c r="F2940">
        <v>83.73</v>
      </c>
      <c r="G2940" s="1">
        <v>45904</v>
      </c>
      <c r="H2940">
        <v>35.03</v>
      </c>
      <c r="I2940" s="1">
        <v>45904</v>
      </c>
      <c r="J2940">
        <v>18.329999999999998</v>
      </c>
      <c r="K2940" s="1">
        <v>45765</v>
      </c>
      <c r="L2940">
        <v>99.23</v>
      </c>
    </row>
    <row r="2941" spans="1:12" x14ac:dyDescent="0.25">
      <c r="A2941" s="1">
        <v>45875</v>
      </c>
      <c r="B2941">
        <v>16.77</v>
      </c>
      <c r="C2941" s="1">
        <v>45911</v>
      </c>
      <c r="D2941">
        <v>16.420000000000002</v>
      </c>
      <c r="E2941" s="1">
        <v>45867</v>
      </c>
      <c r="F2941">
        <v>85.07</v>
      </c>
      <c r="G2941" s="1">
        <v>45905</v>
      </c>
      <c r="H2941">
        <v>33.33</v>
      </c>
      <c r="I2941" s="1">
        <v>45905</v>
      </c>
      <c r="J2941">
        <v>18.3</v>
      </c>
      <c r="K2941" s="1">
        <v>45768</v>
      </c>
      <c r="L2941">
        <v>98.278000000000006</v>
      </c>
    </row>
    <row r="2942" spans="1:12" x14ac:dyDescent="0.25">
      <c r="A2942" s="1">
        <v>45876</v>
      </c>
      <c r="B2942">
        <v>16.57</v>
      </c>
      <c r="C2942" s="1">
        <v>45912</v>
      </c>
      <c r="D2942">
        <v>16.260000000000002</v>
      </c>
      <c r="E2942" s="1">
        <v>45868</v>
      </c>
      <c r="F2942">
        <v>81.88</v>
      </c>
      <c r="G2942" s="1">
        <v>45908</v>
      </c>
      <c r="H2942">
        <v>35.03</v>
      </c>
      <c r="I2942" s="1">
        <v>45908</v>
      </c>
      <c r="J2942">
        <v>19.09</v>
      </c>
      <c r="K2942" s="1">
        <v>45769</v>
      </c>
      <c r="L2942">
        <v>98.918000000000006</v>
      </c>
    </row>
    <row r="2943" spans="1:12" x14ac:dyDescent="0.25">
      <c r="A2943" s="1">
        <v>45877</v>
      </c>
      <c r="B2943">
        <v>15.15</v>
      </c>
      <c r="C2943" s="1">
        <v>45915</v>
      </c>
      <c r="D2943">
        <v>16.489999999999998</v>
      </c>
      <c r="E2943" s="1">
        <v>45869</v>
      </c>
      <c r="F2943">
        <v>79.84</v>
      </c>
      <c r="G2943" s="1">
        <v>45909</v>
      </c>
      <c r="H2943">
        <v>33.44</v>
      </c>
      <c r="I2943" s="1">
        <v>45909</v>
      </c>
      <c r="J2943">
        <v>17.989999999999998</v>
      </c>
      <c r="K2943" s="1">
        <v>45770</v>
      </c>
      <c r="L2943">
        <v>99.843999999999994</v>
      </c>
    </row>
    <row r="2944" spans="1:12" x14ac:dyDescent="0.25">
      <c r="A2944" s="1">
        <v>45880</v>
      </c>
      <c r="B2944">
        <v>16.25</v>
      </c>
      <c r="C2944" s="1">
        <v>45916</v>
      </c>
      <c r="D2944">
        <v>17.3</v>
      </c>
      <c r="E2944" s="1">
        <v>45870</v>
      </c>
      <c r="F2944">
        <v>83.83</v>
      </c>
      <c r="G2944" s="1">
        <v>45910</v>
      </c>
      <c r="H2944">
        <v>33.35</v>
      </c>
      <c r="I2944" s="1">
        <v>45910</v>
      </c>
      <c r="J2944">
        <v>17.37</v>
      </c>
      <c r="K2944" s="1">
        <v>45771</v>
      </c>
      <c r="L2944">
        <v>99.376999999999995</v>
      </c>
    </row>
    <row r="2945" spans="1:12" x14ac:dyDescent="0.25">
      <c r="A2945" s="1">
        <v>45881</v>
      </c>
      <c r="B2945">
        <v>14.73</v>
      </c>
      <c r="C2945" s="1">
        <v>45917</v>
      </c>
      <c r="D2945">
        <v>17.73</v>
      </c>
      <c r="E2945" s="1">
        <v>45873</v>
      </c>
      <c r="F2945">
        <v>87.95</v>
      </c>
      <c r="G2945" s="1">
        <v>45911</v>
      </c>
      <c r="H2945">
        <v>33.96</v>
      </c>
      <c r="I2945" s="1">
        <v>45911</v>
      </c>
      <c r="J2945">
        <v>16.48</v>
      </c>
      <c r="K2945" s="1">
        <v>45772</v>
      </c>
      <c r="L2945">
        <v>99.471000000000004</v>
      </c>
    </row>
    <row r="2946" spans="1:12" x14ac:dyDescent="0.25">
      <c r="A2946" s="1">
        <v>45882</v>
      </c>
      <c r="B2946">
        <v>14.49</v>
      </c>
      <c r="C2946" s="1">
        <v>45918</v>
      </c>
      <c r="D2946">
        <v>17.63</v>
      </c>
      <c r="E2946" s="1">
        <v>45874</v>
      </c>
      <c r="F2946">
        <v>89.2</v>
      </c>
      <c r="G2946" s="1">
        <v>45912</v>
      </c>
      <c r="H2946">
        <v>31.77</v>
      </c>
      <c r="I2946" s="1">
        <v>45912</v>
      </c>
      <c r="J2946">
        <v>16.38</v>
      </c>
      <c r="K2946" s="1">
        <v>45775</v>
      </c>
      <c r="L2946">
        <v>99.01</v>
      </c>
    </row>
    <row r="2947" spans="1:12" x14ac:dyDescent="0.25">
      <c r="A2947" s="1">
        <v>45883</v>
      </c>
      <c r="B2947">
        <v>14.83</v>
      </c>
      <c r="C2947" s="1">
        <v>45919</v>
      </c>
      <c r="D2947">
        <v>16.46</v>
      </c>
      <c r="E2947" s="1">
        <v>45875</v>
      </c>
      <c r="F2947">
        <v>83.89</v>
      </c>
      <c r="G2947" s="1">
        <v>45915</v>
      </c>
      <c r="H2947">
        <v>30.98</v>
      </c>
      <c r="I2947" s="1">
        <v>45915</v>
      </c>
      <c r="J2947">
        <v>17.899999999999999</v>
      </c>
      <c r="K2947" s="1">
        <v>45776</v>
      </c>
      <c r="L2947">
        <v>99.236999999999995</v>
      </c>
    </row>
    <row r="2948" spans="1:12" x14ac:dyDescent="0.25">
      <c r="A2948" s="1">
        <v>45884</v>
      </c>
      <c r="B2948">
        <v>15.09</v>
      </c>
      <c r="C2948" s="1">
        <v>45922</v>
      </c>
      <c r="D2948">
        <v>16.96</v>
      </c>
      <c r="E2948" s="1">
        <v>45876</v>
      </c>
      <c r="F2948">
        <v>80.150000000000006</v>
      </c>
      <c r="G2948" s="1">
        <v>45916</v>
      </c>
      <c r="H2948">
        <v>33.17</v>
      </c>
      <c r="I2948" s="1">
        <v>45916</v>
      </c>
      <c r="J2948">
        <v>18.37</v>
      </c>
      <c r="K2948" s="1">
        <v>45777</v>
      </c>
      <c r="L2948">
        <v>99.468000000000004</v>
      </c>
    </row>
    <row r="2949" spans="1:12" x14ac:dyDescent="0.25">
      <c r="A2949" s="1">
        <v>45887</v>
      </c>
      <c r="B2949">
        <v>14.99</v>
      </c>
      <c r="C2949" s="1">
        <v>45923</v>
      </c>
      <c r="D2949">
        <v>17.41</v>
      </c>
      <c r="E2949" s="1">
        <v>45877</v>
      </c>
      <c r="F2949">
        <v>79.2</v>
      </c>
      <c r="G2949" s="1">
        <v>45917</v>
      </c>
      <c r="H2949">
        <v>31.05</v>
      </c>
      <c r="I2949" s="1">
        <v>45917</v>
      </c>
      <c r="J2949">
        <v>17.41</v>
      </c>
      <c r="K2949" s="1">
        <v>45778</v>
      </c>
      <c r="L2949">
        <v>100.248</v>
      </c>
    </row>
    <row r="2950" spans="1:12" x14ac:dyDescent="0.25">
      <c r="A2950" s="1">
        <v>45888</v>
      </c>
      <c r="B2950">
        <v>15.57</v>
      </c>
      <c r="C2950" s="1">
        <v>45924</v>
      </c>
      <c r="D2950">
        <v>17.04</v>
      </c>
      <c r="E2950" s="1">
        <v>45880</v>
      </c>
      <c r="F2950">
        <v>81.760000000000005</v>
      </c>
      <c r="G2950" s="1">
        <v>45918</v>
      </c>
      <c r="H2950">
        <v>31.88</v>
      </c>
      <c r="I2950" s="1">
        <v>45918</v>
      </c>
      <c r="J2950">
        <v>16.45</v>
      </c>
      <c r="K2950" s="1">
        <v>45779</v>
      </c>
      <c r="L2950">
        <v>100.03</v>
      </c>
    </row>
    <row r="2951" spans="1:12" x14ac:dyDescent="0.25">
      <c r="A2951" s="1">
        <v>45889</v>
      </c>
      <c r="B2951">
        <v>15.69</v>
      </c>
      <c r="C2951" s="1">
        <v>45925</v>
      </c>
      <c r="D2951">
        <v>16.829999999999998</v>
      </c>
      <c r="E2951" s="1">
        <v>45881</v>
      </c>
      <c r="F2951">
        <v>77.42</v>
      </c>
      <c r="G2951" s="1">
        <v>45919</v>
      </c>
      <c r="H2951">
        <v>30.53</v>
      </c>
      <c r="I2951" s="1">
        <v>45919</v>
      </c>
      <c r="J2951">
        <v>16.760000000000002</v>
      </c>
      <c r="K2951" s="1">
        <v>45782</v>
      </c>
      <c r="L2951">
        <v>99.831000000000003</v>
      </c>
    </row>
    <row r="2952" spans="1:12" x14ac:dyDescent="0.25">
      <c r="A2952" s="1">
        <v>45890</v>
      </c>
      <c r="B2952">
        <v>16.600000000000001</v>
      </c>
      <c r="C2952" s="1">
        <v>45926</v>
      </c>
      <c r="D2952">
        <v>16.23</v>
      </c>
      <c r="E2952" s="1">
        <v>45882</v>
      </c>
      <c r="F2952">
        <v>77.31</v>
      </c>
      <c r="G2952" s="1">
        <v>45922</v>
      </c>
      <c r="H2952">
        <v>30.88</v>
      </c>
      <c r="I2952" s="1">
        <v>45922</v>
      </c>
      <c r="J2952">
        <v>18.43</v>
      </c>
      <c r="K2952" s="1">
        <v>45783</v>
      </c>
      <c r="L2952">
        <v>99.238</v>
      </c>
    </row>
    <row r="2953" spans="1:12" x14ac:dyDescent="0.25">
      <c r="A2953" s="1">
        <v>45891</v>
      </c>
      <c r="B2953">
        <v>14.22</v>
      </c>
      <c r="C2953" s="1">
        <v>45929</v>
      </c>
      <c r="D2953">
        <v>17.23</v>
      </c>
      <c r="E2953" s="1">
        <v>45883</v>
      </c>
      <c r="F2953">
        <v>76.77</v>
      </c>
      <c r="G2953" s="1">
        <v>45923</v>
      </c>
      <c r="H2953">
        <v>32.58</v>
      </c>
      <c r="I2953" s="1">
        <v>45923</v>
      </c>
      <c r="J2953">
        <v>19.059999999999999</v>
      </c>
      <c r="K2953" s="1">
        <v>45784</v>
      </c>
      <c r="L2953">
        <v>99.614000000000004</v>
      </c>
    </row>
    <row r="2954" spans="1:12" x14ac:dyDescent="0.25">
      <c r="A2954" s="1">
        <v>45894</v>
      </c>
      <c r="B2954">
        <v>14.79</v>
      </c>
      <c r="C2954" s="1">
        <v>45930</v>
      </c>
      <c r="D2954">
        <v>17.21</v>
      </c>
      <c r="E2954" s="1">
        <v>45884</v>
      </c>
      <c r="F2954">
        <v>76.66</v>
      </c>
      <c r="G2954" s="1">
        <v>45924</v>
      </c>
      <c r="H2954">
        <v>34.08</v>
      </c>
      <c r="I2954" s="1">
        <v>45924</v>
      </c>
      <c r="J2954">
        <v>18.3</v>
      </c>
      <c r="K2954" s="1">
        <v>45785</v>
      </c>
      <c r="L2954">
        <v>100.64</v>
      </c>
    </row>
    <row r="2955" spans="1:12" x14ac:dyDescent="0.25">
      <c r="A2955" s="1">
        <v>45895</v>
      </c>
      <c r="B2955">
        <v>14.62</v>
      </c>
      <c r="C2955" s="1">
        <v>45931</v>
      </c>
      <c r="D2955">
        <v>16.88</v>
      </c>
      <c r="E2955" s="1">
        <v>45887</v>
      </c>
      <c r="F2955">
        <v>81.819999999999993</v>
      </c>
      <c r="G2955" s="1">
        <v>45925</v>
      </c>
      <c r="H2955">
        <v>36.85</v>
      </c>
      <c r="I2955" s="1">
        <v>45925</v>
      </c>
      <c r="J2955">
        <v>19.07</v>
      </c>
      <c r="K2955" s="1">
        <v>45786</v>
      </c>
      <c r="L2955">
        <v>100.339</v>
      </c>
    </row>
    <row r="2956" spans="1:12" x14ac:dyDescent="0.25">
      <c r="A2956" s="1">
        <v>45896</v>
      </c>
      <c r="B2956">
        <v>14.85</v>
      </c>
      <c r="C2956" s="1">
        <v>45932</v>
      </c>
      <c r="D2956">
        <v>17.71</v>
      </c>
      <c r="E2956" s="1">
        <v>45888</v>
      </c>
      <c r="F2956">
        <v>82.15</v>
      </c>
      <c r="G2956" s="1">
        <v>45926</v>
      </c>
      <c r="H2956">
        <v>35.85</v>
      </c>
      <c r="I2956" s="1">
        <v>45926</v>
      </c>
      <c r="J2956">
        <v>18.59</v>
      </c>
      <c r="K2956" s="1">
        <v>45789</v>
      </c>
      <c r="L2956">
        <v>101.788</v>
      </c>
    </row>
    <row r="2957" spans="1:12" x14ac:dyDescent="0.25">
      <c r="A2957" s="1">
        <v>45897</v>
      </c>
      <c r="B2957">
        <v>14.43</v>
      </c>
      <c r="C2957" s="1">
        <v>45933</v>
      </c>
      <c r="D2957">
        <v>17.29</v>
      </c>
      <c r="E2957" s="1">
        <v>45889</v>
      </c>
      <c r="F2957">
        <v>80.75</v>
      </c>
      <c r="G2957" s="1">
        <v>45929</v>
      </c>
      <c r="H2957">
        <v>35.54</v>
      </c>
      <c r="I2957" s="1">
        <v>45929</v>
      </c>
      <c r="J2957">
        <v>19.190000000000001</v>
      </c>
      <c r="K2957" s="1">
        <v>45790</v>
      </c>
      <c r="L2957">
        <v>101.003</v>
      </c>
    </row>
    <row r="2958" spans="1:12" x14ac:dyDescent="0.25">
      <c r="A2958" s="1">
        <v>45898</v>
      </c>
      <c r="B2958">
        <v>15.36</v>
      </c>
      <c r="C2958" s="1">
        <v>45936</v>
      </c>
      <c r="D2958">
        <v>17.350000000000001</v>
      </c>
      <c r="E2958" s="1">
        <v>45890</v>
      </c>
      <c r="F2958">
        <v>80.52</v>
      </c>
      <c r="G2958" s="1">
        <v>45930</v>
      </c>
      <c r="H2958">
        <v>35.58</v>
      </c>
      <c r="I2958" s="1">
        <v>45930</v>
      </c>
      <c r="J2958">
        <v>19.95</v>
      </c>
      <c r="K2958" s="1">
        <v>45791</v>
      </c>
      <c r="L2958">
        <v>101.039</v>
      </c>
    </row>
    <row r="2959" spans="1:12" x14ac:dyDescent="0.25">
      <c r="A2959" s="1">
        <v>45901</v>
      </c>
      <c r="B2959">
        <v>16.12</v>
      </c>
      <c r="C2959" s="1">
        <v>45937</v>
      </c>
      <c r="D2959">
        <v>18.100000000000001</v>
      </c>
      <c r="E2959" s="1">
        <v>45891</v>
      </c>
      <c r="F2959">
        <v>78.099999999999994</v>
      </c>
      <c r="G2959" s="1">
        <v>45931</v>
      </c>
      <c r="H2959">
        <v>36.39</v>
      </c>
      <c r="I2959" s="1">
        <v>45931</v>
      </c>
      <c r="J2959">
        <v>19.05</v>
      </c>
      <c r="K2959" s="1">
        <v>45792</v>
      </c>
      <c r="L2959">
        <v>100.879</v>
      </c>
    </row>
    <row r="2960" spans="1:12" x14ac:dyDescent="0.25">
      <c r="A2960" s="1">
        <v>45902</v>
      </c>
      <c r="B2960">
        <v>17.170000000000002</v>
      </c>
      <c r="C2960" s="1">
        <v>45938</v>
      </c>
      <c r="D2960">
        <v>17.75</v>
      </c>
      <c r="E2960" s="1">
        <v>45894</v>
      </c>
      <c r="F2960">
        <v>77.56</v>
      </c>
      <c r="G2960" s="1">
        <v>45932</v>
      </c>
      <c r="H2960">
        <v>37.619999999999997</v>
      </c>
      <c r="I2960" s="1">
        <v>45932</v>
      </c>
      <c r="J2960">
        <v>18.05</v>
      </c>
      <c r="K2960" s="1">
        <v>45793</v>
      </c>
      <c r="L2960">
        <v>101.092</v>
      </c>
    </row>
    <row r="2961" spans="1:12" x14ac:dyDescent="0.25">
      <c r="A2961" s="1">
        <v>45903</v>
      </c>
      <c r="B2961">
        <v>16.350000000000001</v>
      </c>
      <c r="C2961" s="1">
        <v>45939</v>
      </c>
      <c r="D2961">
        <v>18.260000000000002</v>
      </c>
      <c r="E2961" s="1">
        <v>45895</v>
      </c>
      <c r="F2961">
        <v>79.36</v>
      </c>
      <c r="G2961" s="1">
        <v>45933</v>
      </c>
      <c r="H2961">
        <v>36.5</v>
      </c>
      <c r="I2961" s="1">
        <v>45933</v>
      </c>
      <c r="J2961">
        <v>17.66</v>
      </c>
      <c r="K2961" s="1">
        <v>45796</v>
      </c>
      <c r="L2961">
        <v>100.426</v>
      </c>
    </row>
    <row r="2962" spans="1:12" x14ac:dyDescent="0.25">
      <c r="A2962" s="1">
        <v>45904</v>
      </c>
      <c r="B2962">
        <v>15.3</v>
      </c>
      <c r="C2962" s="1">
        <v>45940</v>
      </c>
      <c r="D2962">
        <v>23.99</v>
      </c>
      <c r="E2962" s="1">
        <v>45896</v>
      </c>
      <c r="F2962">
        <v>77.66</v>
      </c>
      <c r="G2962" s="1">
        <v>45936</v>
      </c>
      <c r="H2962">
        <v>32.44</v>
      </c>
      <c r="I2962" s="1">
        <v>45936</v>
      </c>
      <c r="J2962">
        <v>19.510000000000002</v>
      </c>
      <c r="K2962" s="1">
        <v>45797</v>
      </c>
      <c r="L2962">
        <v>100.11799999999999</v>
      </c>
    </row>
    <row r="2963" spans="1:12" x14ac:dyDescent="0.25">
      <c r="A2963" s="1">
        <v>45905</v>
      </c>
      <c r="B2963">
        <v>15.18</v>
      </c>
      <c r="C2963" s="1">
        <v>45943</v>
      </c>
      <c r="D2963">
        <v>20.36</v>
      </c>
      <c r="E2963" s="1">
        <v>45897</v>
      </c>
      <c r="F2963">
        <v>77.55</v>
      </c>
      <c r="G2963" s="1">
        <v>45937</v>
      </c>
      <c r="H2963">
        <v>31.82</v>
      </c>
      <c r="I2963" s="1">
        <v>45937</v>
      </c>
      <c r="J2963">
        <v>19.940000000000001</v>
      </c>
      <c r="K2963" s="1">
        <v>45798</v>
      </c>
      <c r="L2963">
        <v>99.558999999999997</v>
      </c>
    </row>
    <row r="2964" spans="1:12" x14ac:dyDescent="0.25">
      <c r="A2964" s="1">
        <v>45908</v>
      </c>
      <c r="B2964">
        <v>15.11</v>
      </c>
      <c r="C2964" s="1">
        <v>45944</v>
      </c>
      <c r="D2964">
        <v>23.53</v>
      </c>
      <c r="E2964" s="1">
        <v>45898</v>
      </c>
      <c r="F2964">
        <v>79.39</v>
      </c>
      <c r="G2964" s="1">
        <v>45938</v>
      </c>
      <c r="H2964">
        <v>31.53</v>
      </c>
      <c r="I2964" s="1">
        <v>45938</v>
      </c>
      <c r="J2964">
        <v>21.81</v>
      </c>
      <c r="K2964" s="1">
        <v>45799</v>
      </c>
      <c r="L2964">
        <v>99.96</v>
      </c>
    </row>
    <row r="2965" spans="1:12" x14ac:dyDescent="0.25">
      <c r="A2965" s="1">
        <v>45909</v>
      </c>
      <c r="B2965">
        <v>15.04</v>
      </c>
      <c r="C2965" s="1">
        <v>45945</v>
      </c>
      <c r="D2965">
        <v>23.55</v>
      </c>
      <c r="E2965" s="1">
        <v>45902</v>
      </c>
      <c r="F2965">
        <v>85.28</v>
      </c>
      <c r="G2965" s="1">
        <v>45939</v>
      </c>
      <c r="H2965">
        <v>32.479999999999997</v>
      </c>
      <c r="I2965" s="1">
        <v>45939</v>
      </c>
      <c r="J2965">
        <v>21.85</v>
      </c>
      <c r="K2965" s="1">
        <v>45800</v>
      </c>
      <c r="L2965">
        <v>99.111999999999995</v>
      </c>
    </row>
    <row r="2966" spans="1:12" x14ac:dyDescent="0.25">
      <c r="A2966" s="1">
        <v>45910</v>
      </c>
      <c r="B2966">
        <v>15.35</v>
      </c>
      <c r="C2966" s="1">
        <v>45946</v>
      </c>
      <c r="D2966">
        <v>25.96</v>
      </c>
      <c r="E2966" s="1">
        <v>45903</v>
      </c>
      <c r="F2966">
        <v>89.67</v>
      </c>
      <c r="G2966" s="1">
        <v>45940</v>
      </c>
      <c r="H2966">
        <v>37.729999999999997</v>
      </c>
      <c r="I2966" s="1">
        <v>45940</v>
      </c>
      <c r="J2966">
        <v>23.78</v>
      </c>
      <c r="K2966" s="1">
        <v>45803</v>
      </c>
      <c r="L2966">
        <v>98.933999999999997</v>
      </c>
    </row>
    <row r="2967" spans="1:12" x14ac:dyDescent="0.25">
      <c r="A2967" s="1">
        <v>45911</v>
      </c>
      <c r="B2967">
        <v>14.71</v>
      </c>
      <c r="C2967" s="1">
        <v>45947</v>
      </c>
      <c r="D2967">
        <v>22.91</v>
      </c>
      <c r="E2967" s="1">
        <v>45904</v>
      </c>
      <c r="F2967">
        <v>88.26</v>
      </c>
      <c r="G2967" s="1">
        <v>45943</v>
      </c>
      <c r="H2967">
        <v>35.92</v>
      </c>
      <c r="I2967" s="1">
        <v>45943</v>
      </c>
      <c r="J2967">
        <v>24.53</v>
      </c>
      <c r="K2967" s="1">
        <v>45804</v>
      </c>
      <c r="L2967">
        <v>99.521000000000001</v>
      </c>
    </row>
    <row r="2968" spans="1:12" x14ac:dyDescent="0.25">
      <c r="A2968" s="1">
        <v>45912</v>
      </c>
      <c r="B2968">
        <v>14.76</v>
      </c>
      <c r="C2968" s="1">
        <v>45950</v>
      </c>
      <c r="D2968">
        <v>21.68</v>
      </c>
      <c r="E2968" s="1">
        <v>45905</v>
      </c>
      <c r="F2968">
        <v>85.29</v>
      </c>
      <c r="G2968" s="1">
        <v>45944</v>
      </c>
      <c r="H2968">
        <v>37.9</v>
      </c>
      <c r="I2968" s="1">
        <v>45944</v>
      </c>
      <c r="J2968">
        <v>26.11</v>
      </c>
      <c r="K2968" s="1">
        <v>45805</v>
      </c>
      <c r="L2968">
        <v>99.875</v>
      </c>
    </row>
    <row r="2969" spans="1:12" x14ac:dyDescent="0.25">
      <c r="A2969" s="1">
        <v>45915</v>
      </c>
      <c r="B2969">
        <v>15.69</v>
      </c>
      <c r="C2969" s="1">
        <v>45951</v>
      </c>
      <c r="D2969">
        <v>21.08</v>
      </c>
      <c r="E2969" s="1">
        <v>45908</v>
      </c>
      <c r="F2969">
        <v>84</v>
      </c>
      <c r="G2969" s="1">
        <v>45945</v>
      </c>
      <c r="H2969">
        <v>36.619999999999997</v>
      </c>
      <c r="I2969" s="1">
        <v>45945</v>
      </c>
      <c r="J2969">
        <v>27.12</v>
      </c>
      <c r="K2969" s="1">
        <v>45806</v>
      </c>
      <c r="L2969">
        <v>99.278000000000006</v>
      </c>
    </row>
    <row r="2970" spans="1:12" x14ac:dyDescent="0.25">
      <c r="A2970" s="1">
        <v>45916</v>
      </c>
      <c r="B2970">
        <v>16.36</v>
      </c>
      <c r="C2970" s="1">
        <v>45952</v>
      </c>
      <c r="D2970">
        <v>21.42</v>
      </c>
      <c r="E2970" s="1">
        <v>45909</v>
      </c>
      <c r="F2970">
        <v>82.2</v>
      </c>
      <c r="G2970" s="1">
        <v>45946</v>
      </c>
      <c r="H2970">
        <v>38.26</v>
      </c>
      <c r="I2970" s="1">
        <v>45946</v>
      </c>
      <c r="J2970">
        <v>32.78</v>
      </c>
      <c r="K2970" s="1">
        <v>45807</v>
      </c>
      <c r="L2970">
        <v>99.328999999999994</v>
      </c>
    </row>
    <row r="2971" spans="1:12" x14ac:dyDescent="0.25">
      <c r="A2971" s="1">
        <v>45917</v>
      </c>
      <c r="B2971">
        <v>15.72</v>
      </c>
      <c r="C2971" s="1">
        <v>45953</v>
      </c>
      <c r="D2971">
        <v>19.52</v>
      </c>
      <c r="E2971" s="1">
        <v>45910</v>
      </c>
      <c r="F2971">
        <v>79.58</v>
      </c>
      <c r="G2971" s="1">
        <v>45947</v>
      </c>
      <c r="H2971">
        <v>37.24</v>
      </c>
      <c r="I2971" s="1">
        <v>45947</v>
      </c>
      <c r="J2971">
        <v>31.2</v>
      </c>
      <c r="K2971" s="1">
        <v>45810</v>
      </c>
      <c r="L2971">
        <v>98.706000000000003</v>
      </c>
    </row>
    <row r="2972" spans="1:12" x14ac:dyDescent="0.25">
      <c r="A2972" s="1">
        <v>45918</v>
      </c>
      <c r="B2972">
        <v>15.7</v>
      </c>
      <c r="C2972" s="1">
        <v>45954</v>
      </c>
      <c r="D2972">
        <v>19.3</v>
      </c>
      <c r="E2972" s="1">
        <v>45911</v>
      </c>
      <c r="F2972">
        <v>75.069999999999993</v>
      </c>
      <c r="G2972" s="1">
        <v>45950</v>
      </c>
      <c r="H2972">
        <v>36.770000000000003</v>
      </c>
      <c r="I2972" s="1">
        <v>45950</v>
      </c>
      <c r="J2972">
        <v>31.43</v>
      </c>
      <c r="K2972" s="1">
        <v>45811</v>
      </c>
      <c r="L2972">
        <v>99.227000000000004</v>
      </c>
    </row>
    <row r="2973" spans="1:12" x14ac:dyDescent="0.25">
      <c r="A2973" s="1">
        <v>45919</v>
      </c>
      <c r="B2973">
        <v>15.45</v>
      </c>
      <c r="C2973" s="1">
        <v>45957</v>
      </c>
      <c r="D2973">
        <v>18.3</v>
      </c>
      <c r="E2973" s="1">
        <v>45912</v>
      </c>
      <c r="F2973">
        <v>73.37</v>
      </c>
      <c r="G2973" s="1">
        <v>45951</v>
      </c>
      <c r="H2973">
        <v>35.869999999999997</v>
      </c>
      <c r="I2973" s="1">
        <v>45951</v>
      </c>
      <c r="J2973">
        <v>29.82</v>
      </c>
      <c r="K2973" s="1">
        <v>45812</v>
      </c>
      <c r="L2973">
        <v>98.787000000000006</v>
      </c>
    </row>
    <row r="2974" spans="1:12" x14ac:dyDescent="0.25">
      <c r="A2974" s="1">
        <v>45922</v>
      </c>
      <c r="B2974">
        <v>16.100000000000001</v>
      </c>
      <c r="C2974" s="1">
        <v>45958</v>
      </c>
      <c r="D2974">
        <v>18.809999999999999</v>
      </c>
      <c r="E2974" s="1">
        <v>45915</v>
      </c>
      <c r="F2974">
        <v>76.88</v>
      </c>
      <c r="G2974" s="1">
        <v>45952</v>
      </c>
      <c r="H2974">
        <v>38.090000000000003</v>
      </c>
      <c r="I2974" s="1">
        <v>45952</v>
      </c>
      <c r="J2974">
        <v>27.19</v>
      </c>
      <c r="K2974" s="1">
        <v>45813</v>
      </c>
      <c r="L2974">
        <v>98.741</v>
      </c>
    </row>
    <row r="2975" spans="1:12" x14ac:dyDescent="0.25">
      <c r="A2975" s="1">
        <v>45923</v>
      </c>
      <c r="B2975">
        <v>16.64</v>
      </c>
      <c r="C2975" s="1">
        <v>45959</v>
      </c>
      <c r="D2975">
        <v>20.16</v>
      </c>
      <c r="E2975" s="1">
        <v>45916</v>
      </c>
      <c r="F2975">
        <v>77.09</v>
      </c>
      <c r="G2975" s="1">
        <v>45953</v>
      </c>
      <c r="H2975">
        <v>40.46</v>
      </c>
      <c r="I2975" s="1">
        <v>45953</v>
      </c>
      <c r="J2975">
        <v>26.68</v>
      </c>
      <c r="K2975" s="1">
        <v>45814</v>
      </c>
      <c r="L2975">
        <v>99.19</v>
      </c>
    </row>
    <row r="2976" spans="1:12" x14ac:dyDescent="0.25">
      <c r="A2976" s="1">
        <v>45924</v>
      </c>
      <c r="B2976">
        <v>16.18</v>
      </c>
      <c r="C2976" s="1">
        <v>45960</v>
      </c>
      <c r="D2976">
        <v>20.07</v>
      </c>
      <c r="E2976" s="1">
        <v>45917</v>
      </c>
      <c r="F2976">
        <v>75.95</v>
      </c>
      <c r="G2976" s="1">
        <v>45954</v>
      </c>
      <c r="H2976">
        <v>38.700000000000003</v>
      </c>
      <c r="I2976" s="1">
        <v>45954</v>
      </c>
      <c r="J2976">
        <v>24.75</v>
      </c>
      <c r="K2976" s="1">
        <v>45817</v>
      </c>
      <c r="L2976">
        <v>98.938999999999993</v>
      </c>
    </row>
    <row r="2977" spans="1:12" x14ac:dyDescent="0.25">
      <c r="A2977" s="1">
        <v>45925</v>
      </c>
      <c r="B2977">
        <v>16.739999999999998</v>
      </c>
      <c r="C2977" s="1">
        <v>45961</v>
      </c>
      <c r="D2977">
        <v>19.690000000000001</v>
      </c>
      <c r="E2977" s="1">
        <v>45918</v>
      </c>
      <c r="F2977">
        <v>71.91</v>
      </c>
      <c r="G2977" s="1">
        <v>45957</v>
      </c>
      <c r="H2977">
        <v>38.96</v>
      </c>
      <c r="I2977" s="1">
        <v>45957</v>
      </c>
      <c r="J2977">
        <v>23.94</v>
      </c>
      <c r="K2977" s="1">
        <v>45818</v>
      </c>
      <c r="L2977">
        <v>99.097999999999999</v>
      </c>
    </row>
    <row r="2978" spans="1:12" x14ac:dyDescent="0.25">
      <c r="A2978" s="1">
        <v>45926</v>
      </c>
      <c r="B2978">
        <v>15.29</v>
      </c>
      <c r="C2978" s="1">
        <v>45964</v>
      </c>
      <c r="D2978">
        <v>19.829999999999998</v>
      </c>
      <c r="E2978" s="1">
        <v>45919</v>
      </c>
      <c r="F2978">
        <v>72.510000000000005</v>
      </c>
      <c r="G2978" s="1">
        <v>45958</v>
      </c>
      <c r="H2978">
        <v>37.18</v>
      </c>
      <c r="I2978" s="1">
        <v>45958</v>
      </c>
      <c r="J2978">
        <v>24.03</v>
      </c>
      <c r="K2978" s="1">
        <v>45819</v>
      </c>
      <c r="L2978">
        <v>98.631</v>
      </c>
    </row>
    <row r="2979" spans="1:12" x14ac:dyDescent="0.25">
      <c r="A2979" s="1">
        <v>45929</v>
      </c>
      <c r="B2979">
        <v>16.12</v>
      </c>
      <c r="C2979" s="1">
        <v>45965</v>
      </c>
      <c r="D2979">
        <v>21.71</v>
      </c>
      <c r="E2979" s="1">
        <v>45922</v>
      </c>
      <c r="F2979">
        <v>75.8</v>
      </c>
      <c r="G2979" s="1">
        <v>45959</v>
      </c>
      <c r="H2979">
        <v>37.14</v>
      </c>
      <c r="I2979" s="1">
        <v>45959</v>
      </c>
      <c r="J2979">
        <v>24.7</v>
      </c>
      <c r="K2979" s="1">
        <v>45820</v>
      </c>
      <c r="L2979">
        <v>97.921000000000006</v>
      </c>
    </row>
    <row r="2980" spans="1:12" x14ac:dyDescent="0.25">
      <c r="A2980" s="1">
        <v>45930</v>
      </c>
      <c r="B2980">
        <v>16.28</v>
      </c>
      <c r="C2980" s="1">
        <v>45966</v>
      </c>
      <c r="D2980">
        <v>21.25</v>
      </c>
      <c r="E2980" s="1">
        <v>45923</v>
      </c>
      <c r="F2980">
        <v>75.66</v>
      </c>
      <c r="G2980" s="1">
        <v>45960</v>
      </c>
      <c r="H2980">
        <v>34.74</v>
      </c>
      <c r="I2980" s="1">
        <v>45960</v>
      </c>
      <c r="J2980">
        <v>24.82</v>
      </c>
      <c r="K2980" s="1">
        <v>45821</v>
      </c>
      <c r="L2980">
        <v>98.183999999999997</v>
      </c>
    </row>
    <row r="2981" spans="1:12" x14ac:dyDescent="0.25">
      <c r="A2981" s="1">
        <v>45931</v>
      </c>
      <c r="B2981">
        <v>16.29</v>
      </c>
      <c r="C2981" s="1">
        <v>45967</v>
      </c>
      <c r="D2981">
        <v>21.78</v>
      </c>
      <c r="E2981" s="1">
        <v>45924</v>
      </c>
      <c r="F2981">
        <v>75.13</v>
      </c>
      <c r="G2981" s="1">
        <v>45961</v>
      </c>
      <c r="H2981">
        <v>36.200000000000003</v>
      </c>
      <c r="I2981" s="1">
        <v>45961</v>
      </c>
      <c r="J2981">
        <v>22.66</v>
      </c>
      <c r="K2981" s="1">
        <v>45824</v>
      </c>
      <c r="L2981">
        <v>97.998000000000005</v>
      </c>
    </row>
    <row r="2982" spans="1:12" x14ac:dyDescent="0.25">
      <c r="A2982" s="1">
        <v>45932</v>
      </c>
      <c r="B2982">
        <v>16.63</v>
      </c>
      <c r="C2982" s="1">
        <v>45968</v>
      </c>
      <c r="D2982">
        <v>21.36</v>
      </c>
      <c r="E2982" s="1">
        <v>45925</v>
      </c>
      <c r="F2982">
        <v>75.44</v>
      </c>
      <c r="G2982" s="1">
        <v>45964</v>
      </c>
      <c r="H2982">
        <v>34.31</v>
      </c>
      <c r="I2982" s="1">
        <v>45964</v>
      </c>
      <c r="J2982">
        <v>21.38</v>
      </c>
      <c r="K2982" s="1">
        <v>45825</v>
      </c>
      <c r="L2982">
        <v>98.82</v>
      </c>
    </row>
    <row r="2983" spans="1:12" x14ac:dyDescent="0.25">
      <c r="A2983" s="1">
        <v>45933</v>
      </c>
      <c r="B2983">
        <v>16.649999999999999</v>
      </c>
      <c r="C2983" s="1">
        <v>45971</v>
      </c>
      <c r="D2983">
        <v>20.93</v>
      </c>
      <c r="E2983" s="1">
        <v>45926</v>
      </c>
      <c r="F2983">
        <v>74.38</v>
      </c>
      <c r="G2983" s="1">
        <v>45965</v>
      </c>
      <c r="H2983">
        <v>34.270000000000003</v>
      </c>
      <c r="I2983" s="1">
        <v>45965</v>
      </c>
      <c r="J2983">
        <v>21.43</v>
      </c>
      <c r="K2983" s="1">
        <v>45826</v>
      </c>
      <c r="L2983">
        <v>98.905000000000001</v>
      </c>
    </row>
    <row r="2984" spans="1:12" x14ac:dyDescent="0.25">
      <c r="A2984" s="1">
        <v>45936</v>
      </c>
      <c r="B2984">
        <v>16.37</v>
      </c>
      <c r="C2984" s="1">
        <v>45972</v>
      </c>
      <c r="D2984">
        <v>20.54</v>
      </c>
      <c r="E2984" s="1">
        <v>45929</v>
      </c>
      <c r="F2984">
        <v>75.510000000000005</v>
      </c>
      <c r="G2984" s="1">
        <v>45966</v>
      </c>
      <c r="H2984">
        <v>33.69</v>
      </c>
      <c r="I2984" s="1">
        <v>45966</v>
      </c>
      <c r="J2984">
        <v>20.149999999999999</v>
      </c>
      <c r="K2984" s="1">
        <v>45827</v>
      </c>
      <c r="L2984">
        <v>98.905000000000001</v>
      </c>
    </row>
    <row r="2985" spans="1:12" x14ac:dyDescent="0.25">
      <c r="A2985" s="1">
        <v>45937</v>
      </c>
      <c r="B2985">
        <v>17.239999999999998</v>
      </c>
      <c r="C2985" s="1">
        <v>45973</v>
      </c>
      <c r="D2985">
        <v>20.36</v>
      </c>
      <c r="E2985" s="1">
        <v>45930</v>
      </c>
      <c r="F2985">
        <v>77.930000000000007</v>
      </c>
      <c r="G2985" s="1">
        <v>45967</v>
      </c>
      <c r="H2985">
        <v>33.76</v>
      </c>
      <c r="I2985" s="1">
        <v>45967</v>
      </c>
      <c r="J2985">
        <v>20.13</v>
      </c>
      <c r="K2985" s="1">
        <v>45828</v>
      </c>
      <c r="L2985">
        <v>98.706999999999994</v>
      </c>
    </row>
    <row r="2986" spans="1:12" x14ac:dyDescent="0.25">
      <c r="A2986" s="1">
        <v>45938</v>
      </c>
      <c r="B2986">
        <v>16.3</v>
      </c>
      <c r="C2986" s="1">
        <v>45974</v>
      </c>
      <c r="D2986">
        <v>22.35</v>
      </c>
      <c r="E2986" s="1">
        <v>45931</v>
      </c>
      <c r="F2986">
        <v>73.5</v>
      </c>
      <c r="G2986" s="1">
        <v>45968</v>
      </c>
      <c r="H2986">
        <v>33.33</v>
      </c>
      <c r="I2986" s="1">
        <v>45968</v>
      </c>
      <c r="J2986">
        <v>20.36</v>
      </c>
      <c r="K2986" s="1">
        <v>45831</v>
      </c>
      <c r="L2986">
        <v>98.415999999999997</v>
      </c>
    </row>
    <row r="2987" spans="1:12" x14ac:dyDescent="0.25">
      <c r="A2987" s="1">
        <v>45939</v>
      </c>
      <c r="B2987">
        <v>16.43</v>
      </c>
      <c r="C2987" s="1">
        <v>45975</v>
      </c>
      <c r="D2987">
        <v>21.89</v>
      </c>
      <c r="E2987" s="1">
        <v>45932</v>
      </c>
      <c r="F2987">
        <v>71.209999999999994</v>
      </c>
      <c r="G2987" s="1">
        <v>45971</v>
      </c>
      <c r="H2987">
        <v>32.119999999999997</v>
      </c>
      <c r="I2987" s="1">
        <v>45971</v>
      </c>
      <c r="J2987">
        <v>23.34</v>
      </c>
      <c r="K2987" s="1">
        <v>45832</v>
      </c>
      <c r="L2987">
        <v>97.858000000000004</v>
      </c>
    </row>
    <row r="2988" spans="1:12" x14ac:dyDescent="0.25">
      <c r="A2988" s="1">
        <v>45940</v>
      </c>
      <c r="B2988">
        <v>21.66</v>
      </c>
      <c r="C2988" s="1">
        <v>45978</v>
      </c>
      <c r="D2988">
        <v>25.43</v>
      </c>
      <c r="E2988" s="1">
        <v>45933</v>
      </c>
      <c r="F2988">
        <v>69.53</v>
      </c>
      <c r="G2988" s="1">
        <v>45972</v>
      </c>
      <c r="H2988">
        <v>32.020000000000003</v>
      </c>
      <c r="I2988" s="1">
        <v>45972</v>
      </c>
      <c r="J2988">
        <v>23.33</v>
      </c>
      <c r="K2988" s="1">
        <v>45833</v>
      </c>
      <c r="L2988">
        <v>97.679000000000002</v>
      </c>
    </row>
    <row r="2989" spans="1:12" x14ac:dyDescent="0.25">
      <c r="A2989" s="1">
        <v>45943</v>
      </c>
      <c r="B2989">
        <v>19.03</v>
      </c>
      <c r="C2989" s="1">
        <v>45979</v>
      </c>
      <c r="D2989">
        <v>25.21</v>
      </c>
      <c r="E2989" s="1">
        <v>45936</v>
      </c>
      <c r="F2989">
        <v>72.989999999999995</v>
      </c>
      <c r="G2989" s="1">
        <v>45973</v>
      </c>
      <c r="H2989">
        <v>33</v>
      </c>
      <c r="I2989" s="1">
        <v>45973</v>
      </c>
      <c r="J2989">
        <v>25.82</v>
      </c>
      <c r="K2989" s="1">
        <v>45834</v>
      </c>
      <c r="L2989">
        <v>97.147000000000006</v>
      </c>
    </row>
    <row r="2990" spans="1:12" x14ac:dyDescent="0.25">
      <c r="A2990" s="1">
        <v>45944</v>
      </c>
      <c r="B2990">
        <v>20.81</v>
      </c>
      <c r="C2990" s="1">
        <v>45980</v>
      </c>
      <c r="D2990">
        <v>24.49</v>
      </c>
      <c r="E2990" s="1">
        <v>45937</v>
      </c>
      <c r="F2990">
        <v>75.430000000000007</v>
      </c>
      <c r="G2990" s="1">
        <v>45974</v>
      </c>
      <c r="H2990">
        <v>32.630000000000003</v>
      </c>
      <c r="I2990" s="1">
        <v>45974</v>
      </c>
      <c r="J2990">
        <v>24.82</v>
      </c>
      <c r="K2990" s="1">
        <v>45835</v>
      </c>
      <c r="L2990">
        <v>97.400999999999996</v>
      </c>
    </row>
    <row r="2991" spans="1:12" x14ac:dyDescent="0.25">
      <c r="A2991" s="1">
        <v>45945</v>
      </c>
      <c r="B2991">
        <v>20.64</v>
      </c>
      <c r="C2991" s="1">
        <v>45981</v>
      </c>
      <c r="D2991">
        <v>25.63</v>
      </c>
      <c r="E2991" s="1">
        <v>45938</v>
      </c>
      <c r="F2991">
        <v>74.87</v>
      </c>
      <c r="G2991" s="1">
        <v>45975</v>
      </c>
      <c r="H2991">
        <v>33.119999999999997</v>
      </c>
      <c r="I2991" s="1">
        <v>45975</v>
      </c>
      <c r="J2991">
        <v>24.13</v>
      </c>
      <c r="K2991" s="1">
        <v>45838</v>
      </c>
      <c r="L2991">
        <v>96.875</v>
      </c>
    </row>
    <row r="2992" spans="1:12" x14ac:dyDescent="0.25">
      <c r="A2992" s="1">
        <v>45946</v>
      </c>
      <c r="B2992">
        <v>25.31</v>
      </c>
      <c r="C2992" s="1">
        <v>45982</v>
      </c>
      <c r="D2992">
        <v>25.29</v>
      </c>
      <c r="E2992" s="1">
        <v>45939</v>
      </c>
      <c r="F2992">
        <v>74.12</v>
      </c>
      <c r="G2992" s="1">
        <v>45978</v>
      </c>
      <c r="H2992">
        <v>32.380000000000003</v>
      </c>
      <c r="I2992" s="1">
        <v>45978</v>
      </c>
      <c r="J2992">
        <v>24.07</v>
      </c>
      <c r="K2992" s="1">
        <v>45839</v>
      </c>
      <c r="L2992">
        <v>96.819000000000003</v>
      </c>
    </row>
    <row r="2993" spans="1:12" x14ac:dyDescent="0.25">
      <c r="A2993" s="1">
        <v>45947</v>
      </c>
      <c r="B2993">
        <v>20.78</v>
      </c>
      <c r="C2993" s="1">
        <v>45985</v>
      </c>
      <c r="D2993">
        <v>22.49</v>
      </c>
      <c r="E2993" s="1">
        <v>45940</v>
      </c>
      <c r="F2993">
        <v>81.650000000000006</v>
      </c>
      <c r="G2993" s="1">
        <v>45979</v>
      </c>
      <c r="H2993">
        <v>33.33</v>
      </c>
      <c r="I2993" s="1">
        <v>45979</v>
      </c>
      <c r="J2993">
        <v>23.9</v>
      </c>
      <c r="K2993" s="1">
        <v>45840</v>
      </c>
      <c r="L2993">
        <v>96.775999999999996</v>
      </c>
    </row>
    <row r="2994" spans="1:12" x14ac:dyDescent="0.25">
      <c r="A2994" s="1">
        <v>45950</v>
      </c>
      <c r="B2994">
        <v>18.23</v>
      </c>
      <c r="C2994" s="1">
        <v>45986</v>
      </c>
      <c r="D2994">
        <v>21.32</v>
      </c>
      <c r="E2994" s="1">
        <v>45944</v>
      </c>
      <c r="F2994">
        <v>79.95</v>
      </c>
      <c r="G2994" s="1">
        <v>45980</v>
      </c>
      <c r="H2994">
        <v>34.119999999999997</v>
      </c>
      <c r="I2994" s="1">
        <v>45980</v>
      </c>
      <c r="J2994">
        <v>23.89</v>
      </c>
      <c r="K2994" s="1">
        <v>45841</v>
      </c>
      <c r="L2994">
        <v>97.18</v>
      </c>
    </row>
    <row r="2995" spans="1:12" x14ac:dyDescent="0.25">
      <c r="A2995" s="1">
        <v>45951</v>
      </c>
      <c r="B2995">
        <v>17.87</v>
      </c>
      <c r="C2995" s="1">
        <v>45987</v>
      </c>
      <c r="D2995">
        <v>20.239999999999998</v>
      </c>
      <c r="E2995" s="1">
        <v>45945</v>
      </c>
      <c r="F2995">
        <v>75.11</v>
      </c>
      <c r="G2995" s="1">
        <v>45981</v>
      </c>
      <c r="H2995">
        <v>36.380000000000003</v>
      </c>
      <c r="I2995" s="1">
        <v>45981</v>
      </c>
      <c r="J2995">
        <v>22.93</v>
      </c>
      <c r="K2995" s="1">
        <v>45842</v>
      </c>
      <c r="L2995">
        <v>97.18</v>
      </c>
    </row>
    <row r="2996" spans="1:12" x14ac:dyDescent="0.25">
      <c r="A2996" s="1">
        <v>45952</v>
      </c>
      <c r="B2996">
        <v>18.600000000000001</v>
      </c>
      <c r="C2996" s="1">
        <v>45989</v>
      </c>
      <c r="D2996">
        <v>18.38</v>
      </c>
      <c r="E2996" s="1">
        <v>45946</v>
      </c>
      <c r="F2996">
        <v>81.23</v>
      </c>
      <c r="G2996" s="1">
        <v>45982</v>
      </c>
      <c r="H2996">
        <v>35.97</v>
      </c>
      <c r="I2996" s="1">
        <v>45982</v>
      </c>
      <c r="J2996">
        <v>21.93</v>
      </c>
      <c r="K2996" s="1">
        <v>45845</v>
      </c>
      <c r="L2996">
        <v>97.48</v>
      </c>
    </row>
    <row r="2997" spans="1:12" x14ac:dyDescent="0.25">
      <c r="A2997" s="1">
        <v>45953</v>
      </c>
      <c r="B2997">
        <v>17.3</v>
      </c>
      <c r="C2997" s="1">
        <v>45992</v>
      </c>
      <c r="D2997">
        <v>19.78</v>
      </c>
      <c r="E2997" s="1">
        <v>45947</v>
      </c>
      <c r="F2997">
        <v>78.62</v>
      </c>
      <c r="G2997" s="1">
        <v>45985</v>
      </c>
      <c r="H2997">
        <v>36.299999999999997</v>
      </c>
      <c r="I2997" s="1">
        <v>45985</v>
      </c>
      <c r="J2997">
        <v>22.55</v>
      </c>
      <c r="K2997" s="1">
        <v>45846</v>
      </c>
      <c r="L2997">
        <v>97.516000000000005</v>
      </c>
    </row>
    <row r="2998" spans="1:12" x14ac:dyDescent="0.25">
      <c r="A2998" s="1">
        <v>45954</v>
      </c>
      <c r="B2998">
        <v>16.37</v>
      </c>
      <c r="C2998" s="1">
        <v>45993</v>
      </c>
      <c r="D2998">
        <v>19.37</v>
      </c>
      <c r="E2998" s="1">
        <v>45950</v>
      </c>
      <c r="F2998">
        <v>77.22</v>
      </c>
      <c r="G2998" s="1">
        <v>45986</v>
      </c>
      <c r="H2998">
        <v>37.57</v>
      </c>
      <c r="I2998" s="1">
        <v>45986</v>
      </c>
      <c r="J2998">
        <v>22.4</v>
      </c>
      <c r="K2998" s="1">
        <v>45847</v>
      </c>
      <c r="L2998">
        <v>97.555000000000007</v>
      </c>
    </row>
    <row r="2999" spans="1:12" x14ac:dyDescent="0.25">
      <c r="A2999" s="1">
        <v>45957</v>
      </c>
      <c r="B2999">
        <v>15.79</v>
      </c>
      <c r="C2999" s="1">
        <v>45994</v>
      </c>
      <c r="D2999">
        <v>18.93</v>
      </c>
      <c r="E2999" s="1">
        <v>45951</v>
      </c>
      <c r="F2999">
        <v>77.180000000000007</v>
      </c>
      <c r="G2999" s="1">
        <v>45987</v>
      </c>
      <c r="H2999">
        <v>35.700000000000003</v>
      </c>
      <c r="I2999" s="1">
        <v>45987</v>
      </c>
      <c r="J2999">
        <v>21.95</v>
      </c>
      <c r="K2999" s="1">
        <v>45848</v>
      </c>
      <c r="L2999">
        <v>97.652000000000001</v>
      </c>
    </row>
    <row r="3000" spans="1:12" x14ac:dyDescent="0.25">
      <c r="A3000" s="1">
        <v>45958</v>
      </c>
      <c r="B3000">
        <v>16.420000000000002</v>
      </c>
      <c r="C3000" s="1">
        <v>45995</v>
      </c>
      <c r="D3000">
        <v>18.899999999999999</v>
      </c>
      <c r="E3000" s="1">
        <v>45952</v>
      </c>
      <c r="F3000">
        <v>75.489999999999995</v>
      </c>
      <c r="G3000" s="1">
        <v>45989</v>
      </c>
      <c r="H3000">
        <v>35.950000000000003</v>
      </c>
      <c r="I3000" s="1">
        <v>45989</v>
      </c>
      <c r="J3000">
        <v>22.87</v>
      </c>
      <c r="K3000" s="1">
        <v>45849</v>
      </c>
      <c r="L3000">
        <v>97.852999999999994</v>
      </c>
    </row>
    <row r="3001" spans="1:12" x14ac:dyDescent="0.25">
      <c r="A3001" s="1">
        <v>45959</v>
      </c>
      <c r="B3001">
        <v>16.920000000000002</v>
      </c>
      <c r="C3001" s="1">
        <v>45996</v>
      </c>
      <c r="D3001">
        <v>19.170000000000002</v>
      </c>
      <c r="E3001" s="1">
        <v>45953</v>
      </c>
      <c r="F3001">
        <v>74.05</v>
      </c>
      <c r="G3001" s="1">
        <v>45992</v>
      </c>
      <c r="H3001">
        <v>35.82</v>
      </c>
      <c r="I3001" s="1">
        <v>45992</v>
      </c>
      <c r="J3001">
        <v>23.34</v>
      </c>
      <c r="K3001" s="1">
        <v>45852</v>
      </c>
      <c r="L3001">
        <v>98.081000000000003</v>
      </c>
    </row>
    <row r="3002" spans="1:12" x14ac:dyDescent="0.25">
      <c r="A3002" s="1">
        <v>45960</v>
      </c>
      <c r="B3002">
        <v>16.91</v>
      </c>
      <c r="C3002" s="1">
        <v>45999</v>
      </c>
      <c r="D3002">
        <v>18.86</v>
      </c>
      <c r="E3002" s="1">
        <v>45954</v>
      </c>
      <c r="F3002">
        <v>68.94</v>
      </c>
      <c r="G3002" s="1">
        <v>45993</v>
      </c>
      <c r="H3002">
        <v>35.89</v>
      </c>
      <c r="I3002" s="1">
        <v>45993</v>
      </c>
      <c r="J3002">
        <v>22.49</v>
      </c>
      <c r="K3002" s="1">
        <v>45853</v>
      </c>
      <c r="L3002">
        <v>98.616</v>
      </c>
    </row>
    <row r="3003" spans="1:12" x14ac:dyDescent="0.25">
      <c r="A3003" s="1">
        <v>45961</v>
      </c>
      <c r="B3003">
        <v>17.440000000000001</v>
      </c>
      <c r="C3003" s="1">
        <v>46000</v>
      </c>
      <c r="D3003">
        <v>19.87</v>
      </c>
      <c r="E3003" s="1">
        <v>45957</v>
      </c>
      <c r="F3003">
        <v>66.87</v>
      </c>
      <c r="G3003" s="1">
        <v>45994</v>
      </c>
      <c r="H3003">
        <v>33.72</v>
      </c>
      <c r="I3003" s="1">
        <v>45994</v>
      </c>
      <c r="J3003">
        <v>21.96</v>
      </c>
      <c r="K3003" s="1">
        <v>45854</v>
      </c>
      <c r="L3003">
        <v>98.391999999999996</v>
      </c>
    </row>
    <row r="3004" spans="1:12" x14ac:dyDescent="0.25">
      <c r="A3004" s="1">
        <v>45964</v>
      </c>
      <c r="B3004">
        <v>17.170000000000002</v>
      </c>
      <c r="C3004" s="1">
        <v>46001</v>
      </c>
      <c r="D3004">
        <v>17.850000000000001</v>
      </c>
      <c r="E3004" s="1">
        <v>45958</v>
      </c>
      <c r="F3004">
        <v>67.3</v>
      </c>
      <c r="G3004" s="1">
        <v>45995</v>
      </c>
      <c r="H3004">
        <v>33.299999999999997</v>
      </c>
      <c r="I3004" s="1">
        <v>45995</v>
      </c>
      <c r="J3004">
        <v>20.57</v>
      </c>
      <c r="K3004" s="1">
        <v>45855</v>
      </c>
      <c r="L3004">
        <v>98.733999999999995</v>
      </c>
    </row>
    <row r="3005" spans="1:12" x14ac:dyDescent="0.25">
      <c r="A3005" s="1">
        <v>45965</v>
      </c>
      <c r="B3005">
        <v>19</v>
      </c>
      <c r="C3005" s="1">
        <v>46002</v>
      </c>
      <c r="D3005">
        <v>17.829999999999998</v>
      </c>
      <c r="E3005" s="1">
        <v>45959</v>
      </c>
      <c r="F3005">
        <v>65.75</v>
      </c>
      <c r="G3005" s="1">
        <v>45996</v>
      </c>
      <c r="H3005">
        <v>32.06</v>
      </c>
      <c r="I3005" s="1">
        <v>45996</v>
      </c>
      <c r="J3005">
        <v>19.920000000000002</v>
      </c>
      <c r="K3005" s="1">
        <v>45856</v>
      </c>
      <c r="L3005">
        <v>98.481999999999999</v>
      </c>
    </row>
    <row r="3006" spans="1:12" x14ac:dyDescent="0.25">
      <c r="A3006" s="1">
        <v>45966</v>
      </c>
      <c r="B3006">
        <v>18.010000000000002</v>
      </c>
      <c r="E3006" s="1">
        <v>45960</v>
      </c>
      <c r="F3006">
        <v>66.88</v>
      </c>
      <c r="G3006" s="1">
        <v>45999</v>
      </c>
      <c r="H3006">
        <v>33.03</v>
      </c>
      <c r="I3006" s="1">
        <v>45999</v>
      </c>
      <c r="J3006">
        <v>19.579999999999998</v>
      </c>
      <c r="K3006" s="1">
        <v>45859</v>
      </c>
      <c r="L3006">
        <v>97.852999999999994</v>
      </c>
    </row>
    <row r="3007" spans="1:12" x14ac:dyDescent="0.25">
      <c r="A3007" s="1">
        <v>45967</v>
      </c>
      <c r="B3007">
        <v>19.5</v>
      </c>
      <c r="E3007" s="1">
        <v>45961</v>
      </c>
      <c r="F3007">
        <v>66.61</v>
      </c>
      <c r="G3007" s="1">
        <v>46000</v>
      </c>
      <c r="H3007">
        <v>30.82</v>
      </c>
      <c r="I3007" s="1">
        <v>46000</v>
      </c>
      <c r="J3007">
        <v>20.350000000000001</v>
      </c>
      <c r="K3007" s="1">
        <v>45860</v>
      </c>
      <c r="L3007">
        <v>97.391999999999996</v>
      </c>
    </row>
    <row r="3008" spans="1:12" x14ac:dyDescent="0.25">
      <c r="A3008" s="1">
        <v>45968</v>
      </c>
      <c r="B3008">
        <v>19.079999999999998</v>
      </c>
      <c r="E3008" s="1">
        <v>45964</v>
      </c>
      <c r="F3008">
        <v>67.23</v>
      </c>
      <c r="G3008" s="1">
        <v>46001</v>
      </c>
      <c r="H3008">
        <v>30.78</v>
      </c>
      <c r="I3008" s="1">
        <v>46001</v>
      </c>
      <c r="J3008">
        <v>20.2</v>
      </c>
      <c r="K3008" s="1">
        <v>45861</v>
      </c>
      <c r="L3008">
        <v>97.213999999999999</v>
      </c>
    </row>
    <row r="3009" spans="1:12" x14ac:dyDescent="0.25">
      <c r="A3009" s="1">
        <v>45971</v>
      </c>
      <c r="B3009">
        <v>17.600000000000001</v>
      </c>
      <c r="E3009" s="1">
        <v>45965</v>
      </c>
      <c r="F3009">
        <v>68.02</v>
      </c>
      <c r="G3009" s="1">
        <v>46002</v>
      </c>
      <c r="H3009">
        <v>31.96</v>
      </c>
      <c r="I3009" s="1">
        <v>46002</v>
      </c>
      <c r="J3009">
        <v>21.01</v>
      </c>
      <c r="K3009" s="1">
        <v>45862</v>
      </c>
      <c r="L3009">
        <v>97.376999999999995</v>
      </c>
    </row>
    <row r="3010" spans="1:12" x14ac:dyDescent="0.25">
      <c r="A3010" s="1">
        <v>45972</v>
      </c>
      <c r="B3010">
        <v>17.28</v>
      </c>
      <c r="E3010" s="1">
        <v>45966</v>
      </c>
      <c r="F3010">
        <v>72.42</v>
      </c>
      <c r="K3010" s="1">
        <v>45863</v>
      </c>
      <c r="L3010">
        <v>97.644999999999996</v>
      </c>
    </row>
    <row r="3011" spans="1:12" x14ac:dyDescent="0.25">
      <c r="A3011" s="1">
        <v>45973</v>
      </c>
      <c r="B3011">
        <v>17.510000000000002</v>
      </c>
      <c r="E3011" s="1">
        <v>45967</v>
      </c>
      <c r="F3011">
        <v>72.44</v>
      </c>
      <c r="K3011" s="1">
        <v>45866</v>
      </c>
      <c r="L3011">
        <v>98.634</v>
      </c>
    </row>
    <row r="3012" spans="1:12" x14ac:dyDescent="0.25">
      <c r="A3012" s="1">
        <v>45974</v>
      </c>
      <c r="B3012">
        <v>20</v>
      </c>
      <c r="E3012" s="1">
        <v>45968</v>
      </c>
      <c r="F3012">
        <v>74.41</v>
      </c>
      <c r="K3012" s="1">
        <v>45867</v>
      </c>
      <c r="L3012">
        <v>98.885999999999996</v>
      </c>
    </row>
    <row r="3013" spans="1:12" x14ac:dyDescent="0.25">
      <c r="A3013" s="1">
        <v>45975</v>
      </c>
      <c r="B3013">
        <v>19.829999999999998</v>
      </c>
      <c r="E3013" s="1">
        <v>45971</v>
      </c>
      <c r="F3013">
        <v>78.86</v>
      </c>
      <c r="K3013" s="1">
        <v>45868</v>
      </c>
      <c r="L3013">
        <v>99.814999999999998</v>
      </c>
    </row>
    <row r="3014" spans="1:12" x14ac:dyDescent="0.25">
      <c r="A3014" s="1">
        <v>45978</v>
      </c>
      <c r="B3014">
        <v>22.38</v>
      </c>
      <c r="E3014" s="1">
        <v>45973</v>
      </c>
      <c r="F3014">
        <v>81.12</v>
      </c>
      <c r="K3014" s="1">
        <v>45869</v>
      </c>
      <c r="L3014">
        <v>99.968000000000004</v>
      </c>
    </row>
    <row r="3015" spans="1:12" x14ac:dyDescent="0.25">
      <c r="A3015" s="1">
        <v>45979</v>
      </c>
      <c r="B3015">
        <v>24.69</v>
      </c>
      <c r="E3015" s="1">
        <v>45974</v>
      </c>
      <c r="F3015">
        <v>79.099999999999994</v>
      </c>
      <c r="K3015" s="1">
        <v>45870</v>
      </c>
      <c r="L3015">
        <v>99.141000000000005</v>
      </c>
    </row>
    <row r="3016" spans="1:12" x14ac:dyDescent="0.25">
      <c r="A3016" s="1">
        <v>45980</v>
      </c>
      <c r="B3016">
        <v>23.66</v>
      </c>
      <c r="E3016" s="1">
        <v>45975</v>
      </c>
      <c r="F3016">
        <v>79.709999999999994</v>
      </c>
      <c r="K3016" s="1">
        <v>45873</v>
      </c>
      <c r="L3016">
        <v>98.784000000000006</v>
      </c>
    </row>
    <row r="3017" spans="1:12" x14ac:dyDescent="0.25">
      <c r="A3017" s="1">
        <v>45981</v>
      </c>
      <c r="B3017">
        <v>26.42</v>
      </c>
      <c r="E3017" s="1">
        <v>45978</v>
      </c>
      <c r="F3017">
        <v>82.58</v>
      </c>
      <c r="K3017" s="1">
        <v>45874</v>
      </c>
      <c r="L3017">
        <v>98.781999999999996</v>
      </c>
    </row>
    <row r="3018" spans="1:12" x14ac:dyDescent="0.25">
      <c r="A3018" s="1">
        <v>45982</v>
      </c>
      <c r="B3018">
        <v>23.43</v>
      </c>
      <c r="E3018" s="1">
        <v>45979</v>
      </c>
      <c r="F3018">
        <v>83.18</v>
      </c>
      <c r="K3018" s="1">
        <v>45875</v>
      </c>
      <c r="L3018">
        <v>98.177000000000007</v>
      </c>
    </row>
    <row r="3019" spans="1:12" x14ac:dyDescent="0.25">
      <c r="A3019" s="1">
        <v>45985</v>
      </c>
      <c r="B3019">
        <v>20.52</v>
      </c>
      <c r="E3019" s="1">
        <v>45980</v>
      </c>
      <c r="F3019">
        <v>84.32</v>
      </c>
      <c r="K3019" s="1">
        <v>45876</v>
      </c>
      <c r="L3019">
        <v>98.4</v>
      </c>
    </row>
    <row r="3020" spans="1:12" x14ac:dyDescent="0.25">
      <c r="A3020" s="1">
        <v>45986</v>
      </c>
      <c r="B3020">
        <v>18.559999999999999</v>
      </c>
      <c r="E3020" s="1">
        <v>45981</v>
      </c>
      <c r="F3020">
        <v>77.81</v>
      </c>
      <c r="K3020" s="1">
        <v>45877</v>
      </c>
      <c r="L3020">
        <v>98.18</v>
      </c>
    </row>
    <row r="3021" spans="1:12" x14ac:dyDescent="0.25">
      <c r="A3021" s="1">
        <v>45987</v>
      </c>
      <c r="B3021">
        <v>17.190000000000001</v>
      </c>
      <c r="E3021" s="1">
        <v>45982</v>
      </c>
      <c r="F3021">
        <v>78.81</v>
      </c>
      <c r="K3021" s="1">
        <v>45880</v>
      </c>
      <c r="L3021">
        <v>98.52</v>
      </c>
    </row>
    <row r="3022" spans="1:12" x14ac:dyDescent="0.25">
      <c r="A3022" s="1">
        <v>45988</v>
      </c>
      <c r="B3022">
        <v>17.21</v>
      </c>
      <c r="E3022" s="1">
        <v>45985</v>
      </c>
      <c r="F3022">
        <v>76.819999999999993</v>
      </c>
      <c r="K3022" s="1">
        <v>45881</v>
      </c>
      <c r="L3022">
        <v>98.096999999999994</v>
      </c>
    </row>
    <row r="3023" spans="1:12" x14ac:dyDescent="0.25">
      <c r="A3023" s="1">
        <v>45989</v>
      </c>
      <c r="B3023">
        <v>16.350000000000001</v>
      </c>
      <c r="E3023" s="1">
        <v>45986</v>
      </c>
      <c r="F3023">
        <v>72.819999999999993</v>
      </c>
      <c r="K3023" s="1">
        <v>45882</v>
      </c>
      <c r="L3023">
        <v>97.84</v>
      </c>
    </row>
    <row r="3024" spans="1:12" x14ac:dyDescent="0.25">
      <c r="A3024" s="1">
        <v>45992</v>
      </c>
      <c r="B3024">
        <v>17.239999999999998</v>
      </c>
      <c r="E3024" s="1">
        <v>45987</v>
      </c>
      <c r="F3024">
        <v>71.900000000000006</v>
      </c>
      <c r="K3024" s="1">
        <v>45883</v>
      </c>
      <c r="L3024">
        <v>98.254000000000005</v>
      </c>
    </row>
    <row r="3025" spans="1:12" x14ac:dyDescent="0.25">
      <c r="A3025" s="1">
        <v>45993</v>
      </c>
      <c r="B3025">
        <v>16.59</v>
      </c>
      <c r="E3025" s="1">
        <v>45989</v>
      </c>
      <c r="F3025">
        <v>68.95</v>
      </c>
      <c r="K3025" s="1">
        <v>45884</v>
      </c>
      <c r="L3025">
        <v>97.852000000000004</v>
      </c>
    </row>
    <row r="3026" spans="1:12" x14ac:dyDescent="0.25">
      <c r="A3026" s="1">
        <v>45994</v>
      </c>
      <c r="B3026">
        <v>16.079999999999998</v>
      </c>
      <c r="E3026" s="1">
        <v>45992</v>
      </c>
      <c r="F3026">
        <v>71.349999999999994</v>
      </c>
      <c r="K3026" s="1">
        <v>45887</v>
      </c>
      <c r="L3026">
        <v>98.167000000000002</v>
      </c>
    </row>
    <row r="3027" spans="1:12" x14ac:dyDescent="0.25">
      <c r="A3027" s="1">
        <v>45995</v>
      </c>
      <c r="B3027">
        <v>15.78</v>
      </c>
      <c r="E3027" s="1">
        <v>45993</v>
      </c>
      <c r="F3027">
        <v>69.91</v>
      </c>
      <c r="K3027" s="1">
        <v>45888</v>
      </c>
      <c r="L3027">
        <v>98.265000000000001</v>
      </c>
    </row>
    <row r="3028" spans="1:12" x14ac:dyDescent="0.25">
      <c r="A3028" s="1">
        <v>45996</v>
      </c>
      <c r="B3028">
        <v>15.41</v>
      </c>
      <c r="E3028" s="1">
        <v>45994</v>
      </c>
      <c r="F3028">
        <v>66.459999999999994</v>
      </c>
      <c r="K3028" s="1">
        <v>45889</v>
      </c>
      <c r="L3028">
        <v>98.218000000000004</v>
      </c>
    </row>
    <row r="3029" spans="1:12" x14ac:dyDescent="0.25">
      <c r="A3029" s="1">
        <v>45999</v>
      </c>
      <c r="B3029">
        <v>16.66</v>
      </c>
      <c r="E3029" s="1">
        <v>45995</v>
      </c>
      <c r="F3029">
        <v>65.69</v>
      </c>
      <c r="K3029" s="1">
        <v>45890</v>
      </c>
      <c r="L3029">
        <v>98.619</v>
      </c>
    </row>
    <row r="3030" spans="1:12" x14ac:dyDescent="0.25">
      <c r="A3030" s="1">
        <v>46000</v>
      </c>
      <c r="B3030">
        <v>16.93</v>
      </c>
      <c r="E3030" s="1">
        <v>45996</v>
      </c>
      <c r="F3030">
        <v>67.28</v>
      </c>
      <c r="K3030" s="1">
        <v>45891</v>
      </c>
      <c r="L3030">
        <v>97.715999999999994</v>
      </c>
    </row>
    <row r="3031" spans="1:12" x14ac:dyDescent="0.25">
      <c r="A3031" s="1">
        <v>46001</v>
      </c>
      <c r="B3031">
        <v>15.77</v>
      </c>
      <c r="E3031" s="1">
        <v>45999</v>
      </c>
      <c r="F3031">
        <v>72.3</v>
      </c>
      <c r="K3031" s="1">
        <v>45894</v>
      </c>
      <c r="L3031">
        <v>98.43</v>
      </c>
    </row>
    <row r="3032" spans="1:12" x14ac:dyDescent="0.25">
      <c r="A3032" s="1">
        <v>46002</v>
      </c>
      <c r="B3032">
        <v>15.12</v>
      </c>
      <c r="E3032" s="1">
        <v>46000</v>
      </c>
      <c r="F3032">
        <v>75.38</v>
      </c>
      <c r="K3032" s="1">
        <v>45895</v>
      </c>
      <c r="L3032">
        <v>98.224999999999994</v>
      </c>
    </row>
    <row r="3033" spans="1:12" x14ac:dyDescent="0.25">
      <c r="E3033" s="1">
        <v>46001</v>
      </c>
      <c r="F3033">
        <v>68.62</v>
      </c>
      <c r="K3033" s="1">
        <v>45896</v>
      </c>
      <c r="L3033">
        <v>98.231999999999999</v>
      </c>
    </row>
    <row r="3034" spans="1:12" x14ac:dyDescent="0.25">
      <c r="K3034" s="1">
        <v>45897</v>
      </c>
      <c r="L3034">
        <v>97.813000000000002</v>
      </c>
    </row>
    <row r="3035" spans="1:12" x14ac:dyDescent="0.25">
      <c r="K3035" s="1">
        <v>45898</v>
      </c>
      <c r="L3035">
        <v>97.771000000000001</v>
      </c>
    </row>
    <row r="3036" spans="1:12" x14ac:dyDescent="0.25">
      <c r="K3036" s="1">
        <v>45901</v>
      </c>
      <c r="L3036">
        <v>97.771000000000001</v>
      </c>
    </row>
    <row r="3037" spans="1:12" x14ac:dyDescent="0.25">
      <c r="K3037" s="1">
        <v>45902</v>
      </c>
      <c r="L3037">
        <v>98.397000000000006</v>
      </c>
    </row>
    <row r="3038" spans="1:12" x14ac:dyDescent="0.25">
      <c r="K3038" s="1">
        <v>45903</v>
      </c>
      <c r="L3038">
        <v>98.141999999999996</v>
      </c>
    </row>
    <row r="3039" spans="1:12" x14ac:dyDescent="0.25">
      <c r="K3039" s="1">
        <v>45904</v>
      </c>
      <c r="L3039">
        <v>98.346999999999994</v>
      </c>
    </row>
    <row r="3040" spans="1:12" x14ac:dyDescent="0.25">
      <c r="K3040" s="1">
        <v>45905</v>
      </c>
      <c r="L3040">
        <v>97.768000000000001</v>
      </c>
    </row>
    <row r="3041" spans="11:12" x14ac:dyDescent="0.25">
      <c r="K3041" s="1">
        <v>45908</v>
      </c>
      <c r="L3041">
        <v>97.453999999999994</v>
      </c>
    </row>
    <row r="3042" spans="11:12" x14ac:dyDescent="0.25">
      <c r="K3042" s="1">
        <v>45909</v>
      </c>
      <c r="L3042">
        <v>97.787999999999997</v>
      </c>
    </row>
    <row r="3043" spans="11:12" x14ac:dyDescent="0.25">
      <c r="K3043" s="1">
        <v>45910</v>
      </c>
      <c r="L3043">
        <v>97.78</v>
      </c>
    </row>
    <row r="3044" spans="11:12" x14ac:dyDescent="0.25">
      <c r="K3044" s="1">
        <v>45911</v>
      </c>
      <c r="L3044">
        <v>97.531000000000006</v>
      </c>
    </row>
    <row r="3045" spans="11:12" x14ac:dyDescent="0.25">
      <c r="K3045" s="1">
        <v>45912</v>
      </c>
      <c r="L3045">
        <v>97.55</v>
      </c>
    </row>
    <row r="3046" spans="11:12" x14ac:dyDescent="0.25">
      <c r="K3046" s="1">
        <v>45915</v>
      </c>
      <c r="L3046">
        <v>97.302000000000007</v>
      </c>
    </row>
    <row r="3047" spans="11:12" x14ac:dyDescent="0.25">
      <c r="K3047" s="1">
        <v>45916</v>
      </c>
      <c r="L3047">
        <v>96.632999999999996</v>
      </c>
    </row>
    <row r="3048" spans="11:12" x14ac:dyDescent="0.25">
      <c r="K3048" s="1">
        <v>45917</v>
      </c>
      <c r="L3048">
        <v>96.873000000000005</v>
      </c>
    </row>
    <row r="3049" spans="11:12" x14ac:dyDescent="0.25">
      <c r="K3049" s="1">
        <v>45918</v>
      </c>
      <c r="L3049">
        <v>97.347999999999999</v>
      </c>
    </row>
    <row r="3050" spans="11:12" x14ac:dyDescent="0.25">
      <c r="K3050" s="1">
        <v>45919</v>
      </c>
      <c r="L3050">
        <v>97.644000000000005</v>
      </c>
    </row>
    <row r="3051" spans="11:12" x14ac:dyDescent="0.25">
      <c r="K3051" s="1">
        <v>45922</v>
      </c>
      <c r="L3051">
        <v>97.340999999999994</v>
      </c>
    </row>
    <row r="3052" spans="11:12" x14ac:dyDescent="0.25">
      <c r="K3052" s="1">
        <v>45923</v>
      </c>
      <c r="L3052">
        <v>97.263999999999996</v>
      </c>
    </row>
    <row r="3053" spans="11:12" x14ac:dyDescent="0.25">
      <c r="K3053" s="1">
        <v>45924</v>
      </c>
      <c r="L3053">
        <v>97.873000000000005</v>
      </c>
    </row>
    <row r="3054" spans="11:12" x14ac:dyDescent="0.25">
      <c r="K3054" s="1">
        <v>45925</v>
      </c>
      <c r="L3054">
        <v>98.552999999999997</v>
      </c>
    </row>
    <row r="3055" spans="11:12" x14ac:dyDescent="0.25">
      <c r="K3055" s="1">
        <v>45926</v>
      </c>
      <c r="L3055">
        <v>98.152000000000001</v>
      </c>
    </row>
    <row r="3056" spans="11:12" x14ac:dyDescent="0.25">
      <c r="K3056" s="1">
        <v>45929</v>
      </c>
      <c r="L3056">
        <v>97.906000000000006</v>
      </c>
    </row>
    <row r="3057" spans="11:12" x14ac:dyDescent="0.25">
      <c r="K3057" s="1">
        <v>45930</v>
      </c>
      <c r="L3057">
        <v>97.775000000000006</v>
      </c>
    </row>
    <row r="3058" spans="11:12" x14ac:dyDescent="0.25">
      <c r="K3058" s="1">
        <v>45931</v>
      </c>
      <c r="L3058">
        <v>97.706000000000003</v>
      </c>
    </row>
    <row r="3059" spans="11:12" x14ac:dyDescent="0.25">
      <c r="K3059" s="1">
        <v>45932</v>
      </c>
      <c r="L3059">
        <v>97.846000000000004</v>
      </c>
    </row>
    <row r="3060" spans="11:12" x14ac:dyDescent="0.25">
      <c r="K3060" s="1">
        <v>45933</v>
      </c>
      <c r="L3060">
        <v>97.722999999999999</v>
      </c>
    </row>
    <row r="3061" spans="11:12" x14ac:dyDescent="0.25">
      <c r="K3061" s="1">
        <v>45936</v>
      </c>
      <c r="L3061">
        <v>98.108000000000004</v>
      </c>
    </row>
    <row r="3062" spans="11:12" x14ac:dyDescent="0.25">
      <c r="K3062" s="1">
        <v>45937</v>
      </c>
      <c r="L3062">
        <v>98.578000000000003</v>
      </c>
    </row>
    <row r="3063" spans="11:12" x14ac:dyDescent="0.25">
      <c r="K3063" s="1">
        <v>45938</v>
      </c>
      <c r="L3063">
        <v>98.915000000000006</v>
      </c>
    </row>
    <row r="3064" spans="11:12" x14ac:dyDescent="0.25">
      <c r="K3064" s="1">
        <v>45939</v>
      </c>
      <c r="L3064">
        <v>99.537999999999997</v>
      </c>
    </row>
    <row r="3065" spans="11:12" x14ac:dyDescent="0.25">
      <c r="K3065" s="1">
        <v>45940</v>
      </c>
      <c r="L3065">
        <v>98.977999999999994</v>
      </c>
    </row>
    <row r="3066" spans="11:12" x14ac:dyDescent="0.25">
      <c r="K3066" s="1">
        <v>45943</v>
      </c>
      <c r="L3066">
        <v>99.269000000000005</v>
      </c>
    </row>
    <row r="3067" spans="11:12" x14ac:dyDescent="0.25">
      <c r="K3067" s="1">
        <v>45944</v>
      </c>
      <c r="L3067">
        <v>99.046999999999997</v>
      </c>
    </row>
    <row r="3068" spans="11:12" x14ac:dyDescent="0.25">
      <c r="K3068" s="1">
        <v>45945</v>
      </c>
      <c r="L3068">
        <v>98.793000000000006</v>
      </c>
    </row>
    <row r="3069" spans="11:12" x14ac:dyDescent="0.25">
      <c r="K3069" s="1">
        <v>45946</v>
      </c>
      <c r="L3069">
        <v>98.335999999999999</v>
      </c>
    </row>
    <row r="3070" spans="11:12" x14ac:dyDescent="0.25">
      <c r="K3070" s="1">
        <v>45947</v>
      </c>
      <c r="L3070">
        <v>98.433000000000007</v>
      </c>
    </row>
    <row r="3071" spans="11:12" x14ac:dyDescent="0.25">
      <c r="K3071" s="1">
        <v>45950</v>
      </c>
      <c r="L3071">
        <v>98.585999999999999</v>
      </c>
    </row>
    <row r="3072" spans="11:12" x14ac:dyDescent="0.25">
      <c r="K3072" s="1">
        <v>45951</v>
      </c>
      <c r="L3072">
        <v>98.933999999999997</v>
      </c>
    </row>
    <row r="3073" spans="11:12" x14ac:dyDescent="0.25">
      <c r="K3073" s="1">
        <v>45952</v>
      </c>
      <c r="L3073">
        <v>98.897000000000006</v>
      </c>
    </row>
    <row r="3074" spans="11:12" x14ac:dyDescent="0.25">
      <c r="K3074" s="1">
        <v>45953</v>
      </c>
      <c r="L3074">
        <v>98.936000000000007</v>
      </c>
    </row>
    <row r="3075" spans="11:12" x14ac:dyDescent="0.25">
      <c r="K3075" s="1">
        <v>45954</v>
      </c>
      <c r="L3075">
        <v>98.951999999999998</v>
      </c>
    </row>
    <row r="3076" spans="11:12" x14ac:dyDescent="0.25">
      <c r="K3076" s="1">
        <v>45957</v>
      </c>
      <c r="L3076">
        <v>98.783000000000001</v>
      </c>
    </row>
    <row r="3077" spans="11:12" x14ac:dyDescent="0.25">
      <c r="K3077" s="1">
        <v>45958</v>
      </c>
      <c r="L3077">
        <v>98.667000000000002</v>
      </c>
    </row>
    <row r="3078" spans="11:12" x14ac:dyDescent="0.25">
      <c r="K3078" s="1">
        <v>45959</v>
      </c>
      <c r="L3078">
        <v>99.22</v>
      </c>
    </row>
    <row r="3079" spans="11:12" x14ac:dyDescent="0.25">
      <c r="K3079" s="1">
        <v>45960</v>
      </c>
      <c r="L3079">
        <v>99.525999999999996</v>
      </c>
    </row>
    <row r="3080" spans="11:12" x14ac:dyDescent="0.25">
      <c r="K3080" s="1">
        <v>45961</v>
      </c>
      <c r="L3080">
        <v>99.804000000000002</v>
      </c>
    </row>
    <row r="3081" spans="11:12" x14ac:dyDescent="0.25">
      <c r="K3081" s="1">
        <v>45964</v>
      </c>
      <c r="L3081">
        <v>99.873000000000005</v>
      </c>
    </row>
    <row r="3082" spans="11:12" x14ac:dyDescent="0.25">
      <c r="K3082" s="1">
        <v>45965</v>
      </c>
      <c r="L3082">
        <v>100.224</v>
      </c>
    </row>
    <row r="3083" spans="11:12" x14ac:dyDescent="0.25">
      <c r="K3083" s="1">
        <v>45966</v>
      </c>
      <c r="L3083">
        <v>100.20399999999999</v>
      </c>
    </row>
    <row r="3084" spans="11:12" x14ac:dyDescent="0.25">
      <c r="K3084" s="1">
        <v>45967</v>
      </c>
      <c r="L3084">
        <v>99.733000000000004</v>
      </c>
    </row>
    <row r="3085" spans="11:12" x14ac:dyDescent="0.25">
      <c r="K3085" s="1">
        <v>45968</v>
      </c>
      <c r="L3085">
        <v>99.602999999999994</v>
      </c>
    </row>
    <row r="3086" spans="11:12" x14ac:dyDescent="0.25">
      <c r="K3086" s="1">
        <v>45971</v>
      </c>
      <c r="L3086">
        <v>99.588999999999999</v>
      </c>
    </row>
    <row r="3087" spans="11:12" x14ac:dyDescent="0.25">
      <c r="K3087" s="1">
        <v>45972</v>
      </c>
      <c r="L3087">
        <v>99.442999999999998</v>
      </c>
    </row>
    <row r="3088" spans="11:12" x14ac:dyDescent="0.25">
      <c r="K3088" s="1">
        <v>45973</v>
      </c>
      <c r="L3088">
        <v>99.495000000000005</v>
      </c>
    </row>
    <row r="3089" spans="11:12" x14ac:dyDescent="0.25">
      <c r="K3089" s="1">
        <v>45974</v>
      </c>
      <c r="L3089">
        <v>99.156000000000006</v>
      </c>
    </row>
    <row r="3090" spans="11:12" x14ac:dyDescent="0.25">
      <c r="K3090" s="1">
        <v>45975</v>
      </c>
      <c r="L3090">
        <v>99.299000000000007</v>
      </c>
    </row>
    <row r="3091" spans="11:12" x14ac:dyDescent="0.25">
      <c r="K3091" s="1">
        <v>45978</v>
      </c>
      <c r="L3091">
        <v>99.587999999999994</v>
      </c>
    </row>
    <row r="3092" spans="11:12" x14ac:dyDescent="0.25">
      <c r="K3092" s="1">
        <v>45979</v>
      </c>
      <c r="L3092">
        <v>99.55</v>
      </c>
    </row>
    <row r="3093" spans="11:12" x14ac:dyDescent="0.25">
      <c r="K3093" s="1">
        <v>45980</v>
      </c>
      <c r="L3093">
        <v>100.22799999999999</v>
      </c>
    </row>
    <row r="3094" spans="11:12" x14ac:dyDescent="0.25">
      <c r="K3094" s="1">
        <v>45981</v>
      </c>
      <c r="L3094">
        <v>100.158</v>
      </c>
    </row>
    <row r="3095" spans="11:12" x14ac:dyDescent="0.25">
      <c r="K3095" s="1">
        <v>45982</v>
      </c>
      <c r="L3095">
        <v>100.18</v>
      </c>
    </row>
    <row r="3096" spans="11:12" x14ac:dyDescent="0.25">
      <c r="K3096" s="1">
        <v>45985</v>
      </c>
      <c r="L3096">
        <v>100.142</v>
      </c>
    </row>
    <row r="3097" spans="11:12" x14ac:dyDescent="0.25">
      <c r="K3097" s="1">
        <v>45986</v>
      </c>
      <c r="L3097">
        <v>99.664000000000001</v>
      </c>
    </row>
    <row r="3098" spans="11:12" x14ac:dyDescent="0.25">
      <c r="K3098" s="1">
        <v>45987</v>
      </c>
      <c r="L3098">
        <v>99.594999999999999</v>
      </c>
    </row>
    <row r="3099" spans="11:12" x14ac:dyDescent="0.25">
      <c r="K3099" s="1">
        <v>45988</v>
      </c>
      <c r="L3099">
        <v>99.536000000000001</v>
      </c>
    </row>
    <row r="3100" spans="11:12" x14ac:dyDescent="0.25">
      <c r="K3100" s="1">
        <v>45989</v>
      </c>
      <c r="L3100">
        <v>99.459000000000003</v>
      </c>
    </row>
    <row r="3101" spans="11:12" x14ac:dyDescent="0.25">
      <c r="K3101" s="1">
        <v>45992</v>
      </c>
      <c r="L3101">
        <v>99.414000000000001</v>
      </c>
    </row>
    <row r="3102" spans="11:12" x14ac:dyDescent="0.25">
      <c r="K3102" s="1">
        <v>45993</v>
      </c>
      <c r="L3102">
        <v>99.356999999999999</v>
      </c>
    </row>
    <row r="3103" spans="11:12" x14ac:dyDescent="0.25">
      <c r="K3103" s="1">
        <v>45994</v>
      </c>
      <c r="L3103">
        <v>98.853999999999999</v>
      </c>
    </row>
    <row r="3104" spans="11:12" x14ac:dyDescent="0.25">
      <c r="K3104" s="1">
        <v>45995</v>
      </c>
      <c r="L3104">
        <v>98.989000000000004</v>
      </c>
    </row>
    <row r="3105" spans="11:12" x14ac:dyDescent="0.25">
      <c r="K3105" s="1">
        <v>45996</v>
      </c>
      <c r="L3105">
        <v>98.992000000000004</v>
      </c>
    </row>
    <row r="3106" spans="11:12" x14ac:dyDescent="0.25">
      <c r="K3106" s="1">
        <v>45999</v>
      </c>
      <c r="L3106">
        <v>99.087000000000003</v>
      </c>
    </row>
    <row r="3107" spans="11:12" x14ac:dyDescent="0.25">
      <c r="K3107" s="1">
        <v>46000</v>
      </c>
      <c r="L3107">
        <v>99.22</v>
      </c>
    </row>
    <row r="3108" spans="11:12" x14ac:dyDescent="0.25">
      <c r="K3108" s="1">
        <v>46001</v>
      </c>
      <c r="L3108">
        <v>98.786000000000001</v>
      </c>
    </row>
    <row r="3109" spans="11:12" x14ac:dyDescent="0.25">
      <c r="K3109" s="1">
        <v>46002</v>
      </c>
      <c r="L3109">
        <v>98.311000000000007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/>
  </sheetViews>
  <sheetFormatPr defaultColWidth="8.85546875" defaultRowHeight="15" x14ac:dyDescent="0.25"/>
  <sheetData>
    <row r="1" spans="1:17" x14ac:dyDescent="0.25">
      <c r="A1" t="str">
        <f>_xll.BDH("CNCAMPMI Index","PX_LAST","20140101","20251231")</f>
        <v>#N/A Invalid Security</v>
      </c>
      <c r="C1" t="str">
        <f>_xll.BDH("CNPMIM Index","PX_LAST","20140101","20251231")</f>
        <v>#N/A Invalid Security</v>
      </c>
      <c r="E1" s="1">
        <f>_xll.BDH("CNCPIYOY Index","PX_LAST","20140101","20251231","cols=2;rows=143")</f>
        <v>41670</v>
      </c>
      <c r="F1">
        <v>2.5</v>
      </c>
      <c r="G1" t="str">
        <f>_xll.BDH("CNPPIYOY Index","PX_LAST","20140101","20251231")</f>
        <v>#N/A Invalid Security</v>
      </c>
      <c r="I1" t="str">
        <f>_xll.BDH("CNIYOY Index","PX_LAST","20140101","20251231")</f>
        <v>#N/A Invalid Security</v>
      </c>
      <c r="K1" t="str">
        <f>_xll.BDH("CNRSLYOY Index","PX_LAST","20140101","20251231")</f>
        <v>#N/A Invalid Security</v>
      </c>
      <c r="M1" t="str">
        <f>_xll.BDH("CNAFYOY Index","PX_LAST","20140101","20251231")</f>
        <v>#N/A Invalid Security</v>
      </c>
      <c r="O1" t="str">
        <f>_xll.BDP("CNLPR1Y Index","PX_LAST")</f>
        <v>#N/A Invalid Security</v>
      </c>
      <c r="Q1" t="str">
        <f>_xll.BDP("CNLPR5Y Index","PX_LAST")</f>
        <v>#N/A Invalid Security</v>
      </c>
    </row>
    <row r="2" spans="1:17" x14ac:dyDescent="0.25">
      <c r="E2" s="1">
        <v>41698</v>
      </c>
      <c r="F2">
        <v>2</v>
      </c>
    </row>
    <row r="3" spans="1:17" x14ac:dyDescent="0.25">
      <c r="E3" s="1">
        <v>41729</v>
      </c>
      <c r="F3">
        <v>2.4</v>
      </c>
    </row>
    <row r="4" spans="1:17" x14ac:dyDescent="0.25">
      <c r="E4" s="1">
        <v>41759</v>
      </c>
      <c r="F4">
        <v>1.8</v>
      </c>
    </row>
    <row r="5" spans="1:17" x14ac:dyDescent="0.25">
      <c r="E5" s="1">
        <v>41790</v>
      </c>
      <c r="F5">
        <v>2.5</v>
      </c>
    </row>
    <row r="6" spans="1:17" x14ac:dyDescent="0.25">
      <c r="E6" s="1">
        <v>41820</v>
      </c>
      <c r="F6">
        <v>2.2999999999999998</v>
      </c>
    </row>
    <row r="7" spans="1:17" x14ac:dyDescent="0.25">
      <c r="E7" s="1">
        <v>41851</v>
      </c>
      <c r="F7">
        <v>2.2999999999999998</v>
      </c>
    </row>
    <row r="8" spans="1:17" x14ac:dyDescent="0.25">
      <c r="E8" s="1">
        <v>41882</v>
      </c>
      <c r="F8">
        <v>2</v>
      </c>
    </row>
    <row r="9" spans="1:17" x14ac:dyDescent="0.25">
      <c r="E9" s="1">
        <v>41912</v>
      </c>
      <c r="F9">
        <v>1.6</v>
      </c>
    </row>
    <row r="10" spans="1:17" x14ac:dyDescent="0.25">
      <c r="E10" s="1">
        <v>41943</v>
      </c>
      <c r="F10">
        <v>1.6</v>
      </c>
    </row>
    <row r="11" spans="1:17" x14ac:dyDescent="0.25">
      <c r="E11" s="1">
        <v>41973</v>
      </c>
      <c r="F11">
        <v>1.4</v>
      </c>
    </row>
    <row r="12" spans="1:17" x14ac:dyDescent="0.25">
      <c r="E12" s="1">
        <v>42004</v>
      </c>
      <c r="F12">
        <v>1.5</v>
      </c>
    </row>
    <row r="13" spans="1:17" x14ac:dyDescent="0.25">
      <c r="E13" s="1">
        <v>42035</v>
      </c>
      <c r="F13">
        <v>0.8</v>
      </c>
    </row>
    <row r="14" spans="1:17" x14ac:dyDescent="0.25">
      <c r="E14" s="1">
        <v>42063</v>
      </c>
      <c r="F14">
        <v>1.4</v>
      </c>
    </row>
    <row r="15" spans="1:17" x14ac:dyDescent="0.25">
      <c r="E15" s="1">
        <v>42094</v>
      </c>
      <c r="F15">
        <v>1.4</v>
      </c>
    </row>
    <row r="16" spans="1:17" x14ac:dyDescent="0.25">
      <c r="E16" s="1">
        <v>42124</v>
      </c>
      <c r="F16">
        <v>1.5</v>
      </c>
    </row>
    <row r="17" spans="5:6" x14ac:dyDescent="0.25">
      <c r="E17" s="1">
        <v>42155</v>
      </c>
      <c r="F17">
        <v>1.2</v>
      </c>
    </row>
    <row r="18" spans="5:6" x14ac:dyDescent="0.25">
      <c r="E18" s="1">
        <v>42185</v>
      </c>
      <c r="F18">
        <v>1.4</v>
      </c>
    </row>
    <row r="19" spans="5:6" x14ac:dyDescent="0.25">
      <c r="E19" s="1">
        <v>42216</v>
      </c>
      <c r="F19">
        <v>1.6</v>
      </c>
    </row>
    <row r="20" spans="5:6" x14ac:dyDescent="0.25">
      <c r="E20" s="1">
        <v>42247</v>
      </c>
      <c r="F20">
        <v>2</v>
      </c>
    </row>
    <row r="21" spans="5:6" x14ac:dyDescent="0.25">
      <c r="E21" s="1">
        <v>42277</v>
      </c>
      <c r="F21">
        <v>1.6</v>
      </c>
    </row>
    <row r="22" spans="5:6" x14ac:dyDescent="0.25">
      <c r="E22" s="1">
        <v>42308</v>
      </c>
      <c r="F22">
        <v>1.3</v>
      </c>
    </row>
    <row r="23" spans="5:6" x14ac:dyDescent="0.25">
      <c r="E23" s="1">
        <v>42338</v>
      </c>
      <c r="F23">
        <v>1.5</v>
      </c>
    </row>
    <row r="24" spans="5:6" x14ac:dyDescent="0.25">
      <c r="E24" s="1">
        <v>42369</v>
      </c>
      <c r="F24">
        <v>1.6</v>
      </c>
    </row>
    <row r="25" spans="5:6" x14ac:dyDescent="0.25">
      <c r="E25" s="1">
        <v>42400</v>
      </c>
      <c r="F25">
        <v>1.8</v>
      </c>
    </row>
    <row r="26" spans="5:6" x14ac:dyDescent="0.25">
      <c r="E26" s="1">
        <v>42429</v>
      </c>
      <c r="F26">
        <v>2.2999999999999998</v>
      </c>
    </row>
    <row r="27" spans="5:6" x14ac:dyDescent="0.25">
      <c r="E27" s="1">
        <v>42460</v>
      </c>
      <c r="F27">
        <v>2.2999999999999998</v>
      </c>
    </row>
    <row r="28" spans="5:6" x14ac:dyDescent="0.25">
      <c r="E28" s="1">
        <v>42490</v>
      </c>
      <c r="F28">
        <v>2.2999999999999998</v>
      </c>
    </row>
    <row r="29" spans="5:6" x14ac:dyDescent="0.25">
      <c r="E29" s="1">
        <v>42521</v>
      </c>
      <c r="F29">
        <v>2</v>
      </c>
    </row>
    <row r="30" spans="5:6" x14ac:dyDescent="0.25">
      <c r="E30" s="1">
        <v>42551</v>
      </c>
      <c r="F30">
        <v>1.9</v>
      </c>
    </row>
    <row r="31" spans="5:6" x14ac:dyDescent="0.25">
      <c r="E31" s="1">
        <v>42582</v>
      </c>
      <c r="F31">
        <v>1.8</v>
      </c>
    </row>
    <row r="32" spans="5:6" x14ac:dyDescent="0.25">
      <c r="E32" s="1">
        <v>42613</v>
      </c>
      <c r="F32">
        <v>1.3</v>
      </c>
    </row>
    <row r="33" spans="5:6" x14ac:dyDescent="0.25">
      <c r="E33" s="1">
        <v>42643</v>
      </c>
      <c r="F33">
        <v>1.9</v>
      </c>
    </row>
    <row r="34" spans="5:6" x14ac:dyDescent="0.25">
      <c r="E34" s="1">
        <v>42674</v>
      </c>
      <c r="F34">
        <v>2.1</v>
      </c>
    </row>
    <row r="35" spans="5:6" x14ac:dyDescent="0.25">
      <c r="E35" s="1">
        <v>42704</v>
      </c>
      <c r="F35">
        <v>2.2999999999999998</v>
      </c>
    </row>
    <row r="36" spans="5:6" x14ac:dyDescent="0.25">
      <c r="E36" s="1">
        <v>42735</v>
      </c>
      <c r="F36">
        <v>2.1</v>
      </c>
    </row>
    <row r="37" spans="5:6" x14ac:dyDescent="0.25">
      <c r="E37" s="1">
        <v>42766</v>
      </c>
      <c r="F37">
        <v>2.5</v>
      </c>
    </row>
    <row r="38" spans="5:6" x14ac:dyDescent="0.25">
      <c r="E38" s="1">
        <v>42794</v>
      </c>
      <c r="F38">
        <v>0.8</v>
      </c>
    </row>
    <row r="39" spans="5:6" x14ac:dyDescent="0.25">
      <c r="E39" s="1">
        <v>42825</v>
      </c>
      <c r="F39">
        <v>0.9</v>
      </c>
    </row>
    <row r="40" spans="5:6" x14ac:dyDescent="0.25">
      <c r="E40" s="1">
        <v>42855</v>
      </c>
      <c r="F40">
        <v>1.2</v>
      </c>
    </row>
    <row r="41" spans="5:6" x14ac:dyDescent="0.25">
      <c r="E41" s="1">
        <v>42886</v>
      </c>
      <c r="F41">
        <v>1.5</v>
      </c>
    </row>
    <row r="42" spans="5:6" x14ac:dyDescent="0.25">
      <c r="E42" s="1">
        <v>42916</v>
      </c>
      <c r="F42">
        <v>1.5</v>
      </c>
    </row>
    <row r="43" spans="5:6" x14ac:dyDescent="0.25">
      <c r="E43" s="1">
        <v>42947</v>
      </c>
      <c r="F43">
        <v>1.4</v>
      </c>
    </row>
    <row r="44" spans="5:6" x14ac:dyDescent="0.25">
      <c r="E44" s="1">
        <v>42978</v>
      </c>
      <c r="F44">
        <v>1.8</v>
      </c>
    </row>
    <row r="45" spans="5:6" x14ac:dyDescent="0.25">
      <c r="E45" s="1">
        <v>43008</v>
      </c>
      <c r="F45">
        <v>1.6</v>
      </c>
    </row>
    <row r="46" spans="5:6" x14ac:dyDescent="0.25">
      <c r="E46" s="1">
        <v>43039</v>
      </c>
      <c r="F46">
        <v>1.9</v>
      </c>
    </row>
    <row r="47" spans="5:6" x14ac:dyDescent="0.25">
      <c r="E47" s="1">
        <v>43069</v>
      </c>
      <c r="F47">
        <v>1.7</v>
      </c>
    </row>
    <row r="48" spans="5:6" x14ac:dyDescent="0.25">
      <c r="E48" s="1">
        <v>43100</v>
      </c>
      <c r="F48">
        <v>1.8</v>
      </c>
    </row>
    <row r="49" spans="5:6" x14ac:dyDescent="0.25">
      <c r="E49" s="1">
        <v>43131</v>
      </c>
      <c r="F49">
        <v>1.5</v>
      </c>
    </row>
    <row r="50" spans="5:6" x14ac:dyDescent="0.25">
      <c r="E50" s="1">
        <v>43159</v>
      </c>
      <c r="F50">
        <v>2.9</v>
      </c>
    </row>
    <row r="51" spans="5:6" x14ac:dyDescent="0.25">
      <c r="E51" s="1">
        <v>43190</v>
      </c>
      <c r="F51">
        <v>2.1</v>
      </c>
    </row>
    <row r="52" spans="5:6" x14ac:dyDescent="0.25">
      <c r="E52" s="1">
        <v>43220</v>
      </c>
      <c r="F52">
        <v>1.8</v>
      </c>
    </row>
    <row r="53" spans="5:6" x14ac:dyDescent="0.25">
      <c r="E53" s="1">
        <v>43251</v>
      </c>
      <c r="F53">
        <v>1.8</v>
      </c>
    </row>
    <row r="54" spans="5:6" x14ac:dyDescent="0.25">
      <c r="E54" s="1">
        <v>43281</v>
      </c>
      <c r="F54">
        <v>1.9</v>
      </c>
    </row>
    <row r="55" spans="5:6" x14ac:dyDescent="0.25">
      <c r="E55" s="1">
        <v>43312</v>
      </c>
      <c r="F55">
        <v>2.1</v>
      </c>
    </row>
    <row r="56" spans="5:6" x14ac:dyDescent="0.25">
      <c r="E56" s="1">
        <v>43343</v>
      </c>
      <c r="F56">
        <v>2.2999999999999998</v>
      </c>
    </row>
    <row r="57" spans="5:6" x14ac:dyDescent="0.25">
      <c r="E57" s="1">
        <v>43373</v>
      </c>
      <c r="F57">
        <v>2.5</v>
      </c>
    </row>
    <row r="58" spans="5:6" x14ac:dyDescent="0.25">
      <c r="E58" s="1">
        <v>43404</v>
      </c>
      <c r="F58">
        <v>2.5</v>
      </c>
    </row>
    <row r="59" spans="5:6" x14ac:dyDescent="0.25">
      <c r="E59" s="1">
        <v>43434</v>
      </c>
      <c r="F59">
        <v>2.2000000000000002</v>
      </c>
    </row>
    <row r="60" spans="5:6" x14ac:dyDescent="0.25">
      <c r="E60" s="1">
        <v>43465</v>
      </c>
      <c r="F60">
        <v>1.9</v>
      </c>
    </row>
    <row r="61" spans="5:6" x14ac:dyDescent="0.25">
      <c r="E61" s="1">
        <v>43496</v>
      </c>
      <c r="F61">
        <v>1.7</v>
      </c>
    </row>
    <row r="62" spans="5:6" x14ac:dyDescent="0.25">
      <c r="E62" s="1">
        <v>43524</v>
      </c>
      <c r="F62">
        <v>1.5</v>
      </c>
    </row>
    <row r="63" spans="5:6" x14ac:dyDescent="0.25">
      <c r="E63" s="1">
        <v>43555</v>
      </c>
      <c r="F63">
        <v>2.2999999999999998</v>
      </c>
    </row>
    <row r="64" spans="5:6" x14ac:dyDescent="0.25">
      <c r="E64" s="1">
        <v>43585</v>
      </c>
      <c r="F64">
        <v>2.5</v>
      </c>
    </row>
    <row r="65" spans="5:6" x14ac:dyDescent="0.25">
      <c r="E65" s="1">
        <v>43616</v>
      </c>
      <c r="F65">
        <v>2.7</v>
      </c>
    </row>
    <row r="66" spans="5:6" x14ac:dyDescent="0.25">
      <c r="E66" s="1">
        <v>43646</v>
      </c>
      <c r="F66">
        <v>2.7</v>
      </c>
    </row>
    <row r="67" spans="5:6" x14ac:dyDescent="0.25">
      <c r="E67" s="1">
        <v>43677</v>
      </c>
      <c r="F67">
        <v>2.8</v>
      </c>
    </row>
    <row r="68" spans="5:6" x14ac:dyDescent="0.25">
      <c r="E68" s="1">
        <v>43708</v>
      </c>
      <c r="F68">
        <v>2.8</v>
      </c>
    </row>
    <row r="69" spans="5:6" x14ac:dyDescent="0.25">
      <c r="E69" s="1">
        <v>43738</v>
      </c>
      <c r="F69">
        <v>3</v>
      </c>
    </row>
    <row r="70" spans="5:6" x14ac:dyDescent="0.25">
      <c r="E70" s="1">
        <v>43769</v>
      </c>
      <c r="F70">
        <v>3.8</v>
      </c>
    </row>
    <row r="71" spans="5:6" x14ac:dyDescent="0.25">
      <c r="E71" s="1">
        <v>43799</v>
      </c>
      <c r="F71">
        <v>4.5</v>
      </c>
    </row>
    <row r="72" spans="5:6" x14ac:dyDescent="0.25">
      <c r="E72" s="1">
        <v>43830</v>
      </c>
      <c r="F72">
        <v>4.5</v>
      </c>
    </row>
    <row r="73" spans="5:6" x14ac:dyDescent="0.25">
      <c r="E73" s="1">
        <v>43861</v>
      </c>
      <c r="F73">
        <v>5.4</v>
      </c>
    </row>
    <row r="74" spans="5:6" x14ac:dyDescent="0.25">
      <c r="E74" s="1">
        <v>43890</v>
      </c>
      <c r="F74">
        <v>5.2</v>
      </c>
    </row>
    <row r="75" spans="5:6" x14ac:dyDescent="0.25">
      <c r="E75" s="1">
        <v>43921</v>
      </c>
      <c r="F75">
        <v>4.3</v>
      </c>
    </row>
    <row r="76" spans="5:6" x14ac:dyDescent="0.25">
      <c r="E76" s="1">
        <v>43951</v>
      </c>
      <c r="F76">
        <v>3.3</v>
      </c>
    </row>
    <row r="77" spans="5:6" x14ac:dyDescent="0.25">
      <c r="E77" s="1">
        <v>43982</v>
      </c>
      <c r="F77">
        <v>2.4</v>
      </c>
    </row>
    <row r="78" spans="5:6" x14ac:dyDescent="0.25">
      <c r="E78" s="1">
        <v>44012</v>
      </c>
      <c r="F78">
        <v>2.5</v>
      </c>
    </row>
    <row r="79" spans="5:6" x14ac:dyDescent="0.25">
      <c r="E79" s="1">
        <v>44043</v>
      </c>
      <c r="F79">
        <v>2.7</v>
      </c>
    </row>
    <row r="80" spans="5:6" x14ac:dyDescent="0.25">
      <c r="E80" s="1">
        <v>44074</v>
      </c>
      <c r="F80">
        <v>2.4</v>
      </c>
    </row>
    <row r="81" spans="5:6" x14ac:dyDescent="0.25">
      <c r="E81" s="1">
        <v>44104</v>
      </c>
      <c r="F81">
        <v>1.7</v>
      </c>
    </row>
    <row r="82" spans="5:6" x14ac:dyDescent="0.25">
      <c r="E82" s="1">
        <v>44135</v>
      </c>
      <c r="F82">
        <v>0.5</v>
      </c>
    </row>
    <row r="83" spans="5:6" x14ac:dyDescent="0.25">
      <c r="E83" s="1">
        <v>44165</v>
      </c>
      <c r="F83">
        <v>-0.5</v>
      </c>
    </row>
    <row r="84" spans="5:6" x14ac:dyDescent="0.25">
      <c r="E84" s="1">
        <v>44196</v>
      </c>
      <c r="F84">
        <v>0.2</v>
      </c>
    </row>
    <row r="85" spans="5:6" x14ac:dyDescent="0.25">
      <c r="E85" s="1">
        <v>44227</v>
      </c>
      <c r="F85">
        <v>-0.3</v>
      </c>
    </row>
    <row r="86" spans="5:6" x14ac:dyDescent="0.25">
      <c r="E86" s="1">
        <v>44255</v>
      </c>
      <c r="F86">
        <v>-0.2</v>
      </c>
    </row>
    <row r="87" spans="5:6" x14ac:dyDescent="0.25">
      <c r="E87" s="1">
        <v>44286</v>
      </c>
      <c r="F87">
        <v>0.4</v>
      </c>
    </row>
    <row r="88" spans="5:6" x14ac:dyDescent="0.25">
      <c r="E88" s="1">
        <v>44316</v>
      </c>
      <c r="F88">
        <v>0.9</v>
      </c>
    </row>
    <row r="89" spans="5:6" x14ac:dyDescent="0.25">
      <c r="E89" s="1">
        <v>44347</v>
      </c>
      <c r="F89">
        <v>1.3</v>
      </c>
    </row>
    <row r="90" spans="5:6" x14ac:dyDescent="0.25">
      <c r="E90" s="1">
        <v>44377</v>
      </c>
      <c r="F90">
        <v>1.1000000000000001</v>
      </c>
    </row>
    <row r="91" spans="5:6" x14ac:dyDescent="0.25">
      <c r="E91" s="1">
        <v>44408</v>
      </c>
      <c r="F91">
        <v>1</v>
      </c>
    </row>
    <row r="92" spans="5:6" x14ac:dyDescent="0.25">
      <c r="E92" s="1">
        <v>44439</v>
      </c>
      <c r="F92">
        <v>0.8</v>
      </c>
    </row>
    <row r="93" spans="5:6" x14ac:dyDescent="0.25">
      <c r="E93" s="1">
        <v>44469</v>
      </c>
      <c r="F93">
        <v>0.7</v>
      </c>
    </row>
    <row r="94" spans="5:6" x14ac:dyDescent="0.25">
      <c r="E94" s="1">
        <v>44500</v>
      </c>
      <c r="F94">
        <v>1.5</v>
      </c>
    </row>
    <row r="95" spans="5:6" x14ac:dyDescent="0.25">
      <c r="E95" s="1">
        <v>44530</v>
      </c>
      <c r="F95">
        <v>2.2999999999999998</v>
      </c>
    </row>
    <row r="96" spans="5:6" x14ac:dyDescent="0.25">
      <c r="E96" s="1">
        <v>44561</v>
      </c>
      <c r="F96">
        <v>1.5</v>
      </c>
    </row>
    <row r="97" spans="5:6" x14ac:dyDescent="0.25">
      <c r="E97" s="1">
        <v>44592</v>
      </c>
      <c r="F97">
        <v>0.9</v>
      </c>
    </row>
    <row r="98" spans="5:6" x14ac:dyDescent="0.25">
      <c r="E98" s="1">
        <v>44620</v>
      </c>
      <c r="F98">
        <v>0.9</v>
      </c>
    </row>
    <row r="99" spans="5:6" x14ac:dyDescent="0.25">
      <c r="E99" s="1">
        <v>44651</v>
      </c>
      <c r="F99">
        <v>1.5</v>
      </c>
    </row>
    <row r="100" spans="5:6" x14ac:dyDescent="0.25">
      <c r="E100" s="1">
        <v>44681</v>
      </c>
      <c r="F100">
        <v>2.1</v>
      </c>
    </row>
    <row r="101" spans="5:6" x14ac:dyDescent="0.25">
      <c r="E101" s="1">
        <v>44712</v>
      </c>
      <c r="F101">
        <v>2.1</v>
      </c>
    </row>
    <row r="102" spans="5:6" x14ac:dyDescent="0.25">
      <c r="E102" s="1">
        <v>44742</v>
      </c>
      <c r="F102">
        <v>2.5</v>
      </c>
    </row>
    <row r="103" spans="5:6" x14ac:dyDescent="0.25">
      <c r="E103" s="1">
        <v>44773</v>
      </c>
      <c r="F103">
        <v>2.7</v>
      </c>
    </row>
    <row r="104" spans="5:6" x14ac:dyDescent="0.25">
      <c r="E104" s="1">
        <v>44804</v>
      </c>
      <c r="F104">
        <v>2.5</v>
      </c>
    </row>
    <row r="105" spans="5:6" x14ac:dyDescent="0.25">
      <c r="E105" s="1">
        <v>44834</v>
      </c>
      <c r="F105">
        <v>2.8</v>
      </c>
    </row>
    <row r="106" spans="5:6" x14ac:dyDescent="0.25">
      <c r="E106" s="1">
        <v>44865</v>
      </c>
      <c r="F106">
        <v>2.1</v>
      </c>
    </row>
    <row r="107" spans="5:6" x14ac:dyDescent="0.25">
      <c r="E107" s="1">
        <v>44895</v>
      </c>
      <c r="F107">
        <v>1.6</v>
      </c>
    </row>
    <row r="108" spans="5:6" x14ac:dyDescent="0.25">
      <c r="E108" s="1">
        <v>44926</v>
      </c>
      <c r="F108">
        <v>1.8</v>
      </c>
    </row>
    <row r="109" spans="5:6" x14ac:dyDescent="0.25">
      <c r="E109" s="1">
        <v>44957</v>
      </c>
      <c r="F109">
        <v>2.1</v>
      </c>
    </row>
    <row r="110" spans="5:6" x14ac:dyDescent="0.25">
      <c r="E110" s="1">
        <v>44985</v>
      </c>
      <c r="F110">
        <v>1</v>
      </c>
    </row>
    <row r="111" spans="5:6" x14ac:dyDescent="0.25">
      <c r="E111" s="1">
        <v>45016</v>
      </c>
      <c r="F111">
        <v>0.7</v>
      </c>
    </row>
    <row r="112" spans="5:6" x14ac:dyDescent="0.25">
      <c r="E112" s="1">
        <v>45046</v>
      </c>
      <c r="F112">
        <v>0.1</v>
      </c>
    </row>
    <row r="113" spans="5:6" x14ac:dyDescent="0.25">
      <c r="E113" s="1">
        <v>45077</v>
      </c>
      <c r="F113">
        <v>0.2</v>
      </c>
    </row>
    <row r="114" spans="5:6" x14ac:dyDescent="0.25">
      <c r="E114" s="1">
        <v>45107</v>
      </c>
      <c r="F114">
        <v>0</v>
      </c>
    </row>
    <row r="115" spans="5:6" x14ac:dyDescent="0.25">
      <c r="E115" s="1">
        <v>45138</v>
      </c>
      <c r="F115">
        <v>-0.3</v>
      </c>
    </row>
    <row r="116" spans="5:6" x14ac:dyDescent="0.25">
      <c r="E116" s="1">
        <v>45169</v>
      </c>
      <c r="F116">
        <v>0.1</v>
      </c>
    </row>
    <row r="117" spans="5:6" x14ac:dyDescent="0.25">
      <c r="E117" s="1">
        <v>45199</v>
      </c>
      <c r="F117">
        <v>0</v>
      </c>
    </row>
    <row r="118" spans="5:6" x14ac:dyDescent="0.25">
      <c r="E118" s="1">
        <v>45230</v>
      </c>
      <c r="F118">
        <v>-0.2</v>
      </c>
    </row>
    <row r="119" spans="5:6" x14ac:dyDescent="0.25">
      <c r="E119" s="1">
        <v>45260</v>
      </c>
      <c r="F119">
        <v>-0.5</v>
      </c>
    </row>
    <row r="120" spans="5:6" x14ac:dyDescent="0.25">
      <c r="E120" s="1">
        <v>45291</v>
      </c>
      <c r="F120">
        <v>-0.3</v>
      </c>
    </row>
    <row r="121" spans="5:6" x14ac:dyDescent="0.25">
      <c r="E121" s="1">
        <v>45322</v>
      </c>
      <c r="F121">
        <v>-0.8</v>
      </c>
    </row>
    <row r="122" spans="5:6" x14ac:dyDescent="0.25">
      <c r="E122" s="1">
        <v>45351</v>
      </c>
      <c r="F122">
        <v>0.7</v>
      </c>
    </row>
    <row r="123" spans="5:6" x14ac:dyDescent="0.25">
      <c r="E123" s="1">
        <v>45382</v>
      </c>
      <c r="F123">
        <v>0.1</v>
      </c>
    </row>
    <row r="124" spans="5:6" x14ac:dyDescent="0.25">
      <c r="E124" s="1">
        <v>45412</v>
      </c>
      <c r="F124">
        <v>0.3</v>
      </c>
    </row>
    <row r="125" spans="5:6" x14ac:dyDescent="0.25">
      <c r="E125" s="1">
        <v>45443</v>
      </c>
      <c r="F125">
        <v>0.3</v>
      </c>
    </row>
    <row r="126" spans="5:6" x14ac:dyDescent="0.25">
      <c r="E126" s="1">
        <v>45473</v>
      </c>
      <c r="F126">
        <v>0.2</v>
      </c>
    </row>
    <row r="127" spans="5:6" x14ac:dyDescent="0.25">
      <c r="E127" s="1">
        <v>45504</v>
      </c>
      <c r="F127">
        <v>0.5</v>
      </c>
    </row>
    <row r="128" spans="5:6" x14ac:dyDescent="0.25">
      <c r="E128" s="1">
        <v>45535</v>
      </c>
      <c r="F128">
        <v>0.6</v>
      </c>
    </row>
    <row r="129" spans="5:6" x14ac:dyDescent="0.25">
      <c r="E129" s="1">
        <v>45565</v>
      </c>
      <c r="F129">
        <v>0.4</v>
      </c>
    </row>
    <row r="130" spans="5:6" x14ac:dyDescent="0.25">
      <c r="E130" s="1">
        <v>45596</v>
      </c>
      <c r="F130">
        <v>0.3</v>
      </c>
    </row>
    <row r="131" spans="5:6" x14ac:dyDescent="0.25">
      <c r="E131" s="1">
        <v>45626</v>
      </c>
      <c r="F131">
        <v>0.2</v>
      </c>
    </row>
    <row r="132" spans="5:6" x14ac:dyDescent="0.25">
      <c r="E132" s="1">
        <v>45657</v>
      </c>
      <c r="F132">
        <v>0.1</v>
      </c>
    </row>
    <row r="133" spans="5:6" x14ac:dyDescent="0.25">
      <c r="E133" s="1">
        <v>45688</v>
      </c>
      <c r="F133">
        <v>0.5</v>
      </c>
    </row>
    <row r="134" spans="5:6" x14ac:dyDescent="0.25">
      <c r="E134" s="1">
        <v>45716</v>
      </c>
      <c r="F134">
        <v>-0.7</v>
      </c>
    </row>
    <row r="135" spans="5:6" x14ac:dyDescent="0.25">
      <c r="E135" s="1">
        <v>45747</v>
      </c>
      <c r="F135">
        <v>-0.1</v>
      </c>
    </row>
    <row r="136" spans="5:6" x14ac:dyDescent="0.25">
      <c r="E136" s="1">
        <v>45777</v>
      </c>
      <c r="F136">
        <v>-0.1</v>
      </c>
    </row>
    <row r="137" spans="5:6" x14ac:dyDescent="0.25">
      <c r="E137" s="1">
        <v>45808</v>
      </c>
      <c r="F137">
        <v>-0.1</v>
      </c>
    </row>
    <row r="138" spans="5:6" x14ac:dyDescent="0.25">
      <c r="E138" s="1">
        <v>45838</v>
      </c>
      <c r="F138">
        <v>0.1</v>
      </c>
    </row>
    <row r="139" spans="5:6" x14ac:dyDescent="0.25">
      <c r="E139" s="1">
        <v>45869</v>
      </c>
      <c r="F139">
        <v>0</v>
      </c>
    </row>
    <row r="140" spans="5:6" x14ac:dyDescent="0.25">
      <c r="E140" s="1">
        <v>45900</v>
      </c>
      <c r="F140">
        <v>-0.4</v>
      </c>
    </row>
    <row r="141" spans="5:6" x14ac:dyDescent="0.25">
      <c r="E141" s="1">
        <v>45930</v>
      </c>
      <c r="F141">
        <v>-0.3</v>
      </c>
    </row>
    <row r="142" spans="5:6" x14ac:dyDescent="0.25">
      <c r="E142" s="1">
        <v>45961</v>
      </c>
      <c r="F142">
        <v>0.2</v>
      </c>
    </row>
    <row r="143" spans="5:6" x14ac:dyDescent="0.25">
      <c r="E143" s="1">
        <v>45991</v>
      </c>
      <c r="F143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/>
  </sheetViews>
  <sheetFormatPr defaultColWidth="8.85546875" defaultRowHeight="15" x14ac:dyDescent="0.25"/>
  <sheetData>
    <row r="1" spans="1:10" x14ac:dyDescent="0.25">
      <c r="A1" s="1">
        <f>_xll.BDH("NFP TCH Index","PX_LAST","20140101","20251231","cols=2;rows=141")</f>
        <v>41670</v>
      </c>
      <c r="B1">
        <v>188</v>
      </c>
      <c r="C1" s="1">
        <f>_xll.BDH("CPURNSA Index","PX_LAST","20140101","20251231","cols=2;rows=141")</f>
        <v>41670</v>
      </c>
      <c r="D1">
        <v>233.916</v>
      </c>
      <c r="E1" t="str">
        <f>_xll.BDH("CPUPX Index","PX_LAST","20140101","20251231")</f>
        <v>#N/A Invalid Security</v>
      </c>
      <c r="G1" s="1">
        <f>_xll.BDH("NAPMPMI Index","PX_LAST","20140101","20251231","cols=2;rows=143")</f>
        <v>41670</v>
      </c>
      <c r="H1">
        <v>52.5</v>
      </c>
      <c r="I1" s="1">
        <f>_xll.BDH("CONCCONF Index","PX_LAST","20140101","20251231","cols=2;rows=143")</f>
        <v>41670</v>
      </c>
      <c r="J1">
        <v>79.400000000000006</v>
      </c>
    </row>
    <row r="2" spans="1:10" x14ac:dyDescent="0.25">
      <c r="A2" s="1">
        <v>41698</v>
      </c>
      <c r="B2">
        <v>151</v>
      </c>
      <c r="C2" s="1">
        <v>41698</v>
      </c>
      <c r="D2">
        <v>234.78100000000001</v>
      </c>
      <c r="G2" s="1">
        <v>41698</v>
      </c>
      <c r="H2">
        <v>55</v>
      </c>
      <c r="I2" s="1">
        <v>41698</v>
      </c>
      <c r="J2">
        <v>78.3</v>
      </c>
    </row>
    <row r="3" spans="1:10" x14ac:dyDescent="0.25">
      <c r="A3" s="1">
        <v>41729</v>
      </c>
      <c r="B3">
        <v>273</v>
      </c>
      <c r="C3" s="1">
        <v>41729</v>
      </c>
      <c r="D3">
        <v>236.29300000000001</v>
      </c>
      <c r="G3" s="1">
        <v>41729</v>
      </c>
      <c r="H3">
        <v>55.9</v>
      </c>
      <c r="I3" s="1">
        <v>41729</v>
      </c>
      <c r="J3">
        <v>83.9</v>
      </c>
    </row>
    <row r="4" spans="1:10" x14ac:dyDescent="0.25">
      <c r="A4" s="1">
        <v>41759</v>
      </c>
      <c r="B4">
        <v>312</v>
      </c>
      <c r="C4" s="1">
        <v>41759</v>
      </c>
      <c r="D4">
        <v>237.072</v>
      </c>
      <c r="G4" s="1">
        <v>41759</v>
      </c>
      <c r="H4">
        <v>56.6</v>
      </c>
      <c r="I4" s="1">
        <v>41759</v>
      </c>
      <c r="J4">
        <v>81.7</v>
      </c>
    </row>
    <row r="5" spans="1:10" x14ac:dyDescent="0.25">
      <c r="A5" s="1">
        <v>41790</v>
      </c>
      <c r="B5">
        <v>215</v>
      </c>
      <c r="C5" s="1">
        <v>41790</v>
      </c>
      <c r="D5">
        <v>237.9</v>
      </c>
      <c r="G5" s="1">
        <v>41790</v>
      </c>
      <c r="H5">
        <v>55.7</v>
      </c>
      <c r="I5" s="1">
        <v>41790</v>
      </c>
      <c r="J5">
        <v>82.2</v>
      </c>
    </row>
    <row r="6" spans="1:10" x14ac:dyDescent="0.25">
      <c r="A6" s="1">
        <v>41820</v>
      </c>
      <c r="B6">
        <v>337</v>
      </c>
      <c r="C6" s="1">
        <v>41820</v>
      </c>
      <c r="D6">
        <v>238.34299999999999</v>
      </c>
      <c r="G6" s="1">
        <v>41820</v>
      </c>
      <c r="H6">
        <v>55</v>
      </c>
      <c r="I6" s="1">
        <v>41820</v>
      </c>
      <c r="J6">
        <v>86.4</v>
      </c>
    </row>
    <row r="7" spans="1:10" x14ac:dyDescent="0.25">
      <c r="A7" s="1">
        <v>41851</v>
      </c>
      <c r="B7">
        <v>224</v>
      </c>
      <c r="C7" s="1">
        <v>41851</v>
      </c>
      <c r="D7">
        <v>238.25</v>
      </c>
      <c r="G7" s="1">
        <v>41851</v>
      </c>
      <c r="H7">
        <v>55.1</v>
      </c>
      <c r="I7" s="1">
        <v>41851</v>
      </c>
      <c r="J7">
        <v>90.3</v>
      </c>
    </row>
    <row r="8" spans="1:10" x14ac:dyDescent="0.25">
      <c r="A8" s="1">
        <v>41882</v>
      </c>
      <c r="B8">
        <v>196</v>
      </c>
      <c r="C8" s="1">
        <v>41882</v>
      </c>
      <c r="D8">
        <v>237.852</v>
      </c>
      <c r="G8" s="1">
        <v>41882</v>
      </c>
      <c r="H8">
        <v>56.3</v>
      </c>
      <c r="I8" s="1">
        <v>41882</v>
      </c>
      <c r="J8">
        <v>93.4</v>
      </c>
    </row>
    <row r="9" spans="1:10" x14ac:dyDescent="0.25">
      <c r="A9" s="1">
        <v>41912</v>
      </c>
      <c r="B9">
        <v>294</v>
      </c>
      <c r="C9" s="1">
        <v>41912</v>
      </c>
      <c r="D9">
        <v>238.03100000000001</v>
      </c>
      <c r="G9" s="1">
        <v>41912</v>
      </c>
      <c r="H9">
        <v>55.7</v>
      </c>
      <c r="I9" s="1">
        <v>41912</v>
      </c>
      <c r="J9">
        <v>89</v>
      </c>
    </row>
    <row r="10" spans="1:10" x14ac:dyDescent="0.25">
      <c r="A10" s="1">
        <v>41943</v>
      </c>
      <c r="B10">
        <v>234</v>
      </c>
      <c r="C10" s="1">
        <v>41943</v>
      </c>
      <c r="D10">
        <v>237.43299999999999</v>
      </c>
      <c r="G10" s="1">
        <v>41943</v>
      </c>
      <c r="H10">
        <v>56.2</v>
      </c>
      <c r="I10" s="1">
        <v>41943</v>
      </c>
      <c r="J10">
        <v>94.1</v>
      </c>
    </row>
    <row r="11" spans="1:10" x14ac:dyDescent="0.25">
      <c r="A11" s="1">
        <v>41973</v>
      </c>
      <c r="B11">
        <v>293</v>
      </c>
      <c r="C11" s="1">
        <v>41973</v>
      </c>
      <c r="D11">
        <v>236.15100000000001</v>
      </c>
      <c r="G11" s="1">
        <v>41973</v>
      </c>
      <c r="H11">
        <v>56.3</v>
      </c>
      <c r="I11" s="1">
        <v>41973</v>
      </c>
      <c r="J11">
        <v>91</v>
      </c>
    </row>
    <row r="12" spans="1:10" x14ac:dyDescent="0.25">
      <c r="A12" s="1">
        <v>42004</v>
      </c>
      <c r="B12">
        <v>274</v>
      </c>
      <c r="C12" s="1">
        <v>42004</v>
      </c>
      <c r="D12">
        <v>234.81200000000001</v>
      </c>
      <c r="G12" s="1">
        <v>42004</v>
      </c>
      <c r="H12">
        <v>55.7</v>
      </c>
      <c r="I12" s="1">
        <v>42004</v>
      </c>
      <c r="J12">
        <v>93.1</v>
      </c>
    </row>
    <row r="13" spans="1:10" x14ac:dyDescent="0.25">
      <c r="A13" s="1">
        <v>42035</v>
      </c>
      <c r="B13">
        <v>204</v>
      </c>
      <c r="C13" s="1">
        <v>42035</v>
      </c>
      <c r="D13">
        <v>233.70699999999999</v>
      </c>
      <c r="G13" s="1">
        <v>42035</v>
      </c>
      <c r="H13">
        <v>53.9</v>
      </c>
      <c r="I13" s="1">
        <v>42035</v>
      </c>
      <c r="J13">
        <v>103.8</v>
      </c>
    </row>
    <row r="14" spans="1:10" x14ac:dyDescent="0.25">
      <c r="A14" s="1">
        <v>42063</v>
      </c>
      <c r="B14">
        <v>259</v>
      </c>
      <c r="C14" s="1">
        <v>42063</v>
      </c>
      <c r="D14">
        <v>234.72200000000001</v>
      </c>
      <c r="G14" s="1">
        <v>42063</v>
      </c>
      <c r="H14">
        <v>53</v>
      </c>
      <c r="I14" s="1">
        <v>42063</v>
      </c>
      <c r="J14">
        <v>98.8</v>
      </c>
    </row>
    <row r="15" spans="1:10" x14ac:dyDescent="0.25">
      <c r="A15" s="1">
        <v>42094</v>
      </c>
      <c r="B15">
        <v>96</v>
      </c>
      <c r="C15" s="1">
        <v>42094</v>
      </c>
      <c r="D15">
        <v>236.119</v>
      </c>
      <c r="G15" s="1">
        <v>42094</v>
      </c>
      <c r="H15">
        <v>52.1</v>
      </c>
      <c r="I15" s="1">
        <v>42094</v>
      </c>
      <c r="J15">
        <v>101.4</v>
      </c>
    </row>
    <row r="16" spans="1:10" x14ac:dyDescent="0.25">
      <c r="A16" s="1">
        <v>42124</v>
      </c>
      <c r="B16">
        <v>273</v>
      </c>
      <c r="C16" s="1">
        <v>42124</v>
      </c>
      <c r="D16">
        <v>236.59899999999999</v>
      </c>
      <c r="G16" s="1">
        <v>42124</v>
      </c>
      <c r="H16">
        <v>51.9</v>
      </c>
      <c r="I16" s="1">
        <v>42124</v>
      </c>
      <c r="J16">
        <v>94.3</v>
      </c>
    </row>
    <row r="17" spans="1:10" x14ac:dyDescent="0.25">
      <c r="A17" s="1">
        <v>42155</v>
      </c>
      <c r="B17">
        <v>342</v>
      </c>
      <c r="C17" s="1">
        <v>42155</v>
      </c>
      <c r="D17">
        <v>237.80500000000001</v>
      </c>
      <c r="G17" s="1">
        <v>42155</v>
      </c>
      <c r="H17">
        <v>52.9</v>
      </c>
      <c r="I17" s="1">
        <v>42155</v>
      </c>
      <c r="J17">
        <v>94.6</v>
      </c>
    </row>
    <row r="18" spans="1:10" x14ac:dyDescent="0.25">
      <c r="A18" s="1">
        <v>42185</v>
      </c>
      <c r="B18">
        <v>171</v>
      </c>
      <c r="C18" s="1">
        <v>42185</v>
      </c>
      <c r="D18">
        <v>238.63800000000001</v>
      </c>
      <c r="G18" s="1">
        <v>42185</v>
      </c>
      <c r="H18">
        <v>52.5</v>
      </c>
      <c r="I18" s="1">
        <v>42185</v>
      </c>
      <c r="J18">
        <v>99.8</v>
      </c>
    </row>
    <row r="19" spans="1:10" x14ac:dyDescent="0.25">
      <c r="A19" s="1">
        <v>42216</v>
      </c>
      <c r="B19">
        <v>282</v>
      </c>
      <c r="C19" s="1">
        <v>42216</v>
      </c>
      <c r="D19">
        <v>238.654</v>
      </c>
      <c r="G19" s="1">
        <v>42216</v>
      </c>
      <c r="H19">
        <v>52</v>
      </c>
      <c r="I19" s="1">
        <v>42216</v>
      </c>
      <c r="J19">
        <v>91</v>
      </c>
    </row>
    <row r="20" spans="1:10" x14ac:dyDescent="0.25">
      <c r="A20" s="1">
        <v>42247</v>
      </c>
      <c r="B20">
        <v>134</v>
      </c>
      <c r="C20" s="1">
        <v>42247</v>
      </c>
      <c r="D20">
        <v>238.316</v>
      </c>
      <c r="G20" s="1">
        <v>42247</v>
      </c>
      <c r="H20">
        <v>50.2</v>
      </c>
      <c r="I20" s="1">
        <v>42247</v>
      </c>
      <c r="J20">
        <v>101.3</v>
      </c>
    </row>
    <row r="21" spans="1:10" x14ac:dyDescent="0.25">
      <c r="A21" s="1">
        <v>42277</v>
      </c>
      <c r="B21">
        <v>150</v>
      </c>
      <c r="C21" s="1">
        <v>42277</v>
      </c>
      <c r="D21">
        <v>237.94499999999999</v>
      </c>
      <c r="G21" s="1">
        <v>42277</v>
      </c>
      <c r="H21">
        <v>50.1</v>
      </c>
      <c r="I21" s="1">
        <v>42277</v>
      </c>
      <c r="J21">
        <v>102.6</v>
      </c>
    </row>
    <row r="22" spans="1:10" x14ac:dyDescent="0.25">
      <c r="A22" s="1">
        <v>42308</v>
      </c>
      <c r="B22">
        <v>304</v>
      </c>
      <c r="C22" s="1">
        <v>42308</v>
      </c>
      <c r="D22">
        <v>237.83799999999999</v>
      </c>
      <c r="G22" s="1">
        <v>42308</v>
      </c>
      <c r="H22">
        <v>49.1</v>
      </c>
      <c r="I22" s="1">
        <v>42308</v>
      </c>
      <c r="J22">
        <v>99.1</v>
      </c>
    </row>
    <row r="23" spans="1:10" x14ac:dyDescent="0.25">
      <c r="A23" s="1">
        <v>42338</v>
      </c>
      <c r="B23">
        <v>229</v>
      </c>
      <c r="C23" s="1">
        <v>42338</v>
      </c>
      <c r="D23">
        <v>237.33600000000001</v>
      </c>
      <c r="G23" s="1">
        <v>42338</v>
      </c>
      <c r="H23">
        <v>49.1</v>
      </c>
      <c r="I23" s="1">
        <v>42338</v>
      </c>
      <c r="J23">
        <v>92.6</v>
      </c>
    </row>
    <row r="24" spans="1:10" x14ac:dyDescent="0.25">
      <c r="A24" s="1">
        <v>42369</v>
      </c>
      <c r="B24">
        <v>269</v>
      </c>
      <c r="C24" s="1">
        <v>42369</v>
      </c>
      <c r="D24">
        <v>236.52500000000001</v>
      </c>
      <c r="G24" s="1">
        <v>42369</v>
      </c>
      <c r="H24">
        <v>48.7</v>
      </c>
      <c r="I24" s="1">
        <v>42369</v>
      </c>
      <c r="J24">
        <v>96.3</v>
      </c>
    </row>
    <row r="25" spans="1:10" x14ac:dyDescent="0.25">
      <c r="A25" s="1">
        <v>42400</v>
      </c>
      <c r="B25">
        <v>133</v>
      </c>
      <c r="C25" s="1">
        <v>42400</v>
      </c>
      <c r="D25">
        <v>236.916</v>
      </c>
      <c r="G25" s="1">
        <v>42400</v>
      </c>
      <c r="H25">
        <v>47.6</v>
      </c>
      <c r="I25" s="1">
        <v>42400</v>
      </c>
      <c r="J25">
        <v>97.8</v>
      </c>
    </row>
    <row r="26" spans="1:10" x14ac:dyDescent="0.25">
      <c r="A26" s="1">
        <v>42429</v>
      </c>
      <c r="B26">
        <v>197</v>
      </c>
      <c r="C26" s="1">
        <v>42429</v>
      </c>
      <c r="D26">
        <v>237.11099999999999</v>
      </c>
      <c r="G26" s="1">
        <v>42429</v>
      </c>
      <c r="H26">
        <v>49.2</v>
      </c>
      <c r="I26" s="1">
        <v>42429</v>
      </c>
      <c r="J26">
        <v>94</v>
      </c>
    </row>
    <row r="27" spans="1:10" x14ac:dyDescent="0.25">
      <c r="A27" s="1">
        <v>42460</v>
      </c>
      <c r="B27">
        <v>255</v>
      </c>
      <c r="C27" s="1">
        <v>42460</v>
      </c>
      <c r="D27">
        <v>238.13200000000001</v>
      </c>
      <c r="G27" s="1">
        <v>42460</v>
      </c>
      <c r="H27">
        <v>51</v>
      </c>
      <c r="I27" s="1">
        <v>42460</v>
      </c>
      <c r="J27">
        <v>96.1</v>
      </c>
    </row>
    <row r="28" spans="1:10" x14ac:dyDescent="0.25">
      <c r="A28" s="1">
        <v>42490</v>
      </c>
      <c r="B28">
        <v>193</v>
      </c>
      <c r="C28" s="1">
        <v>42490</v>
      </c>
      <c r="D28">
        <v>239.261</v>
      </c>
      <c r="G28" s="1">
        <v>42490</v>
      </c>
      <c r="H28">
        <v>51.3</v>
      </c>
      <c r="I28" s="1">
        <v>42490</v>
      </c>
      <c r="J28">
        <v>94.7</v>
      </c>
    </row>
    <row r="29" spans="1:10" x14ac:dyDescent="0.25">
      <c r="A29" s="1">
        <v>42521</v>
      </c>
      <c r="B29">
        <v>45</v>
      </c>
      <c r="C29" s="1">
        <v>42521</v>
      </c>
      <c r="D29">
        <v>240.22900000000001</v>
      </c>
      <c r="G29" s="1">
        <v>42521</v>
      </c>
      <c r="H29">
        <v>51.4</v>
      </c>
      <c r="I29" s="1">
        <v>42521</v>
      </c>
      <c r="J29">
        <v>92.4</v>
      </c>
    </row>
    <row r="30" spans="1:10" x14ac:dyDescent="0.25">
      <c r="A30" s="1">
        <v>42551</v>
      </c>
      <c r="B30">
        <v>246</v>
      </c>
      <c r="C30" s="1">
        <v>42551</v>
      </c>
      <c r="D30">
        <v>241.018</v>
      </c>
      <c r="G30" s="1">
        <v>42551</v>
      </c>
      <c r="H30">
        <v>52.2</v>
      </c>
      <c r="I30" s="1">
        <v>42551</v>
      </c>
      <c r="J30">
        <v>97.4</v>
      </c>
    </row>
    <row r="31" spans="1:10" x14ac:dyDescent="0.25">
      <c r="A31" s="1">
        <v>42582</v>
      </c>
      <c r="B31">
        <v>374</v>
      </c>
      <c r="C31" s="1">
        <v>42582</v>
      </c>
      <c r="D31">
        <v>240.62799999999999</v>
      </c>
      <c r="G31" s="1">
        <v>42582</v>
      </c>
      <c r="H31">
        <v>52.7</v>
      </c>
      <c r="I31" s="1">
        <v>42582</v>
      </c>
      <c r="J31">
        <v>96.7</v>
      </c>
    </row>
    <row r="32" spans="1:10" x14ac:dyDescent="0.25">
      <c r="A32" s="1">
        <v>42613</v>
      </c>
      <c r="B32">
        <v>142</v>
      </c>
      <c r="C32" s="1">
        <v>42613</v>
      </c>
      <c r="D32">
        <v>240.84899999999999</v>
      </c>
      <c r="G32" s="1">
        <v>42613</v>
      </c>
      <c r="H32">
        <v>49.8</v>
      </c>
      <c r="I32" s="1">
        <v>42613</v>
      </c>
      <c r="J32">
        <v>101.8</v>
      </c>
    </row>
    <row r="33" spans="1:10" x14ac:dyDescent="0.25">
      <c r="A33" s="1">
        <v>42643</v>
      </c>
      <c r="B33">
        <v>305</v>
      </c>
      <c r="C33" s="1">
        <v>42643</v>
      </c>
      <c r="D33">
        <v>241.428</v>
      </c>
      <c r="G33" s="1">
        <v>42643</v>
      </c>
      <c r="H33">
        <v>51.1</v>
      </c>
      <c r="I33" s="1">
        <v>42643</v>
      </c>
      <c r="J33">
        <v>103.5</v>
      </c>
    </row>
    <row r="34" spans="1:10" x14ac:dyDescent="0.25">
      <c r="A34" s="1">
        <v>42674</v>
      </c>
      <c r="B34">
        <v>99</v>
      </c>
      <c r="C34" s="1">
        <v>42674</v>
      </c>
      <c r="D34">
        <v>241.72900000000001</v>
      </c>
      <c r="G34" s="1">
        <v>42674</v>
      </c>
      <c r="H34">
        <v>51.8</v>
      </c>
      <c r="I34" s="1">
        <v>42674</v>
      </c>
      <c r="J34">
        <v>100.8</v>
      </c>
    </row>
    <row r="35" spans="1:10" x14ac:dyDescent="0.25">
      <c r="A35" s="1">
        <v>42704</v>
      </c>
      <c r="B35">
        <v>117</v>
      </c>
      <c r="C35" s="1">
        <v>42704</v>
      </c>
      <c r="D35">
        <v>241.35300000000001</v>
      </c>
      <c r="G35" s="1">
        <v>42704</v>
      </c>
      <c r="H35">
        <v>53.2</v>
      </c>
      <c r="I35" s="1">
        <v>42704</v>
      </c>
      <c r="J35">
        <v>109.4</v>
      </c>
    </row>
    <row r="36" spans="1:10" x14ac:dyDescent="0.25">
      <c r="A36" s="1">
        <v>42735</v>
      </c>
      <c r="B36">
        <v>225</v>
      </c>
      <c r="C36" s="1">
        <v>42735</v>
      </c>
      <c r="D36">
        <v>241.43199999999999</v>
      </c>
      <c r="G36" s="1">
        <v>42735</v>
      </c>
      <c r="H36">
        <v>54.4</v>
      </c>
      <c r="I36" s="1">
        <v>42735</v>
      </c>
      <c r="J36">
        <v>113.3</v>
      </c>
    </row>
    <row r="37" spans="1:10" x14ac:dyDescent="0.25">
      <c r="A37" s="1">
        <v>42766</v>
      </c>
      <c r="B37">
        <v>220</v>
      </c>
      <c r="C37" s="1">
        <v>42766</v>
      </c>
      <c r="D37">
        <v>242.839</v>
      </c>
      <c r="G37" s="1">
        <v>42766</v>
      </c>
      <c r="H37">
        <v>55.7</v>
      </c>
      <c r="I37" s="1">
        <v>42766</v>
      </c>
      <c r="J37">
        <v>111.6</v>
      </c>
    </row>
    <row r="38" spans="1:10" x14ac:dyDescent="0.25">
      <c r="A38" s="1">
        <v>42794</v>
      </c>
      <c r="B38">
        <v>220</v>
      </c>
      <c r="C38" s="1">
        <v>42794</v>
      </c>
      <c r="D38">
        <v>243.60300000000001</v>
      </c>
      <c r="G38" s="1">
        <v>42794</v>
      </c>
      <c r="H38">
        <v>57.7</v>
      </c>
      <c r="I38" s="1">
        <v>42794</v>
      </c>
      <c r="J38">
        <v>116.1</v>
      </c>
    </row>
    <row r="39" spans="1:10" x14ac:dyDescent="0.25">
      <c r="A39" s="1">
        <v>42825</v>
      </c>
      <c r="B39">
        <v>121</v>
      </c>
      <c r="C39" s="1">
        <v>42825</v>
      </c>
      <c r="D39">
        <v>243.80099999999999</v>
      </c>
      <c r="G39" s="1">
        <v>42825</v>
      </c>
      <c r="H39">
        <v>56.5</v>
      </c>
      <c r="I39" s="1">
        <v>42825</v>
      </c>
      <c r="J39">
        <v>124.9</v>
      </c>
    </row>
    <row r="40" spans="1:10" x14ac:dyDescent="0.25">
      <c r="A40" s="1">
        <v>42855</v>
      </c>
      <c r="B40">
        <v>205</v>
      </c>
      <c r="C40" s="1">
        <v>42855</v>
      </c>
      <c r="D40">
        <v>244.524</v>
      </c>
      <c r="G40" s="1">
        <v>42855</v>
      </c>
      <c r="H40">
        <v>55.8</v>
      </c>
      <c r="I40" s="1">
        <v>42855</v>
      </c>
      <c r="J40">
        <v>119.4</v>
      </c>
    </row>
    <row r="41" spans="1:10" x14ac:dyDescent="0.25">
      <c r="A41" s="1">
        <v>42886</v>
      </c>
      <c r="B41">
        <v>206</v>
      </c>
      <c r="C41" s="1">
        <v>42886</v>
      </c>
      <c r="D41">
        <v>244.733</v>
      </c>
      <c r="G41" s="1">
        <v>42886</v>
      </c>
      <c r="H41">
        <v>56.4</v>
      </c>
      <c r="I41" s="1">
        <v>42886</v>
      </c>
      <c r="J41">
        <v>117.6</v>
      </c>
    </row>
    <row r="42" spans="1:10" x14ac:dyDescent="0.25">
      <c r="A42" s="1">
        <v>42916</v>
      </c>
      <c r="B42">
        <v>203</v>
      </c>
      <c r="C42" s="1">
        <v>42916</v>
      </c>
      <c r="D42">
        <v>244.95500000000001</v>
      </c>
      <c r="G42" s="1">
        <v>42916</v>
      </c>
      <c r="H42">
        <v>56.2</v>
      </c>
      <c r="I42" s="1">
        <v>42916</v>
      </c>
      <c r="J42">
        <v>117.3</v>
      </c>
    </row>
    <row r="43" spans="1:10" x14ac:dyDescent="0.25">
      <c r="A43" s="1">
        <v>42947</v>
      </c>
      <c r="B43">
        <v>189</v>
      </c>
      <c r="C43" s="1">
        <v>42947</v>
      </c>
      <c r="D43">
        <v>244.786</v>
      </c>
      <c r="G43" s="1">
        <v>42947</v>
      </c>
      <c r="H43">
        <v>56.5</v>
      </c>
      <c r="I43" s="1">
        <v>42947</v>
      </c>
      <c r="J43">
        <v>120</v>
      </c>
    </row>
    <row r="44" spans="1:10" x14ac:dyDescent="0.25">
      <c r="A44" s="1">
        <v>42978</v>
      </c>
      <c r="B44">
        <v>147</v>
      </c>
      <c r="C44" s="1">
        <v>42978</v>
      </c>
      <c r="D44">
        <v>245.51900000000001</v>
      </c>
      <c r="G44" s="1">
        <v>42978</v>
      </c>
      <c r="H44">
        <v>58.4</v>
      </c>
      <c r="I44" s="1">
        <v>42978</v>
      </c>
      <c r="J44">
        <v>120.4</v>
      </c>
    </row>
    <row r="45" spans="1:10" x14ac:dyDescent="0.25">
      <c r="A45" s="1">
        <v>43008</v>
      </c>
      <c r="B45">
        <v>88</v>
      </c>
      <c r="C45" s="1">
        <v>43008</v>
      </c>
      <c r="D45">
        <v>246.81899999999999</v>
      </c>
      <c r="G45" s="1">
        <v>43008</v>
      </c>
      <c r="H45">
        <v>60</v>
      </c>
      <c r="I45" s="1">
        <v>43008</v>
      </c>
      <c r="J45">
        <v>120.6</v>
      </c>
    </row>
    <row r="46" spans="1:10" x14ac:dyDescent="0.25">
      <c r="A46" s="1">
        <v>43039</v>
      </c>
      <c r="B46">
        <v>143</v>
      </c>
      <c r="C46" s="1">
        <v>43039</v>
      </c>
      <c r="D46">
        <v>246.66300000000001</v>
      </c>
      <c r="G46" s="1">
        <v>43039</v>
      </c>
      <c r="H46">
        <v>58.6</v>
      </c>
      <c r="I46" s="1">
        <v>43039</v>
      </c>
      <c r="J46">
        <v>126.2</v>
      </c>
    </row>
    <row r="47" spans="1:10" x14ac:dyDescent="0.25">
      <c r="A47" s="1">
        <v>43069</v>
      </c>
      <c r="B47">
        <v>223</v>
      </c>
      <c r="C47" s="1">
        <v>43069</v>
      </c>
      <c r="D47">
        <v>246.66900000000001</v>
      </c>
      <c r="G47" s="1">
        <v>43069</v>
      </c>
      <c r="H47">
        <v>57.6</v>
      </c>
      <c r="I47" s="1">
        <v>43069</v>
      </c>
      <c r="J47">
        <v>128.6</v>
      </c>
    </row>
    <row r="48" spans="1:10" x14ac:dyDescent="0.25">
      <c r="A48" s="1">
        <v>43100</v>
      </c>
      <c r="B48">
        <v>150</v>
      </c>
      <c r="C48" s="1">
        <v>43100</v>
      </c>
      <c r="D48">
        <v>246.524</v>
      </c>
      <c r="G48" s="1">
        <v>43100</v>
      </c>
      <c r="H48">
        <v>59.7</v>
      </c>
      <c r="I48" s="1">
        <v>43100</v>
      </c>
      <c r="J48">
        <v>123.1</v>
      </c>
    </row>
    <row r="49" spans="1:10" x14ac:dyDescent="0.25">
      <c r="A49" s="1">
        <v>43131</v>
      </c>
      <c r="B49">
        <v>137</v>
      </c>
      <c r="C49" s="1">
        <v>43131</v>
      </c>
      <c r="D49">
        <v>247.86699999999999</v>
      </c>
      <c r="G49" s="1">
        <v>43131</v>
      </c>
      <c r="H49">
        <v>59.4</v>
      </c>
      <c r="I49" s="1">
        <v>43131</v>
      </c>
      <c r="J49">
        <v>124.3</v>
      </c>
    </row>
    <row r="50" spans="1:10" x14ac:dyDescent="0.25">
      <c r="A50" s="1">
        <v>43159</v>
      </c>
      <c r="B50">
        <v>394</v>
      </c>
      <c r="C50" s="1">
        <v>43159</v>
      </c>
      <c r="D50">
        <v>248.99100000000001</v>
      </c>
      <c r="G50" s="1">
        <v>43159</v>
      </c>
      <c r="H50">
        <v>60.9</v>
      </c>
      <c r="I50" s="1">
        <v>43159</v>
      </c>
      <c r="J50">
        <v>130</v>
      </c>
    </row>
    <row r="51" spans="1:10" x14ac:dyDescent="0.25">
      <c r="A51" s="1">
        <v>43190</v>
      </c>
      <c r="B51">
        <v>226</v>
      </c>
      <c r="C51" s="1">
        <v>43190</v>
      </c>
      <c r="D51">
        <v>249.554</v>
      </c>
      <c r="G51" s="1">
        <v>43190</v>
      </c>
      <c r="H51">
        <v>58.8</v>
      </c>
      <c r="I51" s="1">
        <v>43190</v>
      </c>
      <c r="J51">
        <v>127</v>
      </c>
    </row>
    <row r="52" spans="1:10" x14ac:dyDescent="0.25">
      <c r="A52" s="1">
        <v>43220</v>
      </c>
      <c r="B52">
        <v>142</v>
      </c>
      <c r="C52" s="1">
        <v>43220</v>
      </c>
      <c r="D52">
        <v>250.54599999999999</v>
      </c>
      <c r="G52" s="1">
        <v>43220</v>
      </c>
      <c r="H52">
        <v>58.6</v>
      </c>
      <c r="I52" s="1">
        <v>43220</v>
      </c>
      <c r="J52">
        <v>125.6</v>
      </c>
    </row>
    <row r="53" spans="1:10" x14ac:dyDescent="0.25">
      <c r="A53" s="1">
        <v>43251</v>
      </c>
      <c r="B53">
        <v>318</v>
      </c>
      <c r="C53" s="1">
        <v>43251</v>
      </c>
      <c r="D53">
        <v>251.58799999999999</v>
      </c>
      <c r="G53" s="1">
        <v>43251</v>
      </c>
      <c r="H53">
        <v>59</v>
      </c>
      <c r="I53" s="1">
        <v>43251</v>
      </c>
      <c r="J53">
        <v>128.80000000000001</v>
      </c>
    </row>
    <row r="54" spans="1:10" x14ac:dyDescent="0.25">
      <c r="A54" s="1">
        <v>43281</v>
      </c>
      <c r="B54">
        <v>219</v>
      </c>
      <c r="C54" s="1">
        <v>43281</v>
      </c>
      <c r="D54">
        <v>251.989</v>
      </c>
      <c r="G54" s="1">
        <v>43281</v>
      </c>
      <c r="H54">
        <v>59.9</v>
      </c>
      <c r="I54" s="1">
        <v>43281</v>
      </c>
      <c r="J54">
        <v>127.1</v>
      </c>
    </row>
    <row r="55" spans="1:10" x14ac:dyDescent="0.25">
      <c r="A55" s="1">
        <v>43312</v>
      </c>
      <c r="B55">
        <v>61</v>
      </c>
      <c r="C55" s="1">
        <v>43312</v>
      </c>
      <c r="D55">
        <v>252.006</v>
      </c>
      <c r="G55" s="1">
        <v>43312</v>
      </c>
      <c r="H55">
        <v>58.1</v>
      </c>
      <c r="I55" s="1">
        <v>43312</v>
      </c>
      <c r="J55">
        <v>127.9</v>
      </c>
    </row>
    <row r="56" spans="1:10" x14ac:dyDescent="0.25">
      <c r="A56" s="1">
        <v>43343</v>
      </c>
      <c r="B56">
        <v>259</v>
      </c>
      <c r="C56" s="1">
        <v>43343</v>
      </c>
      <c r="D56">
        <v>252.14599999999999</v>
      </c>
      <c r="G56" s="1">
        <v>43343</v>
      </c>
      <c r="H56">
        <v>60.5</v>
      </c>
      <c r="I56" s="1">
        <v>43343</v>
      </c>
      <c r="J56">
        <v>134.69999999999999</v>
      </c>
    </row>
    <row r="57" spans="1:10" x14ac:dyDescent="0.25">
      <c r="A57" s="1">
        <v>43373</v>
      </c>
      <c r="B57">
        <v>79</v>
      </c>
      <c r="C57" s="1">
        <v>43373</v>
      </c>
      <c r="D57">
        <v>252.43899999999999</v>
      </c>
      <c r="G57" s="1">
        <v>43373</v>
      </c>
      <c r="H57">
        <v>59.3</v>
      </c>
      <c r="I57" s="1">
        <v>43373</v>
      </c>
      <c r="J57">
        <v>135.30000000000001</v>
      </c>
    </row>
    <row r="58" spans="1:10" x14ac:dyDescent="0.25">
      <c r="A58" s="1">
        <v>43404</v>
      </c>
      <c r="B58">
        <v>168</v>
      </c>
      <c r="C58" s="1">
        <v>43404</v>
      </c>
      <c r="D58">
        <v>252.88499999999999</v>
      </c>
      <c r="G58" s="1">
        <v>43404</v>
      </c>
      <c r="H58">
        <v>58.1</v>
      </c>
      <c r="I58" s="1">
        <v>43404</v>
      </c>
      <c r="J58">
        <v>137.9</v>
      </c>
    </row>
    <row r="59" spans="1:10" x14ac:dyDescent="0.25">
      <c r="A59" s="1">
        <v>43434</v>
      </c>
      <c r="B59">
        <v>91</v>
      </c>
      <c r="C59" s="1">
        <v>43434</v>
      </c>
      <c r="D59">
        <v>252.03800000000001</v>
      </c>
      <c r="G59" s="1">
        <v>43434</v>
      </c>
      <c r="H59">
        <v>58.6</v>
      </c>
      <c r="I59" s="1">
        <v>43434</v>
      </c>
      <c r="J59">
        <v>136.4</v>
      </c>
    </row>
    <row r="60" spans="1:10" x14ac:dyDescent="0.25">
      <c r="A60" s="1">
        <v>43465</v>
      </c>
      <c r="B60">
        <v>192</v>
      </c>
      <c r="C60" s="1">
        <v>43465</v>
      </c>
      <c r="D60">
        <v>251.233</v>
      </c>
      <c r="G60" s="1">
        <v>43465</v>
      </c>
      <c r="H60">
        <v>54.9</v>
      </c>
      <c r="I60" s="1">
        <v>43465</v>
      </c>
      <c r="J60">
        <v>126.6</v>
      </c>
    </row>
    <row r="61" spans="1:10" x14ac:dyDescent="0.25">
      <c r="A61" s="1">
        <v>43496</v>
      </c>
      <c r="B61">
        <v>250</v>
      </c>
      <c r="C61" s="1">
        <v>43496</v>
      </c>
      <c r="D61">
        <v>251.71199999999999</v>
      </c>
      <c r="G61" s="1">
        <v>43496</v>
      </c>
      <c r="H61">
        <v>55.7</v>
      </c>
      <c r="I61" s="1">
        <v>43496</v>
      </c>
      <c r="J61">
        <v>121.7</v>
      </c>
    </row>
    <row r="62" spans="1:10" x14ac:dyDescent="0.25">
      <c r="A62" s="1">
        <v>43524</v>
      </c>
      <c r="B62">
        <v>6</v>
      </c>
      <c r="C62" s="1">
        <v>43524</v>
      </c>
      <c r="D62">
        <v>252.77600000000001</v>
      </c>
      <c r="G62" s="1">
        <v>43524</v>
      </c>
      <c r="H62">
        <v>54.4</v>
      </c>
      <c r="I62" s="1">
        <v>43524</v>
      </c>
      <c r="J62">
        <v>131.4</v>
      </c>
    </row>
    <row r="63" spans="1:10" x14ac:dyDescent="0.25">
      <c r="A63" s="1">
        <v>43555</v>
      </c>
      <c r="B63">
        <v>230</v>
      </c>
      <c r="C63" s="1">
        <v>43555</v>
      </c>
      <c r="D63">
        <v>254.202</v>
      </c>
      <c r="G63" s="1">
        <v>43555</v>
      </c>
      <c r="H63">
        <v>54.9</v>
      </c>
      <c r="I63" s="1">
        <v>43555</v>
      </c>
      <c r="J63">
        <v>124.2</v>
      </c>
    </row>
    <row r="64" spans="1:10" x14ac:dyDescent="0.25">
      <c r="A64" s="1">
        <v>43585</v>
      </c>
      <c r="B64">
        <v>298</v>
      </c>
      <c r="C64" s="1">
        <v>43585</v>
      </c>
      <c r="D64">
        <v>255.548</v>
      </c>
      <c r="G64" s="1">
        <v>43585</v>
      </c>
      <c r="H64">
        <v>53.6</v>
      </c>
      <c r="I64" s="1">
        <v>43585</v>
      </c>
      <c r="J64">
        <v>129.19999999999999</v>
      </c>
    </row>
    <row r="65" spans="1:10" x14ac:dyDescent="0.25">
      <c r="A65" s="1">
        <v>43616</v>
      </c>
      <c r="B65">
        <v>28</v>
      </c>
      <c r="C65" s="1">
        <v>43616</v>
      </c>
      <c r="D65">
        <v>256.09199999999998</v>
      </c>
      <c r="G65" s="1">
        <v>43616</v>
      </c>
      <c r="H65">
        <v>52.6</v>
      </c>
      <c r="I65" s="1">
        <v>43616</v>
      </c>
      <c r="J65">
        <v>131.30000000000001</v>
      </c>
    </row>
    <row r="66" spans="1:10" x14ac:dyDescent="0.25">
      <c r="A66" s="1">
        <v>43646</v>
      </c>
      <c r="B66">
        <v>218</v>
      </c>
      <c r="C66" s="1">
        <v>43646</v>
      </c>
      <c r="D66">
        <v>256.14299999999997</v>
      </c>
      <c r="G66" s="1">
        <v>43646</v>
      </c>
      <c r="H66">
        <v>51.5</v>
      </c>
      <c r="I66" s="1">
        <v>43646</v>
      </c>
      <c r="J66">
        <v>124.3</v>
      </c>
    </row>
    <row r="67" spans="1:10" x14ac:dyDescent="0.25">
      <c r="A67" s="1">
        <v>43677</v>
      </c>
      <c r="B67">
        <v>97</v>
      </c>
      <c r="C67" s="1">
        <v>43677</v>
      </c>
      <c r="D67">
        <v>256.57100000000003</v>
      </c>
      <c r="G67" s="1">
        <v>43677</v>
      </c>
      <c r="H67">
        <v>51</v>
      </c>
      <c r="I67" s="1">
        <v>43677</v>
      </c>
      <c r="J67">
        <v>135.80000000000001</v>
      </c>
    </row>
    <row r="68" spans="1:10" x14ac:dyDescent="0.25">
      <c r="A68" s="1">
        <v>43708</v>
      </c>
      <c r="B68">
        <v>235</v>
      </c>
      <c r="C68" s="1">
        <v>43708</v>
      </c>
      <c r="D68">
        <v>256.55799999999999</v>
      </c>
      <c r="G68" s="1">
        <v>43708</v>
      </c>
      <c r="H68">
        <v>48.5</v>
      </c>
      <c r="I68" s="1">
        <v>43708</v>
      </c>
      <c r="J68">
        <v>134.19999999999999</v>
      </c>
    </row>
    <row r="69" spans="1:10" x14ac:dyDescent="0.25">
      <c r="A69" s="1">
        <v>43738</v>
      </c>
      <c r="B69">
        <v>194</v>
      </c>
      <c r="C69" s="1">
        <v>43738</v>
      </c>
      <c r="D69">
        <v>256.75900000000001</v>
      </c>
      <c r="G69" s="1">
        <v>43738</v>
      </c>
      <c r="H69">
        <v>48.1</v>
      </c>
      <c r="I69" s="1">
        <v>43738</v>
      </c>
      <c r="J69">
        <v>126.3</v>
      </c>
    </row>
    <row r="70" spans="1:10" x14ac:dyDescent="0.25">
      <c r="A70" s="1">
        <v>43769</v>
      </c>
      <c r="B70">
        <v>95</v>
      </c>
      <c r="C70" s="1">
        <v>43769</v>
      </c>
      <c r="D70">
        <v>257.346</v>
      </c>
      <c r="G70" s="1">
        <v>43769</v>
      </c>
      <c r="H70">
        <v>48.1</v>
      </c>
      <c r="I70" s="1">
        <v>43769</v>
      </c>
      <c r="J70">
        <v>126.1</v>
      </c>
    </row>
    <row r="71" spans="1:10" x14ac:dyDescent="0.25">
      <c r="A71" s="1">
        <v>43799</v>
      </c>
      <c r="B71">
        <v>208</v>
      </c>
      <c r="C71" s="1">
        <v>43799</v>
      </c>
      <c r="D71">
        <v>257.20800000000003</v>
      </c>
      <c r="G71" s="1">
        <v>43799</v>
      </c>
      <c r="H71">
        <v>48.1</v>
      </c>
      <c r="I71" s="1">
        <v>43799</v>
      </c>
      <c r="J71">
        <v>126.8</v>
      </c>
    </row>
    <row r="72" spans="1:10" x14ac:dyDescent="0.25">
      <c r="A72" s="1">
        <v>43830</v>
      </c>
      <c r="B72">
        <v>127</v>
      </c>
      <c r="C72" s="1">
        <v>43830</v>
      </c>
      <c r="D72">
        <v>256.97399999999999</v>
      </c>
      <c r="G72" s="1">
        <v>43830</v>
      </c>
      <c r="H72">
        <v>47.9</v>
      </c>
      <c r="I72" s="1">
        <v>43830</v>
      </c>
      <c r="J72">
        <v>128.19999999999999</v>
      </c>
    </row>
    <row r="73" spans="1:10" x14ac:dyDescent="0.25">
      <c r="A73" s="1">
        <v>43861</v>
      </c>
      <c r="B73">
        <v>236</v>
      </c>
      <c r="C73" s="1">
        <v>43861</v>
      </c>
      <c r="D73">
        <v>257.971</v>
      </c>
      <c r="G73" s="1">
        <v>43861</v>
      </c>
      <c r="H73">
        <v>51.4</v>
      </c>
      <c r="I73" s="1">
        <v>43861</v>
      </c>
      <c r="J73">
        <v>130.4</v>
      </c>
    </row>
    <row r="74" spans="1:10" x14ac:dyDescent="0.25">
      <c r="A74" s="1">
        <v>43890</v>
      </c>
      <c r="B74">
        <v>261</v>
      </c>
      <c r="C74" s="1">
        <v>43890</v>
      </c>
      <c r="D74">
        <v>258.678</v>
      </c>
      <c r="G74" s="1">
        <v>43890</v>
      </c>
      <c r="H74">
        <v>50.1</v>
      </c>
      <c r="I74" s="1">
        <v>43890</v>
      </c>
      <c r="J74">
        <v>132.6</v>
      </c>
    </row>
    <row r="75" spans="1:10" x14ac:dyDescent="0.25">
      <c r="A75" s="1">
        <v>43921</v>
      </c>
      <c r="B75">
        <v>-1397</v>
      </c>
      <c r="C75" s="1">
        <v>43921</v>
      </c>
      <c r="D75">
        <v>258.11500000000001</v>
      </c>
      <c r="G75" s="1">
        <v>43921</v>
      </c>
      <c r="H75">
        <v>49</v>
      </c>
      <c r="I75" s="1">
        <v>43921</v>
      </c>
      <c r="J75">
        <v>118.8</v>
      </c>
    </row>
    <row r="76" spans="1:10" x14ac:dyDescent="0.25">
      <c r="A76" s="1">
        <v>43951</v>
      </c>
      <c r="B76">
        <v>-20471</v>
      </c>
      <c r="C76" s="1">
        <v>43951</v>
      </c>
      <c r="D76">
        <v>256.38900000000001</v>
      </c>
      <c r="G76" s="1">
        <v>43951</v>
      </c>
      <c r="H76">
        <v>41.8</v>
      </c>
      <c r="I76" s="1">
        <v>43951</v>
      </c>
      <c r="J76">
        <v>85.7</v>
      </c>
    </row>
    <row r="77" spans="1:10" x14ac:dyDescent="0.25">
      <c r="A77" s="1">
        <v>43982</v>
      </c>
      <c r="B77">
        <v>2616</v>
      </c>
      <c r="C77" s="1">
        <v>43982</v>
      </c>
      <c r="D77">
        <v>256.39400000000001</v>
      </c>
      <c r="G77" s="1">
        <v>43982</v>
      </c>
      <c r="H77">
        <v>43.5</v>
      </c>
      <c r="I77" s="1">
        <v>43982</v>
      </c>
      <c r="J77">
        <v>85.9</v>
      </c>
    </row>
    <row r="78" spans="1:10" x14ac:dyDescent="0.25">
      <c r="A78" s="1">
        <v>44012</v>
      </c>
      <c r="B78">
        <v>4631</v>
      </c>
      <c r="C78" s="1">
        <v>44012</v>
      </c>
      <c r="D78">
        <v>257.79700000000003</v>
      </c>
      <c r="G78" s="1">
        <v>44012</v>
      </c>
      <c r="H78">
        <v>52.6</v>
      </c>
      <c r="I78" s="1">
        <v>44012</v>
      </c>
      <c r="J78">
        <v>98.3</v>
      </c>
    </row>
    <row r="79" spans="1:10" x14ac:dyDescent="0.25">
      <c r="A79" s="1">
        <v>44043</v>
      </c>
      <c r="B79">
        <v>1584</v>
      </c>
      <c r="C79" s="1">
        <v>44043</v>
      </c>
      <c r="D79">
        <v>259.101</v>
      </c>
      <c r="G79" s="1">
        <v>44043</v>
      </c>
      <c r="H79">
        <v>53.8</v>
      </c>
      <c r="I79" s="1">
        <v>44043</v>
      </c>
      <c r="J79">
        <v>91.7</v>
      </c>
    </row>
    <row r="80" spans="1:10" x14ac:dyDescent="0.25">
      <c r="A80" s="1">
        <v>44074</v>
      </c>
      <c r="B80">
        <v>1564</v>
      </c>
      <c r="C80" s="1">
        <v>44074</v>
      </c>
      <c r="D80">
        <v>259.91800000000001</v>
      </c>
      <c r="G80" s="1">
        <v>44074</v>
      </c>
      <c r="H80">
        <v>55.4</v>
      </c>
      <c r="I80" s="1">
        <v>44074</v>
      </c>
      <c r="J80">
        <v>86.3</v>
      </c>
    </row>
    <row r="81" spans="1:10" x14ac:dyDescent="0.25">
      <c r="A81" s="1">
        <v>44104</v>
      </c>
      <c r="B81">
        <v>951</v>
      </c>
      <c r="C81" s="1">
        <v>44104</v>
      </c>
      <c r="D81">
        <v>260.27999999999997</v>
      </c>
      <c r="G81" s="1">
        <v>44104</v>
      </c>
      <c r="H81">
        <v>55.5</v>
      </c>
      <c r="I81" s="1">
        <v>44104</v>
      </c>
      <c r="J81">
        <v>101.3</v>
      </c>
    </row>
    <row r="82" spans="1:10" x14ac:dyDescent="0.25">
      <c r="A82" s="1">
        <v>44135</v>
      </c>
      <c r="B82">
        <v>691</v>
      </c>
      <c r="C82" s="1">
        <v>44135</v>
      </c>
      <c r="D82">
        <v>260.38799999999998</v>
      </c>
      <c r="G82" s="1">
        <v>44135</v>
      </c>
      <c r="H82">
        <v>58.7</v>
      </c>
      <c r="I82" s="1">
        <v>44135</v>
      </c>
      <c r="J82">
        <v>101.4</v>
      </c>
    </row>
    <row r="83" spans="1:10" x14ac:dyDescent="0.25">
      <c r="A83" s="1">
        <v>44165</v>
      </c>
      <c r="B83">
        <v>270</v>
      </c>
      <c r="C83" s="1">
        <v>44165</v>
      </c>
      <c r="D83">
        <v>260.22899999999998</v>
      </c>
      <c r="G83" s="1">
        <v>44165</v>
      </c>
      <c r="H83">
        <v>57.3</v>
      </c>
      <c r="I83" s="1">
        <v>44165</v>
      </c>
      <c r="J83">
        <v>92.9</v>
      </c>
    </row>
    <row r="84" spans="1:10" x14ac:dyDescent="0.25">
      <c r="A84" s="1">
        <v>44196</v>
      </c>
      <c r="B84">
        <v>-183</v>
      </c>
      <c r="C84" s="1">
        <v>44196</v>
      </c>
      <c r="D84">
        <v>260.47399999999999</v>
      </c>
      <c r="G84" s="1">
        <v>44196</v>
      </c>
      <c r="H84">
        <v>60.2</v>
      </c>
      <c r="I84" s="1">
        <v>44196</v>
      </c>
      <c r="J84">
        <v>87.1</v>
      </c>
    </row>
    <row r="85" spans="1:10" x14ac:dyDescent="0.25">
      <c r="A85" s="1">
        <v>44227</v>
      </c>
      <c r="B85">
        <v>365</v>
      </c>
      <c r="C85" s="1">
        <v>44227</v>
      </c>
      <c r="D85">
        <v>261.58199999999999</v>
      </c>
      <c r="G85" s="1">
        <v>44227</v>
      </c>
      <c r="H85">
        <v>59.2</v>
      </c>
      <c r="I85" s="1">
        <v>44227</v>
      </c>
      <c r="J85">
        <v>87.1</v>
      </c>
    </row>
    <row r="86" spans="1:10" x14ac:dyDescent="0.25">
      <c r="A86" s="1">
        <v>44255</v>
      </c>
      <c r="B86">
        <v>509</v>
      </c>
      <c r="C86" s="1">
        <v>44255</v>
      </c>
      <c r="D86">
        <v>263.01400000000001</v>
      </c>
      <c r="G86" s="1">
        <v>44255</v>
      </c>
      <c r="H86">
        <v>60.4</v>
      </c>
      <c r="I86" s="1">
        <v>44255</v>
      </c>
      <c r="J86">
        <v>95.2</v>
      </c>
    </row>
    <row r="87" spans="1:10" x14ac:dyDescent="0.25">
      <c r="A87" s="1">
        <v>44286</v>
      </c>
      <c r="B87">
        <v>824</v>
      </c>
      <c r="C87" s="1">
        <v>44286</v>
      </c>
      <c r="D87">
        <v>264.87700000000001</v>
      </c>
      <c r="G87" s="1">
        <v>44286</v>
      </c>
      <c r="H87">
        <v>63.8</v>
      </c>
      <c r="I87" s="1">
        <v>44286</v>
      </c>
      <c r="J87">
        <v>114.9</v>
      </c>
    </row>
    <row r="88" spans="1:10" x14ac:dyDescent="0.25">
      <c r="A88" s="1">
        <v>44316</v>
      </c>
      <c r="B88">
        <v>365</v>
      </c>
      <c r="C88" s="1">
        <v>44316</v>
      </c>
      <c r="D88">
        <v>267.05399999999997</v>
      </c>
      <c r="G88" s="1">
        <v>44316</v>
      </c>
      <c r="H88">
        <v>60.8</v>
      </c>
      <c r="I88" s="1">
        <v>44316</v>
      </c>
      <c r="J88">
        <v>117.5</v>
      </c>
    </row>
    <row r="89" spans="1:10" x14ac:dyDescent="0.25">
      <c r="A89" s="1">
        <v>44347</v>
      </c>
      <c r="B89">
        <v>421</v>
      </c>
      <c r="C89" s="1">
        <v>44347</v>
      </c>
      <c r="D89">
        <v>269.19499999999999</v>
      </c>
      <c r="G89" s="1">
        <v>44347</v>
      </c>
      <c r="H89">
        <v>61.6</v>
      </c>
      <c r="I89" s="1">
        <v>44347</v>
      </c>
      <c r="J89">
        <v>120</v>
      </c>
    </row>
    <row r="90" spans="1:10" x14ac:dyDescent="0.25">
      <c r="A90" s="1">
        <v>44377</v>
      </c>
      <c r="B90">
        <v>796</v>
      </c>
      <c r="C90" s="1">
        <v>44377</v>
      </c>
      <c r="D90">
        <v>271.69600000000003</v>
      </c>
      <c r="G90" s="1">
        <v>44377</v>
      </c>
      <c r="H90">
        <v>61.3</v>
      </c>
      <c r="I90" s="1">
        <v>44377</v>
      </c>
      <c r="J90">
        <v>128.9</v>
      </c>
    </row>
    <row r="91" spans="1:10" x14ac:dyDescent="0.25">
      <c r="A91" s="1">
        <v>44408</v>
      </c>
      <c r="B91">
        <v>931</v>
      </c>
      <c r="C91" s="1">
        <v>44408</v>
      </c>
      <c r="D91">
        <v>273.00299999999999</v>
      </c>
      <c r="G91" s="1">
        <v>44408</v>
      </c>
      <c r="H91">
        <v>60.2</v>
      </c>
      <c r="I91" s="1">
        <v>44408</v>
      </c>
      <c r="J91">
        <v>125.1</v>
      </c>
    </row>
    <row r="92" spans="1:10" x14ac:dyDescent="0.25">
      <c r="A92" s="1">
        <v>44439</v>
      </c>
      <c r="B92">
        <v>487</v>
      </c>
      <c r="C92" s="1">
        <v>44439</v>
      </c>
      <c r="D92">
        <v>273.56700000000001</v>
      </c>
      <c r="G92" s="1">
        <v>44439</v>
      </c>
      <c r="H92">
        <v>59.8</v>
      </c>
      <c r="I92" s="1">
        <v>44439</v>
      </c>
      <c r="J92">
        <v>115.2</v>
      </c>
    </row>
    <row r="93" spans="1:10" x14ac:dyDescent="0.25">
      <c r="A93" s="1">
        <v>44469</v>
      </c>
      <c r="B93">
        <v>466</v>
      </c>
      <c r="C93" s="1">
        <v>44469</v>
      </c>
      <c r="D93">
        <v>274.31</v>
      </c>
      <c r="G93" s="1">
        <v>44469</v>
      </c>
      <c r="H93">
        <v>60.8</v>
      </c>
      <c r="I93" s="1">
        <v>44469</v>
      </c>
      <c r="J93">
        <v>109.8</v>
      </c>
    </row>
    <row r="94" spans="1:10" x14ac:dyDescent="0.25">
      <c r="A94" s="1">
        <v>44500</v>
      </c>
      <c r="B94">
        <v>857</v>
      </c>
      <c r="C94" s="1">
        <v>44500</v>
      </c>
      <c r="D94">
        <v>276.589</v>
      </c>
      <c r="G94" s="1">
        <v>44500</v>
      </c>
      <c r="H94">
        <v>60.7</v>
      </c>
      <c r="I94" s="1">
        <v>44500</v>
      </c>
      <c r="J94">
        <v>111.6</v>
      </c>
    </row>
    <row r="95" spans="1:10" x14ac:dyDescent="0.25">
      <c r="A95" s="1">
        <v>44530</v>
      </c>
      <c r="B95">
        <v>637</v>
      </c>
      <c r="C95" s="1">
        <v>44530</v>
      </c>
      <c r="D95">
        <v>277.94799999999998</v>
      </c>
      <c r="G95" s="1">
        <v>44530</v>
      </c>
      <c r="H95">
        <v>60.8</v>
      </c>
      <c r="I95" s="1">
        <v>44530</v>
      </c>
      <c r="J95">
        <v>111.9</v>
      </c>
    </row>
    <row r="96" spans="1:10" x14ac:dyDescent="0.25">
      <c r="A96" s="1">
        <v>44561</v>
      </c>
      <c r="B96">
        <v>575</v>
      </c>
      <c r="C96" s="1">
        <v>44561</v>
      </c>
      <c r="D96">
        <v>278.80200000000002</v>
      </c>
      <c r="G96" s="1">
        <v>44561</v>
      </c>
      <c r="H96">
        <v>58.3</v>
      </c>
      <c r="I96" s="1">
        <v>44561</v>
      </c>
      <c r="J96">
        <v>115.2</v>
      </c>
    </row>
    <row r="97" spans="1:10" x14ac:dyDescent="0.25">
      <c r="A97" s="1">
        <v>44592</v>
      </c>
      <c r="B97">
        <v>225</v>
      </c>
      <c r="C97" s="1">
        <v>44592</v>
      </c>
      <c r="D97">
        <v>281.14800000000002</v>
      </c>
      <c r="G97" s="1">
        <v>44592</v>
      </c>
      <c r="H97">
        <v>57.4</v>
      </c>
      <c r="I97" s="1">
        <v>44592</v>
      </c>
      <c r="J97">
        <v>111.1</v>
      </c>
    </row>
    <row r="98" spans="1:10" x14ac:dyDescent="0.25">
      <c r="A98" s="1">
        <v>44620</v>
      </c>
      <c r="B98">
        <v>869</v>
      </c>
      <c r="C98" s="1">
        <v>44620</v>
      </c>
      <c r="D98">
        <v>283.71600000000001</v>
      </c>
      <c r="G98" s="1">
        <v>44620</v>
      </c>
      <c r="H98">
        <v>58.1</v>
      </c>
      <c r="I98" s="1">
        <v>44620</v>
      </c>
      <c r="J98">
        <v>105.7</v>
      </c>
    </row>
    <row r="99" spans="1:10" x14ac:dyDescent="0.25">
      <c r="A99" s="1">
        <v>44651</v>
      </c>
      <c r="B99">
        <v>471</v>
      </c>
      <c r="C99" s="1">
        <v>44651</v>
      </c>
      <c r="D99">
        <v>287.50400000000002</v>
      </c>
      <c r="G99" s="1">
        <v>44651</v>
      </c>
      <c r="H99">
        <v>57.2</v>
      </c>
      <c r="I99" s="1">
        <v>44651</v>
      </c>
      <c r="J99">
        <v>107.6</v>
      </c>
    </row>
    <row r="100" spans="1:10" x14ac:dyDescent="0.25">
      <c r="A100" s="1">
        <v>44681</v>
      </c>
      <c r="B100">
        <v>305</v>
      </c>
      <c r="C100" s="1">
        <v>44681</v>
      </c>
      <c r="D100">
        <v>289.10899999999998</v>
      </c>
      <c r="G100" s="1">
        <v>44681</v>
      </c>
      <c r="H100">
        <v>55.3</v>
      </c>
      <c r="I100" s="1">
        <v>44681</v>
      </c>
      <c r="J100">
        <v>108.6</v>
      </c>
    </row>
    <row r="101" spans="1:10" x14ac:dyDescent="0.25">
      <c r="A101" s="1">
        <v>44712</v>
      </c>
      <c r="B101">
        <v>241</v>
      </c>
      <c r="C101" s="1">
        <v>44712</v>
      </c>
      <c r="D101">
        <v>292.29599999999999</v>
      </c>
      <c r="G101" s="1">
        <v>44712</v>
      </c>
      <c r="H101">
        <v>55.9</v>
      </c>
      <c r="I101" s="1">
        <v>44712</v>
      </c>
      <c r="J101">
        <v>103.2</v>
      </c>
    </row>
    <row r="102" spans="1:10" x14ac:dyDescent="0.25">
      <c r="A102" s="1">
        <v>44742</v>
      </c>
      <c r="B102">
        <v>461</v>
      </c>
      <c r="C102" s="1">
        <v>44742</v>
      </c>
      <c r="D102">
        <v>296.31099999999998</v>
      </c>
      <c r="G102" s="1">
        <v>44742</v>
      </c>
      <c r="H102">
        <v>53.5</v>
      </c>
      <c r="I102" s="1">
        <v>44742</v>
      </c>
      <c r="J102">
        <v>98.4</v>
      </c>
    </row>
    <row r="103" spans="1:10" x14ac:dyDescent="0.25">
      <c r="A103" s="1">
        <v>44773</v>
      </c>
      <c r="B103">
        <v>696</v>
      </c>
      <c r="C103" s="1">
        <v>44773</v>
      </c>
      <c r="D103">
        <v>296.27600000000001</v>
      </c>
      <c r="G103" s="1">
        <v>44773</v>
      </c>
      <c r="H103">
        <v>52.9</v>
      </c>
      <c r="I103" s="1">
        <v>44773</v>
      </c>
      <c r="J103">
        <v>95.3</v>
      </c>
    </row>
    <row r="104" spans="1:10" x14ac:dyDescent="0.25">
      <c r="A104" s="1">
        <v>44804</v>
      </c>
      <c r="B104">
        <v>237</v>
      </c>
      <c r="C104" s="1">
        <v>44804</v>
      </c>
      <c r="D104">
        <v>296.17099999999999</v>
      </c>
      <c r="G104" s="1">
        <v>44804</v>
      </c>
      <c r="H104">
        <v>53</v>
      </c>
      <c r="I104" s="1">
        <v>44804</v>
      </c>
      <c r="J104">
        <v>103.6</v>
      </c>
    </row>
    <row r="105" spans="1:10" x14ac:dyDescent="0.25">
      <c r="A105" s="1">
        <v>44834</v>
      </c>
      <c r="B105">
        <v>227</v>
      </c>
      <c r="C105" s="1">
        <v>44834</v>
      </c>
      <c r="D105">
        <v>296.80799999999999</v>
      </c>
      <c r="G105" s="1">
        <v>44834</v>
      </c>
      <c r="H105">
        <v>51.1</v>
      </c>
      <c r="I105" s="1">
        <v>44834</v>
      </c>
      <c r="J105">
        <v>107.8</v>
      </c>
    </row>
    <row r="106" spans="1:10" x14ac:dyDescent="0.25">
      <c r="A106" s="1">
        <v>44865</v>
      </c>
      <c r="B106">
        <v>400</v>
      </c>
      <c r="C106" s="1">
        <v>44865</v>
      </c>
      <c r="D106">
        <v>298.012</v>
      </c>
      <c r="G106" s="1">
        <v>44865</v>
      </c>
      <c r="H106">
        <v>50.3</v>
      </c>
      <c r="I106" s="1">
        <v>44865</v>
      </c>
      <c r="J106">
        <v>102.2</v>
      </c>
    </row>
    <row r="107" spans="1:10" x14ac:dyDescent="0.25">
      <c r="A107" s="1">
        <v>44895</v>
      </c>
      <c r="B107">
        <v>297</v>
      </c>
      <c r="C107" s="1">
        <v>44895</v>
      </c>
      <c r="D107">
        <v>297.71100000000001</v>
      </c>
      <c r="G107" s="1">
        <v>44895</v>
      </c>
      <c r="H107">
        <v>49</v>
      </c>
      <c r="I107" s="1">
        <v>44895</v>
      </c>
      <c r="J107">
        <v>101.4</v>
      </c>
    </row>
    <row r="108" spans="1:10" x14ac:dyDescent="0.25">
      <c r="A108" s="1">
        <v>44926</v>
      </c>
      <c r="B108">
        <v>126</v>
      </c>
      <c r="C108" s="1">
        <v>44926</v>
      </c>
      <c r="D108">
        <v>296.79700000000003</v>
      </c>
      <c r="G108" s="1">
        <v>44926</v>
      </c>
      <c r="H108">
        <v>48</v>
      </c>
      <c r="I108" s="1">
        <v>44926</v>
      </c>
      <c r="J108">
        <v>109</v>
      </c>
    </row>
    <row r="109" spans="1:10" x14ac:dyDescent="0.25">
      <c r="A109" s="1">
        <v>44957</v>
      </c>
      <c r="B109">
        <v>444</v>
      </c>
      <c r="C109" s="1">
        <v>44957</v>
      </c>
      <c r="D109">
        <v>299.17</v>
      </c>
      <c r="G109" s="1">
        <v>44957</v>
      </c>
      <c r="H109">
        <v>47.3</v>
      </c>
      <c r="I109" s="1">
        <v>44957</v>
      </c>
      <c r="J109">
        <v>106</v>
      </c>
    </row>
    <row r="110" spans="1:10" x14ac:dyDescent="0.25">
      <c r="A110" s="1">
        <v>44985</v>
      </c>
      <c r="B110">
        <v>306</v>
      </c>
      <c r="C110" s="1">
        <v>44985</v>
      </c>
      <c r="D110">
        <v>300.83999999999997</v>
      </c>
      <c r="G110" s="1">
        <v>44985</v>
      </c>
      <c r="H110">
        <v>47.5</v>
      </c>
      <c r="I110" s="1">
        <v>44985</v>
      </c>
      <c r="J110">
        <v>103.4</v>
      </c>
    </row>
    <row r="111" spans="1:10" x14ac:dyDescent="0.25">
      <c r="A111" s="1">
        <v>45016</v>
      </c>
      <c r="B111">
        <v>85</v>
      </c>
      <c r="C111" s="1">
        <v>45016</v>
      </c>
      <c r="D111">
        <v>301.83600000000001</v>
      </c>
      <c r="G111" s="1">
        <v>45016</v>
      </c>
      <c r="H111">
        <v>46.3</v>
      </c>
      <c r="I111" s="1">
        <v>45016</v>
      </c>
      <c r="J111">
        <v>104</v>
      </c>
    </row>
    <row r="112" spans="1:10" x14ac:dyDescent="0.25">
      <c r="A112" s="1">
        <v>45046</v>
      </c>
      <c r="B112">
        <v>216</v>
      </c>
      <c r="C112" s="1">
        <v>45046</v>
      </c>
      <c r="D112">
        <v>303.363</v>
      </c>
      <c r="G112" s="1">
        <v>45046</v>
      </c>
      <c r="H112">
        <v>46.7</v>
      </c>
      <c r="I112" s="1">
        <v>45046</v>
      </c>
      <c r="J112">
        <v>103.7</v>
      </c>
    </row>
    <row r="113" spans="1:10" x14ac:dyDescent="0.25">
      <c r="A113" s="1">
        <v>45077</v>
      </c>
      <c r="B113">
        <v>227</v>
      </c>
      <c r="C113" s="1">
        <v>45077</v>
      </c>
      <c r="D113">
        <v>304.12700000000001</v>
      </c>
      <c r="G113" s="1">
        <v>45077</v>
      </c>
      <c r="H113">
        <v>46.4</v>
      </c>
      <c r="I113" s="1">
        <v>45077</v>
      </c>
      <c r="J113">
        <v>102.5</v>
      </c>
    </row>
    <row r="114" spans="1:10" x14ac:dyDescent="0.25">
      <c r="A114" s="1">
        <v>45107</v>
      </c>
      <c r="B114">
        <v>257</v>
      </c>
      <c r="C114" s="1">
        <v>45107</v>
      </c>
      <c r="D114">
        <v>305.10899999999998</v>
      </c>
      <c r="G114" s="1">
        <v>45107</v>
      </c>
      <c r="H114">
        <v>46.3</v>
      </c>
      <c r="I114" s="1">
        <v>45107</v>
      </c>
      <c r="J114">
        <v>110.1</v>
      </c>
    </row>
    <row r="115" spans="1:10" x14ac:dyDescent="0.25">
      <c r="A115" s="1">
        <v>45138</v>
      </c>
      <c r="B115">
        <v>148</v>
      </c>
      <c r="C115" s="1">
        <v>45138</v>
      </c>
      <c r="D115">
        <v>305.69099999999997</v>
      </c>
      <c r="G115" s="1">
        <v>45138</v>
      </c>
      <c r="H115">
        <v>46.7</v>
      </c>
      <c r="I115" s="1">
        <v>45138</v>
      </c>
      <c r="J115">
        <v>114</v>
      </c>
    </row>
    <row r="116" spans="1:10" x14ac:dyDescent="0.25">
      <c r="A116" s="1">
        <v>45169</v>
      </c>
      <c r="B116">
        <v>157</v>
      </c>
      <c r="C116" s="1">
        <v>45169</v>
      </c>
      <c r="D116">
        <v>307.02600000000001</v>
      </c>
      <c r="G116" s="1">
        <v>45169</v>
      </c>
      <c r="H116">
        <v>47.9</v>
      </c>
      <c r="I116" s="1">
        <v>45169</v>
      </c>
      <c r="J116">
        <v>108.7</v>
      </c>
    </row>
    <row r="117" spans="1:10" x14ac:dyDescent="0.25">
      <c r="A117" s="1">
        <v>45199</v>
      </c>
      <c r="B117">
        <v>158</v>
      </c>
      <c r="C117" s="1">
        <v>45199</v>
      </c>
      <c r="D117">
        <v>307.78899999999999</v>
      </c>
      <c r="G117" s="1">
        <v>45199</v>
      </c>
      <c r="H117">
        <v>48.9</v>
      </c>
      <c r="I117" s="1">
        <v>45199</v>
      </c>
      <c r="J117">
        <v>104.3</v>
      </c>
    </row>
    <row r="118" spans="1:10" x14ac:dyDescent="0.25">
      <c r="A118" s="1">
        <v>45230</v>
      </c>
      <c r="B118">
        <v>186</v>
      </c>
      <c r="C118" s="1">
        <v>45230</v>
      </c>
      <c r="D118">
        <v>307.67099999999999</v>
      </c>
      <c r="G118" s="1">
        <v>45230</v>
      </c>
      <c r="H118">
        <v>47.3</v>
      </c>
      <c r="I118" s="1">
        <v>45230</v>
      </c>
      <c r="J118">
        <v>99.1</v>
      </c>
    </row>
    <row r="119" spans="1:10" x14ac:dyDescent="0.25">
      <c r="A119" s="1">
        <v>45260</v>
      </c>
      <c r="B119">
        <v>141</v>
      </c>
      <c r="C119" s="1">
        <v>45260</v>
      </c>
      <c r="D119">
        <v>307.05099999999999</v>
      </c>
      <c r="G119" s="1">
        <v>45260</v>
      </c>
      <c r="H119">
        <v>46.9</v>
      </c>
      <c r="I119" s="1">
        <v>45260</v>
      </c>
      <c r="J119">
        <v>101</v>
      </c>
    </row>
    <row r="120" spans="1:10" x14ac:dyDescent="0.25">
      <c r="A120" s="1">
        <v>45291</v>
      </c>
      <c r="B120">
        <v>269</v>
      </c>
      <c r="C120" s="1">
        <v>45291</v>
      </c>
      <c r="D120">
        <v>306.74599999999998</v>
      </c>
      <c r="G120" s="1">
        <v>45291</v>
      </c>
      <c r="H120">
        <v>46.9</v>
      </c>
      <c r="I120" s="1">
        <v>45291</v>
      </c>
      <c r="J120">
        <v>108</v>
      </c>
    </row>
    <row r="121" spans="1:10" x14ac:dyDescent="0.25">
      <c r="A121" s="1">
        <v>45322</v>
      </c>
      <c r="B121">
        <v>119</v>
      </c>
      <c r="C121" s="1">
        <v>45322</v>
      </c>
      <c r="D121">
        <v>308.41699999999997</v>
      </c>
      <c r="G121" s="1">
        <v>45322</v>
      </c>
      <c r="H121">
        <v>48.9</v>
      </c>
      <c r="I121" s="1">
        <v>45322</v>
      </c>
      <c r="J121">
        <v>110.9</v>
      </c>
    </row>
    <row r="122" spans="1:10" x14ac:dyDescent="0.25">
      <c r="A122" s="1">
        <v>45351</v>
      </c>
      <c r="B122">
        <v>222</v>
      </c>
      <c r="C122" s="1">
        <v>45351</v>
      </c>
      <c r="D122">
        <v>310.32600000000002</v>
      </c>
      <c r="G122" s="1">
        <v>45351</v>
      </c>
      <c r="H122">
        <v>47.6</v>
      </c>
      <c r="I122" s="1">
        <v>45351</v>
      </c>
      <c r="J122">
        <v>104.8</v>
      </c>
    </row>
    <row r="123" spans="1:10" x14ac:dyDescent="0.25">
      <c r="A123" s="1">
        <v>45382</v>
      </c>
      <c r="B123">
        <v>246</v>
      </c>
      <c r="C123" s="1">
        <v>45382</v>
      </c>
      <c r="D123">
        <v>312.33199999999999</v>
      </c>
      <c r="G123" s="1">
        <v>45382</v>
      </c>
      <c r="H123">
        <v>49.8</v>
      </c>
      <c r="I123" s="1">
        <v>45382</v>
      </c>
      <c r="J123">
        <v>103.1</v>
      </c>
    </row>
    <row r="124" spans="1:10" x14ac:dyDescent="0.25">
      <c r="A124" s="1">
        <v>45412</v>
      </c>
      <c r="B124">
        <v>118</v>
      </c>
      <c r="C124" s="1">
        <v>45412</v>
      </c>
      <c r="D124">
        <v>313.548</v>
      </c>
      <c r="G124" s="1">
        <v>45412</v>
      </c>
      <c r="H124">
        <v>48.8</v>
      </c>
      <c r="I124" s="1">
        <v>45412</v>
      </c>
      <c r="J124">
        <v>97.5</v>
      </c>
    </row>
    <row r="125" spans="1:10" x14ac:dyDescent="0.25">
      <c r="A125" s="1">
        <v>45443</v>
      </c>
      <c r="B125">
        <v>193</v>
      </c>
      <c r="C125" s="1">
        <v>45443</v>
      </c>
      <c r="D125">
        <v>314.06900000000002</v>
      </c>
      <c r="G125" s="1">
        <v>45443</v>
      </c>
      <c r="H125">
        <v>48.5</v>
      </c>
      <c r="I125" s="1">
        <v>45443</v>
      </c>
      <c r="J125">
        <v>101.3</v>
      </c>
    </row>
    <row r="126" spans="1:10" x14ac:dyDescent="0.25">
      <c r="A126" s="1">
        <v>45473</v>
      </c>
      <c r="B126">
        <v>87</v>
      </c>
      <c r="C126" s="1">
        <v>45473</v>
      </c>
      <c r="D126">
        <v>314.17500000000001</v>
      </c>
      <c r="G126" s="1">
        <v>45473</v>
      </c>
      <c r="H126">
        <v>48.3</v>
      </c>
      <c r="I126" s="1">
        <v>45473</v>
      </c>
      <c r="J126">
        <v>97.8</v>
      </c>
    </row>
    <row r="127" spans="1:10" x14ac:dyDescent="0.25">
      <c r="A127" s="1">
        <v>45504</v>
      </c>
      <c r="B127">
        <v>88</v>
      </c>
      <c r="C127" s="1">
        <v>45504</v>
      </c>
      <c r="D127">
        <v>314.54000000000002</v>
      </c>
      <c r="G127" s="1">
        <v>45504</v>
      </c>
      <c r="H127">
        <v>47</v>
      </c>
      <c r="I127" s="1">
        <v>45504</v>
      </c>
      <c r="J127">
        <v>101.9</v>
      </c>
    </row>
    <row r="128" spans="1:10" x14ac:dyDescent="0.25">
      <c r="A128" s="1">
        <v>45535</v>
      </c>
      <c r="B128">
        <v>71</v>
      </c>
      <c r="C128" s="1">
        <v>45535</v>
      </c>
      <c r="D128">
        <v>314.79599999999999</v>
      </c>
      <c r="G128" s="1">
        <v>45535</v>
      </c>
      <c r="H128">
        <v>47.5</v>
      </c>
      <c r="I128" s="1">
        <v>45535</v>
      </c>
      <c r="J128">
        <v>105.6</v>
      </c>
    </row>
    <row r="129" spans="1:10" x14ac:dyDescent="0.25">
      <c r="A129" s="1">
        <v>45565</v>
      </c>
      <c r="B129">
        <v>240</v>
      </c>
      <c r="C129" s="1">
        <v>45565</v>
      </c>
      <c r="D129">
        <v>315.30099999999999</v>
      </c>
      <c r="G129" s="1">
        <v>45565</v>
      </c>
      <c r="H129">
        <v>47.5</v>
      </c>
      <c r="I129" s="1">
        <v>45565</v>
      </c>
      <c r="J129">
        <v>99.2</v>
      </c>
    </row>
    <row r="130" spans="1:10" x14ac:dyDescent="0.25">
      <c r="A130" s="1">
        <v>45596</v>
      </c>
      <c r="B130">
        <v>44</v>
      </c>
      <c r="C130" s="1">
        <v>45596</v>
      </c>
      <c r="D130">
        <v>315.66399999999999</v>
      </c>
      <c r="G130" s="1">
        <v>45596</v>
      </c>
      <c r="H130">
        <v>46.9</v>
      </c>
      <c r="I130" s="1">
        <v>45596</v>
      </c>
      <c r="J130">
        <v>109.6</v>
      </c>
    </row>
    <row r="131" spans="1:10" x14ac:dyDescent="0.25">
      <c r="A131" s="1">
        <v>45626</v>
      </c>
      <c r="B131">
        <v>261</v>
      </c>
      <c r="C131" s="1">
        <v>45626</v>
      </c>
      <c r="D131">
        <v>315.49299999999999</v>
      </c>
      <c r="G131" s="1">
        <v>45626</v>
      </c>
      <c r="H131">
        <v>48.4</v>
      </c>
      <c r="I131" s="1">
        <v>45626</v>
      </c>
      <c r="J131">
        <v>112.8</v>
      </c>
    </row>
    <row r="132" spans="1:10" x14ac:dyDescent="0.25">
      <c r="A132" s="1">
        <v>45657</v>
      </c>
      <c r="B132">
        <v>323</v>
      </c>
      <c r="C132" s="1">
        <v>45657</v>
      </c>
      <c r="D132">
        <v>315.60500000000002</v>
      </c>
      <c r="G132" s="1">
        <v>45657</v>
      </c>
      <c r="H132">
        <v>49.2</v>
      </c>
      <c r="I132" s="1">
        <v>45657</v>
      </c>
      <c r="J132">
        <v>109.5</v>
      </c>
    </row>
    <row r="133" spans="1:10" x14ac:dyDescent="0.25">
      <c r="A133" s="1">
        <v>45688</v>
      </c>
      <c r="B133">
        <v>111</v>
      </c>
      <c r="C133" s="1">
        <v>45688</v>
      </c>
      <c r="D133">
        <v>317.67099999999999</v>
      </c>
      <c r="G133" s="1">
        <v>45688</v>
      </c>
      <c r="H133">
        <v>50.9</v>
      </c>
      <c r="I133" s="1">
        <v>45688</v>
      </c>
      <c r="J133">
        <v>105.3</v>
      </c>
    </row>
    <row r="134" spans="1:10" x14ac:dyDescent="0.25">
      <c r="A134" s="1">
        <v>45716</v>
      </c>
      <c r="B134">
        <v>102</v>
      </c>
      <c r="C134" s="1">
        <v>45716</v>
      </c>
      <c r="D134">
        <v>319.08199999999999</v>
      </c>
      <c r="G134" s="1">
        <v>45716</v>
      </c>
      <c r="H134">
        <v>50.3</v>
      </c>
      <c r="I134" s="1">
        <v>45716</v>
      </c>
      <c r="J134">
        <v>100.1</v>
      </c>
    </row>
    <row r="135" spans="1:10" x14ac:dyDescent="0.25">
      <c r="A135" s="1">
        <v>45747</v>
      </c>
      <c r="B135">
        <v>120</v>
      </c>
      <c r="C135" s="1">
        <v>45747</v>
      </c>
      <c r="D135">
        <v>319.79899999999998</v>
      </c>
      <c r="G135" s="1">
        <v>45747</v>
      </c>
      <c r="H135">
        <v>49</v>
      </c>
      <c r="I135" s="1">
        <v>45747</v>
      </c>
      <c r="J135">
        <v>93.9</v>
      </c>
    </row>
    <row r="136" spans="1:10" x14ac:dyDescent="0.25">
      <c r="A136" s="1">
        <v>45777</v>
      </c>
      <c r="B136">
        <v>158</v>
      </c>
      <c r="C136" s="1">
        <v>45777</v>
      </c>
      <c r="D136">
        <v>320.79500000000002</v>
      </c>
      <c r="G136" s="1">
        <v>45777</v>
      </c>
      <c r="H136">
        <v>48.7</v>
      </c>
      <c r="I136" s="1">
        <v>45777</v>
      </c>
      <c r="J136">
        <v>85.7</v>
      </c>
    </row>
    <row r="137" spans="1:10" x14ac:dyDescent="0.25">
      <c r="A137" s="1">
        <v>45808</v>
      </c>
      <c r="B137">
        <v>19</v>
      </c>
      <c r="C137" s="1">
        <v>45808</v>
      </c>
      <c r="D137">
        <v>321.46499999999997</v>
      </c>
      <c r="G137" s="1">
        <v>45808</v>
      </c>
      <c r="H137">
        <v>48.5</v>
      </c>
      <c r="I137" s="1">
        <v>45808</v>
      </c>
      <c r="J137">
        <v>98.4</v>
      </c>
    </row>
    <row r="138" spans="1:10" x14ac:dyDescent="0.25">
      <c r="A138" s="1">
        <v>45838</v>
      </c>
      <c r="B138">
        <v>-13</v>
      </c>
      <c r="C138" s="1">
        <v>45838</v>
      </c>
      <c r="D138">
        <v>322.56099999999998</v>
      </c>
      <c r="G138" s="1">
        <v>45838</v>
      </c>
      <c r="H138">
        <v>49</v>
      </c>
      <c r="I138" s="1">
        <v>45838</v>
      </c>
      <c r="J138">
        <v>95.2</v>
      </c>
    </row>
    <row r="139" spans="1:10" x14ac:dyDescent="0.25">
      <c r="A139" s="1">
        <v>45869</v>
      </c>
      <c r="B139">
        <v>72</v>
      </c>
      <c r="C139" s="1">
        <v>45869</v>
      </c>
      <c r="D139">
        <v>323.048</v>
      </c>
      <c r="G139" s="1">
        <v>45869</v>
      </c>
      <c r="H139">
        <v>48</v>
      </c>
      <c r="I139" s="1">
        <v>45869</v>
      </c>
      <c r="J139">
        <v>98.7</v>
      </c>
    </row>
    <row r="140" spans="1:10" x14ac:dyDescent="0.25">
      <c r="A140" s="1">
        <v>45900</v>
      </c>
      <c r="B140">
        <v>-4</v>
      </c>
      <c r="C140" s="1">
        <v>45900</v>
      </c>
      <c r="D140">
        <v>323.976</v>
      </c>
      <c r="G140" s="1">
        <v>45900</v>
      </c>
      <c r="H140">
        <v>48.7</v>
      </c>
      <c r="I140" s="1">
        <v>45900</v>
      </c>
      <c r="J140">
        <v>97.8</v>
      </c>
    </row>
    <row r="141" spans="1:10" x14ac:dyDescent="0.25">
      <c r="A141" s="1">
        <v>45930</v>
      </c>
      <c r="B141">
        <v>119</v>
      </c>
      <c r="C141" s="1">
        <v>45930</v>
      </c>
      <c r="D141">
        <v>324.8</v>
      </c>
      <c r="G141" s="1">
        <v>45930</v>
      </c>
      <c r="H141">
        <v>49.1</v>
      </c>
      <c r="I141" s="1">
        <v>45930</v>
      </c>
      <c r="J141">
        <v>95.6</v>
      </c>
    </row>
    <row r="142" spans="1:10" x14ac:dyDescent="0.25">
      <c r="G142" s="1">
        <v>45961</v>
      </c>
      <c r="H142">
        <v>48.7</v>
      </c>
      <c r="I142" s="1">
        <v>45961</v>
      </c>
      <c r="J142">
        <v>95.5</v>
      </c>
    </row>
    <row r="143" spans="1:10" x14ac:dyDescent="0.25">
      <c r="G143" s="1">
        <v>45991</v>
      </c>
      <c r="H143">
        <v>48.2</v>
      </c>
      <c r="I143" s="1">
        <v>45991</v>
      </c>
      <c r="J143">
        <v>88.7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7"/>
  <sheetViews>
    <sheetView tabSelected="1" workbookViewId="0">
      <selection activeCell="H17" sqref="H17"/>
    </sheetView>
  </sheetViews>
  <sheetFormatPr defaultColWidth="8.85546875" defaultRowHeight="15" x14ac:dyDescent="0.25"/>
  <sheetData>
    <row r="1" spans="1:6" x14ac:dyDescent="0.25">
      <c r="A1" s="1">
        <f>_xll.BDH("CNRR007 Index","PX_LAST","20140101","20251231","cols=2;rows=2980")</f>
        <v>41641</v>
      </c>
      <c r="B1">
        <v>5.1100000000000003</v>
      </c>
      <c r="C1" s="1">
        <f>_xll.BDH("CNRR001 Index","PX_LAST","20140101","20251231","cols=2;rows=2980")</f>
        <v>41641</v>
      </c>
      <c r="D1">
        <v>3.18</v>
      </c>
      <c r="E1" s="1">
        <f>_xll.BDH("FDTR Index","PX_LAST","20140101","20251231","cols=2;rows=3117")</f>
        <v>41640</v>
      </c>
      <c r="F1">
        <v>0.25</v>
      </c>
    </row>
    <row r="2" spans="1:6" x14ac:dyDescent="0.25">
      <c r="A2" s="1">
        <v>41642</v>
      </c>
      <c r="B2">
        <v>4.79</v>
      </c>
      <c r="C2" s="1">
        <v>41642</v>
      </c>
      <c r="D2">
        <v>3.02</v>
      </c>
      <c r="E2" s="1">
        <v>41641</v>
      </c>
      <c r="F2">
        <v>0.25</v>
      </c>
    </row>
    <row r="3" spans="1:6" x14ac:dyDescent="0.25">
      <c r="A3" s="1">
        <v>41645</v>
      </c>
      <c r="B3">
        <v>4.63</v>
      </c>
      <c r="C3" s="1">
        <v>41645</v>
      </c>
      <c r="D3">
        <v>2.93</v>
      </c>
      <c r="E3" s="1">
        <v>41642</v>
      </c>
      <c r="F3">
        <v>0.25</v>
      </c>
    </row>
    <row r="4" spans="1:6" x14ac:dyDescent="0.25">
      <c r="A4" s="1">
        <v>41646</v>
      </c>
      <c r="B4">
        <v>4.2729999999999997</v>
      </c>
      <c r="C4" s="1">
        <v>41646</v>
      </c>
      <c r="D4">
        <v>2.9</v>
      </c>
      <c r="E4" s="1">
        <v>41645</v>
      </c>
      <c r="F4">
        <v>0.25</v>
      </c>
    </row>
    <row r="5" spans="1:6" x14ac:dyDescent="0.25">
      <c r="A5" s="1">
        <v>41647</v>
      </c>
      <c r="B5">
        <v>4.1500000000000004</v>
      </c>
      <c r="C5" s="1">
        <v>41647</v>
      </c>
      <c r="D5">
        <v>2.84</v>
      </c>
      <c r="E5" s="1">
        <v>41646</v>
      </c>
      <c r="F5">
        <v>0.25</v>
      </c>
    </row>
    <row r="6" spans="1:6" x14ac:dyDescent="0.25">
      <c r="A6" s="1">
        <v>41648</v>
      </c>
      <c r="B6">
        <v>4.0199999999999996</v>
      </c>
      <c r="C6" s="1">
        <v>41648</v>
      </c>
      <c r="D6">
        <v>2.8022999999999998</v>
      </c>
      <c r="E6" s="1">
        <v>41647</v>
      </c>
      <c r="F6">
        <v>0.25</v>
      </c>
    </row>
    <row r="7" spans="1:6" x14ac:dyDescent="0.25">
      <c r="A7" s="1">
        <v>41649</v>
      </c>
      <c r="B7">
        <v>4.0364000000000004</v>
      </c>
      <c r="C7" s="1">
        <v>41649</v>
      </c>
      <c r="D7">
        <v>2.79</v>
      </c>
      <c r="E7" s="1">
        <v>41648</v>
      </c>
      <c r="F7">
        <v>0.25</v>
      </c>
    </row>
    <row r="8" spans="1:6" x14ac:dyDescent="0.25">
      <c r="A8" s="1">
        <v>41652</v>
      </c>
      <c r="B8">
        <v>4.0199999999999996</v>
      </c>
      <c r="C8" s="1">
        <v>41652</v>
      </c>
      <c r="D8">
        <v>2.78</v>
      </c>
      <c r="E8" s="1">
        <v>41649</v>
      </c>
      <c r="F8">
        <v>0.25</v>
      </c>
    </row>
    <row r="9" spans="1:6" x14ac:dyDescent="0.25">
      <c r="A9" s="1">
        <v>41653</v>
      </c>
      <c r="B9">
        <v>4.04</v>
      </c>
      <c r="C9" s="1">
        <v>41653</v>
      </c>
      <c r="D9">
        <v>2.8</v>
      </c>
      <c r="E9" s="1">
        <v>41652</v>
      </c>
      <c r="F9">
        <v>0.25</v>
      </c>
    </row>
    <row r="10" spans="1:6" x14ac:dyDescent="0.25">
      <c r="A10" s="1">
        <v>41654</v>
      </c>
      <c r="B10">
        <v>4.03</v>
      </c>
      <c r="C10" s="1">
        <v>41654</v>
      </c>
      <c r="D10">
        <v>2.76</v>
      </c>
      <c r="E10" s="1">
        <v>41653</v>
      </c>
      <c r="F10">
        <v>0.25</v>
      </c>
    </row>
    <row r="11" spans="1:6" x14ac:dyDescent="0.25">
      <c r="A11" s="1">
        <v>41655</v>
      </c>
      <c r="B11">
        <v>4.29</v>
      </c>
      <c r="C11" s="1">
        <v>41655</v>
      </c>
      <c r="D11">
        <v>2.83</v>
      </c>
      <c r="E11" s="1">
        <v>41654</v>
      </c>
      <c r="F11">
        <v>0.25</v>
      </c>
    </row>
    <row r="12" spans="1:6" x14ac:dyDescent="0.25">
      <c r="A12" s="1">
        <v>41656</v>
      </c>
      <c r="B12">
        <v>4.79</v>
      </c>
      <c r="C12" s="1">
        <v>41656</v>
      </c>
      <c r="D12">
        <v>2.85</v>
      </c>
      <c r="E12" s="1">
        <v>41655</v>
      </c>
      <c r="F12">
        <v>0.25</v>
      </c>
    </row>
    <row r="13" spans="1:6" x14ac:dyDescent="0.25">
      <c r="A13" s="1">
        <v>41659</v>
      </c>
      <c r="B13">
        <v>6.32</v>
      </c>
      <c r="C13" s="1">
        <v>41659</v>
      </c>
      <c r="D13">
        <v>3.78</v>
      </c>
      <c r="E13" s="1">
        <v>41656</v>
      </c>
      <c r="F13">
        <v>0.25</v>
      </c>
    </row>
    <row r="14" spans="1:6" x14ac:dyDescent="0.25">
      <c r="A14" s="1">
        <v>41660</v>
      </c>
      <c r="B14">
        <v>5.44</v>
      </c>
      <c r="C14" s="1">
        <v>41660</v>
      </c>
      <c r="D14">
        <v>3.8</v>
      </c>
      <c r="E14" s="1">
        <v>41659</v>
      </c>
      <c r="F14">
        <v>0.25</v>
      </c>
    </row>
    <row r="15" spans="1:6" x14ac:dyDescent="0.25">
      <c r="A15" s="1">
        <v>41661</v>
      </c>
      <c r="B15">
        <v>5.25</v>
      </c>
      <c r="C15" s="1">
        <v>41661</v>
      </c>
      <c r="D15">
        <v>3.86</v>
      </c>
      <c r="E15" s="1">
        <v>41660</v>
      </c>
      <c r="F15">
        <v>0.25</v>
      </c>
    </row>
    <row r="16" spans="1:6" x14ac:dyDescent="0.25">
      <c r="A16" s="1">
        <v>41662</v>
      </c>
      <c r="B16">
        <v>5.3</v>
      </c>
      <c r="C16" s="1">
        <v>41662</v>
      </c>
      <c r="D16">
        <v>3.8</v>
      </c>
      <c r="E16" s="1">
        <v>41661</v>
      </c>
      <c r="F16">
        <v>0.25</v>
      </c>
    </row>
    <row r="17" spans="1:6" x14ac:dyDescent="0.25">
      <c r="A17" s="1">
        <v>41663</v>
      </c>
      <c r="B17">
        <v>4.3369</v>
      </c>
      <c r="C17" s="1">
        <v>41663</v>
      </c>
      <c r="D17">
        <v>3.75</v>
      </c>
      <c r="E17" s="1">
        <v>41662</v>
      </c>
      <c r="F17">
        <v>0.25</v>
      </c>
    </row>
    <row r="18" spans="1:6" x14ac:dyDescent="0.25">
      <c r="A18" s="1">
        <v>41665</v>
      </c>
      <c r="B18">
        <v>4.72</v>
      </c>
      <c r="C18" s="1">
        <v>41665</v>
      </c>
      <c r="D18">
        <v>4.41</v>
      </c>
      <c r="E18" s="1">
        <v>41663</v>
      </c>
      <c r="F18">
        <v>0.25</v>
      </c>
    </row>
    <row r="19" spans="1:6" x14ac:dyDescent="0.25">
      <c r="A19" s="1">
        <v>41666</v>
      </c>
      <c r="B19">
        <v>4.6500000000000004</v>
      </c>
      <c r="C19" s="1">
        <v>41666</v>
      </c>
      <c r="D19">
        <v>4.5199999999999996</v>
      </c>
      <c r="E19" s="1">
        <v>41666</v>
      </c>
      <c r="F19">
        <v>0.25</v>
      </c>
    </row>
    <row r="20" spans="1:6" x14ac:dyDescent="0.25">
      <c r="A20" s="1">
        <v>41667</v>
      </c>
      <c r="B20">
        <v>4.96</v>
      </c>
      <c r="C20" s="1">
        <v>41667</v>
      </c>
      <c r="D20">
        <v>4.8099999999999996</v>
      </c>
      <c r="E20" s="1">
        <v>41667</v>
      </c>
      <c r="F20">
        <v>0.25</v>
      </c>
    </row>
    <row r="21" spans="1:6" x14ac:dyDescent="0.25">
      <c r="A21" s="1">
        <v>41668</v>
      </c>
      <c r="B21">
        <v>5.27</v>
      </c>
      <c r="C21" s="1">
        <v>41668</v>
      </c>
      <c r="D21">
        <v>4.82</v>
      </c>
      <c r="E21" s="1">
        <v>41668</v>
      </c>
      <c r="F21">
        <v>0.25</v>
      </c>
    </row>
    <row r="22" spans="1:6" x14ac:dyDescent="0.25">
      <c r="A22" s="1">
        <v>41669</v>
      </c>
      <c r="B22">
        <v>4.9800000000000004</v>
      </c>
      <c r="C22" s="1">
        <v>41669</v>
      </c>
      <c r="D22">
        <v>4.4400000000000004</v>
      </c>
      <c r="E22" s="1">
        <v>41669</v>
      </c>
      <c r="F22">
        <v>0.25</v>
      </c>
    </row>
    <row r="23" spans="1:6" x14ac:dyDescent="0.25">
      <c r="A23" s="1">
        <v>41677</v>
      </c>
      <c r="B23">
        <v>5.41</v>
      </c>
      <c r="C23" s="1">
        <v>41677</v>
      </c>
      <c r="D23">
        <v>4.33</v>
      </c>
      <c r="E23" s="1">
        <v>41670</v>
      </c>
      <c r="F23">
        <v>0.25</v>
      </c>
    </row>
    <row r="24" spans="1:6" x14ac:dyDescent="0.25">
      <c r="A24" s="1">
        <v>41678</v>
      </c>
      <c r="B24">
        <v>5.25</v>
      </c>
      <c r="C24" s="1">
        <v>41678</v>
      </c>
      <c r="D24">
        <v>4.2549999999999999</v>
      </c>
      <c r="E24" s="1">
        <v>41673</v>
      </c>
      <c r="F24">
        <v>0.25</v>
      </c>
    </row>
    <row r="25" spans="1:6" x14ac:dyDescent="0.25">
      <c r="A25" s="1">
        <v>41680</v>
      </c>
      <c r="B25">
        <v>5.3</v>
      </c>
      <c r="C25" s="1">
        <v>41680</v>
      </c>
      <c r="D25">
        <v>4.3099999999999996</v>
      </c>
      <c r="E25" s="1">
        <v>41674</v>
      </c>
      <c r="F25">
        <v>0.25</v>
      </c>
    </row>
    <row r="26" spans="1:6" x14ac:dyDescent="0.25">
      <c r="A26" s="1">
        <v>41681</v>
      </c>
      <c r="B26">
        <v>5.22</v>
      </c>
      <c r="C26" s="1">
        <v>41681</v>
      </c>
      <c r="D26">
        <v>4.17</v>
      </c>
      <c r="E26" s="1">
        <v>41675</v>
      </c>
      <c r="F26">
        <v>0.25</v>
      </c>
    </row>
    <row r="27" spans="1:6" x14ac:dyDescent="0.25">
      <c r="A27" s="1">
        <v>41682</v>
      </c>
      <c r="B27">
        <v>5.2089999999999996</v>
      </c>
      <c r="C27" s="1">
        <v>41682</v>
      </c>
      <c r="D27">
        <v>4.13</v>
      </c>
      <c r="E27" s="1">
        <v>41676</v>
      </c>
      <c r="F27">
        <v>0.25</v>
      </c>
    </row>
    <row r="28" spans="1:6" x14ac:dyDescent="0.25">
      <c r="A28" s="1">
        <v>41683</v>
      </c>
      <c r="B28">
        <v>5.0199999999999996</v>
      </c>
      <c r="C28" s="1">
        <v>41683</v>
      </c>
      <c r="D28">
        <v>3.69</v>
      </c>
      <c r="E28" s="1">
        <v>41677</v>
      </c>
      <c r="F28">
        <v>0.25</v>
      </c>
    </row>
    <row r="29" spans="1:6" x14ac:dyDescent="0.25">
      <c r="A29" s="1">
        <v>41684</v>
      </c>
      <c r="B29">
        <v>4.4400000000000004</v>
      </c>
      <c r="C29" s="1">
        <v>41684</v>
      </c>
      <c r="D29">
        <v>3.3</v>
      </c>
      <c r="E29" s="1">
        <v>41680</v>
      </c>
      <c r="F29">
        <v>0.25</v>
      </c>
    </row>
    <row r="30" spans="1:6" x14ac:dyDescent="0.25">
      <c r="A30" s="1">
        <v>41687</v>
      </c>
      <c r="B30">
        <v>3.87</v>
      </c>
      <c r="C30" s="1">
        <v>41687</v>
      </c>
      <c r="D30">
        <v>2.98</v>
      </c>
      <c r="E30" s="1">
        <v>41681</v>
      </c>
      <c r="F30">
        <v>0.25</v>
      </c>
    </row>
    <row r="31" spans="1:6" x14ac:dyDescent="0.25">
      <c r="A31" s="1">
        <v>41688</v>
      </c>
      <c r="B31">
        <v>3.82</v>
      </c>
      <c r="C31" s="1">
        <v>41688</v>
      </c>
      <c r="D31">
        <v>2.7</v>
      </c>
      <c r="E31" s="1">
        <v>41682</v>
      </c>
      <c r="F31">
        <v>0.25</v>
      </c>
    </row>
    <row r="32" spans="1:6" x14ac:dyDescent="0.25">
      <c r="A32" s="1">
        <v>41689</v>
      </c>
      <c r="B32">
        <v>3.86</v>
      </c>
      <c r="C32" s="1">
        <v>41689</v>
      </c>
      <c r="D32">
        <v>2.4300000000000002</v>
      </c>
      <c r="E32" s="1">
        <v>41683</v>
      </c>
      <c r="F32">
        <v>0.25</v>
      </c>
    </row>
    <row r="33" spans="1:6" x14ac:dyDescent="0.25">
      <c r="A33" s="1">
        <v>41690</v>
      </c>
      <c r="B33">
        <v>3.73</v>
      </c>
      <c r="C33" s="1">
        <v>41690</v>
      </c>
      <c r="D33">
        <v>2.0310000000000001</v>
      </c>
      <c r="E33" s="1">
        <v>41684</v>
      </c>
      <c r="F33">
        <v>0.25</v>
      </c>
    </row>
    <row r="34" spans="1:6" x14ac:dyDescent="0.25">
      <c r="A34" s="1">
        <v>41691</v>
      </c>
      <c r="B34">
        <v>3.63</v>
      </c>
      <c r="C34" s="1">
        <v>41691</v>
      </c>
      <c r="D34">
        <v>1.82</v>
      </c>
      <c r="E34" s="1">
        <v>41687</v>
      </c>
      <c r="F34">
        <v>0.25</v>
      </c>
    </row>
    <row r="35" spans="1:6" x14ac:dyDescent="0.25">
      <c r="A35" s="1">
        <v>41694</v>
      </c>
      <c r="B35">
        <v>3.34</v>
      </c>
      <c r="C35" s="1">
        <v>41694</v>
      </c>
      <c r="D35">
        <v>1.72</v>
      </c>
      <c r="E35" s="1">
        <v>41688</v>
      </c>
      <c r="F35">
        <v>0.25</v>
      </c>
    </row>
    <row r="36" spans="1:6" x14ac:dyDescent="0.25">
      <c r="A36" s="1">
        <v>41695</v>
      </c>
      <c r="B36">
        <v>3.24</v>
      </c>
      <c r="C36" s="1">
        <v>41695</v>
      </c>
      <c r="D36">
        <v>1.75</v>
      </c>
      <c r="E36" s="1">
        <v>41689</v>
      </c>
      <c r="F36">
        <v>0.25</v>
      </c>
    </row>
    <row r="37" spans="1:6" x14ac:dyDescent="0.25">
      <c r="A37" s="1">
        <v>41696</v>
      </c>
      <c r="B37">
        <v>3.08</v>
      </c>
      <c r="C37" s="1">
        <v>41696</v>
      </c>
      <c r="D37">
        <v>1.78</v>
      </c>
      <c r="E37" s="1">
        <v>41690</v>
      </c>
      <c r="F37">
        <v>0.25</v>
      </c>
    </row>
    <row r="38" spans="1:6" x14ac:dyDescent="0.25">
      <c r="A38" s="1">
        <v>41697</v>
      </c>
      <c r="B38">
        <v>3.45</v>
      </c>
      <c r="C38" s="1">
        <v>41697</v>
      </c>
      <c r="D38">
        <v>1.76</v>
      </c>
      <c r="E38" s="1">
        <v>41691</v>
      </c>
      <c r="F38">
        <v>0.25</v>
      </c>
    </row>
    <row r="39" spans="1:6" x14ac:dyDescent="0.25">
      <c r="A39" s="1">
        <v>41698</v>
      </c>
      <c r="B39">
        <v>3.53</v>
      </c>
      <c r="C39" s="1">
        <v>41698</v>
      </c>
      <c r="D39">
        <v>1.88</v>
      </c>
      <c r="E39" s="1">
        <v>41694</v>
      </c>
      <c r="F39">
        <v>0.25</v>
      </c>
    </row>
    <row r="40" spans="1:6" x14ac:dyDescent="0.25">
      <c r="A40" s="1">
        <v>41701</v>
      </c>
      <c r="B40">
        <v>2.78</v>
      </c>
      <c r="C40" s="1">
        <v>41701</v>
      </c>
      <c r="D40">
        <v>2.09</v>
      </c>
      <c r="E40" s="1">
        <v>41695</v>
      </c>
      <c r="F40">
        <v>0.25</v>
      </c>
    </row>
    <row r="41" spans="1:6" x14ac:dyDescent="0.25">
      <c r="A41" s="1">
        <v>41702</v>
      </c>
      <c r="B41">
        <v>3.53</v>
      </c>
      <c r="C41" s="1">
        <v>41702</v>
      </c>
      <c r="D41">
        <v>2.16</v>
      </c>
      <c r="E41" s="1">
        <v>41696</v>
      </c>
      <c r="F41">
        <v>0.25</v>
      </c>
    </row>
    <row r="42" spans="1:6" x14ac:dyDescent="0.25">
      <c r="A42" s="1">
        <v>41703</v>
      </c>
      <c r="B42">
        <v>3.81</v>
      </c>
      <c r="C42" s="1">
        <v>41703</v>
      </c>
      <c r="D42">
        <v>2.097</v>
      </c>
      <c r="E42" s="1">
        <v>41697</v>
      </c>
      <c r="F42">
        <v>0.25</v>
      </c>
    </row>
    <row r="43" spans="1:6" x14ac:dyDescent="0.25">
      <c r="A43" s="1">
        <v>41704</v>
      </c>
      <c r="B43">
        <v>2.48</v>
      </c>
      <c r="C43" s="1">
        <v>41704</v>
      </c>
      <c r="D43">
        <v>2.08</v>
      </c>
      <c r="E43" s="1">
        <v>41698</v>
      </c>
      <c r="F43">
        <v>0.25</v>
      </c>
    </row>
    <row r="44" spans="1:6" x14ac:dyDescent="0.25">
      <c r="A44" s="1">
        <v>41705</v>
      </c>
      <c r="B44">
        <v>2.4</v>
      </c>
      <c r="C44" s="1">
        <v>41705</v>
      </c>
      <c r="D44">
        <v>2.0230000000000001</v>
      </c>
      <c r="E44" s="1">
        <v>41701</v>
      </c>
      <c r="F44">
        <v>0.25</v>
      </c>
    </row>
    <row r="45" spans="1:6" x14ac:dyDescent="0.25">
      <c r="A45" s="1">
        <v>41708</v>
      </c>
      <c r="B45">
        <v>2.37</v>
      </c>
      <c r="C45" s="1">
        <v>41708</v>
      </c>
      <c r="D45">
        <v>1.95</v>
      </c>
      <c r="E45" s="1">
        <v>41702</v>
      </c>
      <c r="F45">
        <v>0.25</v>
      </c>
    </row>
    <row r="46" spans="1:6" x14ac:dyDescent="0.25">
      <c r="A46" s="1">
        <v>41709</v>
      </c>
      <c r="B46">
        <v>2.2799999999999998</v>
      </c>
      <c r="C46" s="1">
        <v>41709</v>
      </c>
      <c r="D46">
        <v>1.92</v>
      </c>
      <c r="E46" s="1">
        <v>41703</v>
      </c>
      <c r="F46">
        <v>0.25</v>
      </c>
    </row>
    <row r="47" spans="1:6" x14ac:dyDescent="0.25">
      <c r="A47" s="1">
        <v>41710</v>
      </c>
      <c r="B47">
        <v>2.2200000000000002</v>
      </c>
      <c r="C47" s="1">
        <v>41710</v>
      </c>
      <c r="D47">
        <v>1.92</v>
      </c>
      <c r="E47" s="1">
        <v>41704</v>
      </c>
      <c r="F47">
        <v>0.25</v>
      </c>
    </row>
    <row r="48" spans="1:6" x14ac:dyDescent="0.25">
      <c r="A48" s="1">
        <v>41711</v>
      </c>
      <c r="B48">
        <v>2.52</v>
      </c>
      <c r="C48" s="1">
        <v>41711</v>
      </c>
      <c r="D48">
        <v>2</v>
      </c>
      <c r="E48" s="1">
        <v>41705</v>
      </c>
      <c r="F48">
        <v>0.25</v>
      </c>
    </row>
    <row r="49" spans="1:6" x14ac:dyDescent="0.25">
      <c r="A49" s="1">
        <v>41712</v>
      </c>
      <c r="B49">
        <v>2.58</v>
      </c>
      <c r="C49" s="1">
        <v>41712</v>
      </c>
      <c r="D49">
        <v>1.9060999999999999</v>
      </c>
      <c r="E49" s="1">
        <v>41708</v>
      </c>
      <c r="F49">
        <v>0.25</v>
      </c>
    </row>
    <row r="50" spans="1:6" x14ac:dyDescent="0.25">
      <c r="A50" s="1">
        <v>41715</v>
      </c>
      <c r="B50">
        <v>2.67</v>
      </c>
      <c r="C50" s="1">
        <v>41715</v>
      </c>
      <c r="D50">
        <v>1.9</v>
      </c>
      <c r="E50" s="1">
        <v>41709</v>
      </c>
      <c r="F50">
        <v>0.25</v>
      </c>
    </row>
    <row r="51" spans="1:6" x14ac:dyDescent="0.25">
      <c r="A51" s="1">
        <v>41716</v>
      </c>
      <c r="B51">
        <v>2.88</v>
      </c>
      <c r="C51" s="1">
        <v>41716</v>
      </c>
      <c r="D51">
        <v>2.06</v>
      </c>
      <c r="E51" s="1">
        <v>41710</v>
      </c>
      <c r="F51">
        <v>0.25</v>
      </c>
    </row>
    <row r="52" spans="1:6" x14ac:dyDescent="0.25">
      <c r="A52" s="1">
        <v>41717</v>
      </c>
      <c r="B52">
        <v>3.46</v>
      </c>
      <c r="C52" s="1">
        <v>41717</v>
      </c>
      <c r="D52">
        <v>2.83</v>
      </c>
      <c r="E52" s="1">
        <v>41711</v>
      </c>
      <c r="F52">
        <v>0.25</v>
      </c>
    </row>
    <row r="53" spans="1:6" x14ac:dyDescent="0.25">
      <c r="A53" s="1">
        <v>41718</v>
      </c>
      <c r="B53">
        <v>3.48</v>
      </c>
      <c r="C53" s="1">
        <v>41718</v>
      </c>
      <c r="D53">
        <v>3.1</v>
      </c>
      <c r="E53" s="1">
        <v>41712</v>
      </c>
      <c r="F53">
        <v>0.25</v>
      </c>
    </row>
    <row r="54" spans="1:6" x14ac:dyDescent="0.25">
      <c r="A54" s="1">
        <v>41719</v>
      </c>
      <c r="B54">
        <v>3.59</v>
      </c>
      <c r="C54" s="1">
        <v>41719</v>
      </c>
      <c r="D54">
        <v>2.5099999999999998</v>
      </c>
      <c r="E54" s="1">
        <v>41715</v>
      </c>
      <c r="F54">
        <v>0.25</v>
      </c>
    </row>
    <row r="55" spans="1:6" x14ac:dyDescent="0.25">
      <c r="A55" s="1">
        <v>41722</v>
      </c>
      <c r="B55">
        <v>3.6</v>
      </c>
      <c r="C55" s="1">
        <v>41722</v>
      </c>
      <c r="D55">
        <v>2.52</v>
      </c>
      <c r="E55" s="1">
        <v>41716</v>
      </c>
      <c r="F55">
        <v>0.25</v>
      </c>
    </row>
    <row r="56" spans="1:6" x14ac:dyDescent="0.25">
      <c r="A56" s="1">
        <v>41723</v>
      </c>
      <c r="B56">
        <v>3.65</v>
      </c>
      <c r="C56" s="1">
        <v>41723</v>
      </c>
      <c r="D56">
        <v>2.5099999999999998</v>
      </c>
      <c r="E56" s="1">
        <v>41717</v>
      </c>
      <c r="F56">
        <v>0.25</v>
      </c>
    </row>
    <row r="57" spans="1:6" x14ac:dyDescent="0.25">
      <c r="A57" s="1">
        <v>41724</v>
      </c>
      <c r="B57">
        <v>3.86</v>
      </c>
      <c r="C57" s="1">
        <v>41724</v>
      </c>
      <c r="D57">
        <v>2.56</v>
      </c>
      <c r="E57" s="1">
        <v>41718</v>
      </c>
      <c r="F57">
        <v>0.25</v>
      </c>
    </row>
    <row r="58" spans="1:6" x14ac:dyDescent="0.25">
      <c r="A58" s="1">
        <v>41725</v>
      </c>
      <c r="B58">
        <v>4.83</v>
      </c>
      <c r="C58" s="1">
        <v>41725</v>
      </c>
      <c r="D58">
        <v>2.67</v>
      </c>
      <c r="E58" s="1">
        <v>41719</v>
      </c>
      <c r="F58">
        <v>0.25</v>
      </c>
    </row>
    <row r="59" spans="1:6" x14ac:dyDescent="0.25">
      <c r="A59" s="1">
        <v>41726</v>
      </c>
      <c r="B59">
        <v>4.18</v>
      </c>
      <c r="C59" s="1">
        <v>41726</v>
      </c>
      <c r="D59">
        <v>2.76</v>
      </c>
      <c r="E59" s="1">
        <v>41722</v>
      </c>
      <c r="F59">
        <v>0.25</v>
      </c>
    </row>
    <row r="60" spans="1:6" x14ac:dyDescent="0.25">
      <c r="A60" s="1">
        <v>41729</v>
      </c>
      <c r="B60">
        <v>4.17</v>
      </c>
      <c r="C60" s="1">
        <v>41729</v>
      </c>
      <c r="D60">
        <v>2.82</v>
      </c>
      <c r="E60" s="1">
        <v>41723</v>
      </c>
      <c r="F60">
        <v>0.25</v>
      </c>
    </row>
    <row r="61" spans="1:6" x14ac:dyDescent="0.25">
      <c r="A61" s="1">
        <v>41730</v>
      </c>
      <c r="B61">
        <v>4.3</v>
      </c>
      <c r="C61" s="1">
        <v>41730</v>
      </c>
      <c r="D61">
        <v>2.96</v>
      </c>
      <c r="E61" s="1">
        <v>41724</v>
      </c>
      <c r="F61">
        <v>0.25</v>
      </c>
    </row>
    <row r="62" spans="1:6" x14ac:dyDescent="0.25">
      <c r="A62" s="1">
        <v>41731</v>
      </c>
      <c r="B62">
        <v>4.2300000000000004</v>
      </c>
      <c r="C62" s="1">
        <v>41731</v>
      </c>
      <c r="D62">
        <v>2.97</v>
      </c>
      <c r="E62" s="1">
        <v>41725</v>
      </c>
      <c r="F62">
        <v>0.25</v>
      </c>
    </row>
    <row r="63" spans="1:6" x14ac:dyDescent="0.25">
      <c r="A63" s="1">
        <v>41732</v>
      </c>
      <c r="B63">
        <v>4.12</v>
      </c>
      <c r="C63" s="1">
        <v>41732</v>
      </c>
      <c r="D63">
        <v>3</v>
      </c>
      <c r="E63" s="1">
        <v>41726</v>
      </c>
      <c r="F63">
        <v>0.25</v>
      </c>
    </row>
    <row r="64" spans="1:6" x14ac:dyDescent="0.25">
      <c r="A64" s="1">
        <v>41733</v>
      </c>
      <c r="B64">
        <v>3.0139999999999998</v>
      </c>
      <c r="C64" s="1">
        <v>41733</v>
      </c>
      <c r="D64">
        <v>2.81</v>
      </c>
      <c r="E64" s="1">
        <v>41729</v>
      </c>
      <c r="F64">
        <v>0.25</v>
      </c>
    </row>
    <row r="65" spans="1:6" x14ac:dyDescent="0.25">
      <c r="A65" s="1">
        <v>41737</v>
      </c>
      <c r="B65">
        <v>3.63</v>
      </c>
      <c r="C65" s="1">
        <v>41737</v>
      </c>
      <c r="D65">
        <v>2.7559999999999998</v>
      </c>
      <c r="E65" s="1">
        <v>41730</v>
      </c>
      <c r="F65">
        <v>0.25</v>
      </c>
    </row>
    <row r="66" spans="1:6" x14ac:dyDescent="0.25">
      <c r="A66" s="1">
        <v>41738</v>
      </c>
      <c r="B66">
        <v>3.7</v>
      </c>
      <c r="C66" s="1">
        <v>41738</v>
      </c>
      <c r="D66">
        <v>2.79</v>
      </c>
      <c r="E66" s="1">
        <v>41731</v>
      </c>
      <c r="F66">
        <v>0.25</v>
      </c>
    </row>
    <row r="67" spans="1:6" x14ac:dyDescent="0.25">
      <c r="A67" s="1">
        <v>41739</v>
      </c>
      <c r="B67">
        <v>3.78</v>
      </c>
      <c r="C67" s="1">
        <v>41739</v>
      </c>
      <c r="D67">
        <v>2.8</v>
      </c>
      <c r="E67" s="1">
        <v>41732</v>
      </c>
      <c r="F67">
        <v>0.25</v>
      </c>
    </row>
    <row r="68" spans="1:6" x14ac:dyDescent="0.25">
      <c r="A68" s="1">
        <v>41740</v>
      </c>
      <c r="B68">
        <v>3.73</v>
      </c>
      <c r="C68" s="1">
        <v>41740</v>
      </c>
      <c r="D68">
        <v>2.78</v>
      </c>
      <c r="E68" s="1">
        <v>41733</v>
      </c>
      <c r="F68">
        <v>0.25</v>
      </c>
    </row>
    <row r="69" spans="1:6" x14ac:dyDescent="0.25">
      <c r="A69" s="1">
        <v>41743</v>
      </c>
      <c r="B69">
        <v>3.57</v>
      </c>
      <c r="C69" s="1">
        <v>41743</v>
      </c>
      <c r="D69">
        <v>2.65</v>
      </c>
      <c r="E69" s="1">
        <v>41736</v>
      </c>
      <c r="F69">
        <v>0.25</v>
      </c>
    </row>
    <row r="70" spans="1:6" x14ac:dyDescent="0.25">
      <c r="A70" s="1">
        <v>41744</v>
      </c>
      <c r="B70">
        <v>3.46</v>
      </c>
      <c r="C70" s="1">
        <v>41744</v>
      </c>
      <c r="D70">
        <v>2.48</v>
      </c>
      <c r="E70" s="1">
        <v>41737</v>
      </c>
      <c r="F70">
        <v>0.25</v>
      </c>
    </row>
    <row r="71" spans="1:6" x14ac:dyDescent="0.25">
      <c r="A71" s="1">
        <v>41745</v>
      </c>
      <c r="B71">
        <v>2.73</v>
      </c>
      <c r="C71" s="1">
        <v>41745</v>
      </c>
      <c r="D71">
        <v>2.35</v>
      </c>
      <c r="E71" s="1">
        <v>41738</v>
      </c>
      <c r="F71">
        <v>0.25</v>
      </c>
    </row>
    <row r="72" spans="1:6" x14ac:dyDescent="0.25">
      <c r="A72" s="1">
        <v>41746</v>
      </c>
      <c r="B72">
        <v>2.73</v>
      </c>
      <c r="C72" s="1">
        <v>41746</v>
      </c>
      <c r="D72">
        <v>2.21</v>
      </c>
      <c r="E72" s="1">
        <v>41739</v>
      </c>
      <c r="F72">
        <v>0.25</v>
      </c>
    </row>
    <row r="73" spans="1:6" x14ac:dyDescent="0.25">
      <c r="A73" s="1">
        <v>41747</v>
      </c>
      <c r="B73">
        <v>2.76</v>
      </c>
      <c r="C73" s="1">
        <v>41747</v>
      </c>
      <c r="D73">
        <v>2.004</v>
      </c>
      <c r="E73" s="1">
        <v>41740</v>
      </c>
      <c r="F73">
        <v>0.25</v>
      </c>
    </row>
    <row r="74" spans="1:6" x14ac:dyDescent="0.25">
      <c r="A74" s="1">
        <v>41750</v>
      </c>
      <c r="B74">
        <v>2.73</v>
      </c>
      <c r="C74" s="1">
        <v>41750</v>
      </c>
      <c r="D74">
        <v>1.99</v>
      </c>
      <c r="E74" s="1">
        <v>41743</v>
      </c>
      <c r="F74">
        <v>0.25</v>
      </c>
    </row>
    <row r="75" spans="1:6" x14ac:dyDescent="0.25">
      <c r="A75" s="1">
        <v>41751</v>
      </c>
      <c r="B75">
        <v>3.02</v>
      </c>
      <c r="C75" s="1">
        <v>41751</v>
      </c>
      <c r="D75">
        <v>1.98</v>
      </c>
      <c r="E75" s="1">
        <v>41744</v>
      </c>
      <c r="F75">
        <v>0.25</v>
      </c>
    </row>
    <row r="76" spans="1:6" x14ac:dyDescent="0.25">
      <c r="A76" s="1">
        <v>41752</v>
      </c>
      <c r="B76">
        <v>3.12</v>
      </c>
      <c r="C76" s="1">
        <v>41752</v>
      </c>
      <c r="D76">
        <v>2.0099999999999998</v>
      </c>
      <c r="E76" s="1">
        <v>41745</v>
      </c>
      <c r="F76">
        <v>0.25</v>
      </c>
    </row>
    <row r="77" spans="1:6" x14ac:dyDescent="0.25">
      <c r="A77" s="1">
        <v>41753</v>
      </c>
      <c r="B77">
        <v>3.55</v>
      </c>
      <c r="C77" s="1">
        <v>41753</v>
      </c>
      <c r="D77">
        <v>2.38</v>
      </c>
      <c r="E77" s="1">
        <v>41746</v>
      </c>
      <c r="F77">
        <v>0.25</v>
      </c>
    </row>
    <row r="78" spans="1:6" x14ac:dyDescent="0.25">
      <c r="A78" s="1">
        <v>41754</v>
      </c>
      <c r="B78">
        <v>3.53</v>
      </c>
      <c r="C78" s="1">
        <v>41754</v>
      </c>
      <c r="D78">
        <v>2.4</v>
      </c>
      <c r="E78" s="1">
        <v>41747</v>
      </c>
      <c r="F78">
        <v>0.25</v>
      </c>
    </row>
    <row r="79" spans="1:6" x14ac:dyDescent="0.25">
      <c r="A79" s="1">
        <v>41757</v>
      </c>
      <c r="B79">
        <v>4.05</v>
      </c>
      <c r="C79" s="1">
        <v>41757</v>
      </c>
      <c r="D79">
        <v>2.42</v>
      </c>
      <c r="E79" s="1">
        <v>41750</v>
      </c>
      <c r="F79">
        <v>0.25</v>
      </c>
    </row>
    <row r="80" spans="1:6" x14ac:dyDescent="0.25">
      <c r="A80" s="1">
        <v>41758</v>
      </c>
      <c r="B80">
        <v>4.0999999999999996</v>
      </c>
      <c r="C80" s="1">
        <v>41758</v>
      </c>
      <c r="D80">
        <v>2.67</v>
      </c>
      <c r="E80" s="1">
        <v>41751</v>
      </c>
      <c r="F80">
        <v>0.25</v>
      </c>
    </row>
    <row r="81" spans="1:6" x14ac:dyDescent="0.25">
      <c r="A81" s="1">
        <v>41759</v>
      </c>
      <c r="B81">
        <v>4.1760000000000002</v>
      </c>
      <c r="C81" s="1">
        <v>41759</v>
      </c>
      <c r="D81">
        <v>2.5099999999999998</v>
      </c>
      <c r="E81" s="1">
        <v>41752</v>
      </c>
      <c r="F81">
        <v>0.25</v>
      </c>
    </row>
    <row r="82" spans="1:6" x14ac:dyDescent="0.25">
      <c r="A82" s="1">
        <v>41763</v>
      </c>
      <c r="B82">
        <v>3.71</v>
      </c>
      <c r="C82" s="1">
        <v>41763</v>
      </c>
      <c r="D82">
        <v>2.39</v>
      </c>
      <c r="E82" s="1">
        <v>41753</v>
      </c>
      <c r="F82">
        <v>0.25</v>
      </c>
    </row>
    <row r="83" spans="1:6" x14ac:dyDescent="0.25">
      <c r="A83" s="1">
        <v>41764</v>
      </c>
      <c r="B83">
        <v>3.1393</v>
      </c>
      <c r="C83" s="1">
        <v>41764</v>
      </c>
      <c r="D83">
        <v>2.4</v>
      </c>
      <c r="E83" s="1">
        <v>41754</v>
      </c>
      <c r="F83">
        <v>0.25</v>
      </c>
    </row>
    <row r="84" spans="1:6" x14ac:dyDescent="0.25">
      <c r="A84" s="1">
        <v>41765</v>
      </c>
      <c r="B84">
        <v>3.08</v>
      </c>
      <c r="C84" s="1">
        <v>41765</v>
      </c>
      <c r="D84">
        <v>2.4</v>
      </c>
      <c r="E84" s="1">
        <v>41757</v>
      </c>
      <c r="F84">
        <v>0.25</v>
      </c>
    </row>
    <row r="85" spans="1:6" x14ac:dyDescent="0.25">
      <c r="A85" s="1">
        <v>41766</v>
      </c>
      <c r="B85">
        <v>3.15</v>
      </c>
      <c r="C85" s="1">
        <v>41766</v>
      </c>
      <c r="D85">
        <v>2.38</v>
      </c>
      <c r="E85" s="1">
        <v>41758</v>
      </c>
      <c r="F85">
        <v>0.25</v>
      </c>
    </row>
    <row r="86" spans="1:6" x14ac:dyDescent="0.25">
      <c r="A86" s="1">
        <v>41767</v>
      </c>
      <c r="B86">
        <v>3.2324999999999999</v>
      </c>
      <c r="C86" s="1">
        <v>41767</v>
      </c>
      <c r="D86">
        <v>2.3199999999999998</v>
      </c>
      <c r="E86" s="1">
        <v>41759</v>
      </c>
      <c r="F86">
        <v>0.25</v>
      </c>
    </row>
    <row r="87" spans="1:6" x14ac:dyDescent="0.25">
      <c r="A87" s="1">
        <v>41768</v>
      </c>
      <c r="B87">
        <v>3.2002000000000002</v>
      </c>
      <c r="C87" s="1">
        <v>41768</v>
      </c>
      <c r="D87">
        <v>2.2400000000000002</v>
      </c>
      <c r="E87" s="1">
        <v>41760</v>
      </c>
      <c r="F87">
        <v>0.25</v>
      </c>
    </row>
    <row r="88" spans="1:6" x14ac:dyDescent="0.25">
      <c r="A88" s="1">
        <v>41771</v>
      </c>
      <c r="B88">
        <v>3.19</v>
      </c>
      <c r="C88" s="1">
        <v>41771</v>
      </c>
      <c r="D88">
        <v>2.25</v>
      </c>
      <c r="E88" s="1">
        <v>41761</v>
      </c>
      <c r="F88">
        <v>0.25</v>
      </c>
    </row>
    <row r="89" spans="1:6" x14ac:dyDescent="0.25">
      <c r="A89" s="1">
        <v>41772</v>
      </c>
      <c r="B89">
        <v>3.1812999999999998</v>
      </c>
      <c r="C89" s="1">
        <v>41772</v>
      </c>
      <c r="D89">
        <v>2.3530000000000002</v>
      </c>
      <c r="E89" s="1">
        <v>41764</v>
      </c>
      <c r="F89">
        <v>0.25</v>
      </c>
    </row>
    <row r="90" spans="1:6" x14ac:dyDescent="0.25">
      <c r="A90" s="1">
        <v>41773</v>
      </c>
      <c r="B90">
        <v>3.24</v>
      </c>
      <c r="C90" s="1">
        <v>41773</v>
      </c>
      <c r="D90">
        <v>2.37</v>
      </c>
      <c r="E90" s="1">
        <v>41765</v>
      </c>
      <c r="F90">
        <v>0.25</v>
      </c>
    </row>
    <row r="91" spans="1:6" x14ac:dyDescent="0.25">
      <c r="A91" s="1">
        <v>41774</v>
      </c>
      <c r="B91">
        <v>3.13</v>
      </c>
      <c r="C91" s="1">
        <v>41774</v>
      </c>
      <c r="D91">
        <v>2.38</v>
      </c>
      <c r="E91" s="1">
        <v>41766</v>
      </c>
      <c r="F91">
        <v>0.25</v>
      </c>
    </row>
    <row r="92" spans="1:6" x14ac:dyDescent="0.25">
      <c r="A92" s="1">
        <v>41775</v>
      </c>
      <c r="B92">
        <v>3.15</v>
      </c>
      <c r="C92" s="1">
        <v>41775</v>
      </c>
      <c r="D92">
        <v>2.4</v>
      </c>
      <c r="E92" s="1">
        <v>41767</v>
      </c>
      <c r="F92">
        <v>0.25</v>
      </c>
    </row>
    <row r="93" spans="1:6" x14ac:dyDescent="0.25">
      <c r="A93" s="1">
        <v>41778</v>
      </c>
      <c r="B93">
        <v>3.1</v>
      </c>
      <c r="C93" s="1">
        <v>41778</v>
      </c>
      <c r="D93">
        <v>2.42</v>
      </c>
      <c r="E93" s="1">
        <v>41768</v>
      </c>
      <c r="F93">
        <v>0.25</v>
      </c>
    </row>
    <row r="94" spans="1:6" x14ac:dyDescent="0.25">
      <c r="A94" s="1">
        <v>41779</v>
      </c>
      <c r="B94">
        <v>3.41</v>
      </c>
      <c r="C94" s="1">
        <v>41779</v>
      </c>
      <c r="D94">
        <v>2.4500000000000002</v>
      </c>
      <c r="E94" s="1">
        <v>41771</v>
      </c>
      <c r="F94">
        <v>0.25</v>
      </c>
    </row>
    <row r="95" spans="1:6" x14ac:dyDescent="0.25">
      <c r="A95" s="1">
        <v>41780</v>
      </c>
      <c r="B95">
        <v>3.3660000000000001</v>
      </c>
      <c r="C95" s="1">
        <v>41780</v>
      </c>
      <c r="D95">
        <v>2.6</v>
      </c>
      <c r="E95" s="1">
        <v>41772</v>
      </c>
      <c r="F95">
        <v>0.25</v>
      </c>
    </row>
    <row r="96" spans="1:6" x14ac:dyDescent="0.25">
      <c r="A96" s="1">
        <v>41781</v>
      </c>
      <c r="B96">
        <v>3.42</v>
      </c>
      <c r="C96" s="1">
        <v>41781</v>
      </c>
      <c r="D96">
        <v>2.54</v>
      </c>
      <c r="E96" s="1">
        <v>41773</v>
      </c>
      <c r="F96">
        <v>0.25</v>
      </c>
    </row>
    <row r="97" spans="1:6" x14ac:dyDescent="0.25">
      <c r="A97" s="1">
        <v>41782</v>
      </c>
      <c r="B97">
        <v>3.42</v>
      </c>
      <c r="C97" s="1">
        <v>41782</v>
      </c>
      <c r="D97">
        <v>2.5499999999999998</v>
      </c>
      <c r="E97" s="1">
        <v>41774</v>
      </c>
      <c r="F97">
        <v>0.25</v>
      </c>
    </row>
    <row r="98" spans="1:6" x14ac:dyDescent="0.25">
      <c r="A98" s="1">
        <v>41785</v>
      </c>
      <c r="B98">
        <v>3.22</v>
      </c>
      <c r="C98" s="1">
        <v>41785</v>
      </c>
      <c r="D98">
        <v>2.5299999999999998</v>
      </c>
      <c r="E98" s="1">
        <v>41775</v>
      </c>
      <c r="F98">
        <v>0.25</v>
      </c>
    </row>
    <row r="99" spans="1:6" x14ac:dyDescent="0.25">
      <c r="A99" s="1">
        <v>41786</v>
      </c>
      <c r="B99">
        <v>3.23</v>
      </c>
      <c r="C99" s="1">
        <v>41786</v>
      </c>
      <c r="D99">
        <v>2.5470000000000002</v>
      </c>
      <c r="E99" s="1">
        <v>41778</v>
      </c>
      <c r="F99">
        <v>0.25</v>
      </c>
    </row>
    <row r="100" spans="1:6" x14ac:dyDescent="0.25">
      <c r="A100" s="1">
        <v>41787</v>
      </c>
      <c r="B100">
        <v>3.2</v>
      </c>
      <c r="C100" s="1">
        <v>41787</v>
      </c>
      <c r="D100">
        <v>2.5499999999999998</v>
      </c>
      <c r="E100" s="1">
        <v>41779</v>
      </c>
      <c r="F100">
        <v>0.25</v>
      </c>
    </row>
    <row r="101" spans="1:6" x14ac:dyDescent="0.25">
      <c r="A101" s="1">
        <v>41788</v>
      </c>
      <c r="B101">
        <v>3.22</v>
      </c>
      <c r="C101" s="1">
        <v>41788</v>
      </c>
      <c r="D101">
        <v>2.54</v>
      </c>
      <c r="E101" s="1">
        <v>41780</v>
      </c>
      <c r="F101">
        <v>0.25</v>
      </c>
    </row>
    <row r="102" spans="1:6" x14ac:dyDescent="0.25">
      <c r="A102" s="1">
        <v>41789</v>
      </c>
      <c r="B102">
        <v>3.25</v>
      </c>
      <c r="C102" s="1">
        <v>41789</v>
      </c>
      <c r="D102">
        <v>2.6614</v>
      </c>
      <c r="E102" s="1">
        <v>41781</v>
      </c>
      <c r="F102">
        <v>0.25</v>
      </c>
    </row>
    <row r="103" spans="1:6" x14ac:dyDescent="0.25">
      <c r="A103" s="1">
        <v>41793</v>
      </c>
      <c r="B103">
        <v>3.21</v>
      </c>
      <c r="C103" s="1">
        <v>41793</v>
      </c>
      <c r="D103">
        <v>2.58</v>
      </c>
      <c r="E103" s="1">
        <v>41782</v>
      </c>
      <c r="F103">
        <v>0.25</v>
      </c>
    </row>
    <row r="104" spans="1:6" x14ac:dyDescent="0.25">
      <c r="A104" s="1">
        <v>41794</v>
      </c>
      <c r="B104">
        <v>3.1560000000000001</v>
      </c>
      <c r="C104" s="1">
        <v>41794</v>
      </c>
      <c r="D104">
        <v>2.6</v>
      </c>
      <c r="E104" s="1">
        <v>41785</v>
      </c>
      <c r="F104">
        <v>0.25</v>
      </c>
    </row>
    <row r="105" spans="1:6" x14ac:dyDescent="0.25">
      <c r="A105" s="1">
        <v>41795</v>
      </c>
      <c r="B105">
        <v>3.077</v>
      </c>
      <c r="C105" s="1">
        <v>41795</v>
      </c>
      <c r="D105">
        <v>2.64</v>
      </c>
      <c r="E105" s="1">
        <v>41786</v>
      </c>
      <c r="F105">
        <v>0.25</v>
      </c>
    </row>
    <row r="106" spans="1:6" x14ac:dyDescent="0.25">
      <c r="A106" s="1">
        <v>41796</v>
      </c>
      <c r="B106">
        <v>3.16</v>
      </c>
      <c r="C106" s="1">
        <v>41796</v>
      </c>
      <c r="D106">
        <v>2.64</v>
      </c>
      <c r="E106" s="1">
        <v>41787</v>
      </c>
      <c r="F106">
        <v>0.25</v>
      </c>
    </row>
    <row r="107" spans="1:6" x14ac:dyDescent="0.25">
      <c r="A107" s="1">
        <v>41799</v>
      </c>
      <c r="B107">
        <v>3.13</v>
      </c>
      <c r="C107" s="1">
        <v>41799</v>
      </c>
      <c r="D107">
        <v>2.63</v>
      </c>
      <c r="E107" s="1">
        <v>41788</v>
      </c>
      <c r="F107">
        <v>0.25</v>
      </c>
    </row>
    <row r="108" spans="1:6" x14ac:dyDescent="0.25">
      <c r="A108" s="1">
        <v>41800</v>
      </c>
      <c r="B108">
        <v>3.1269999999999998</v>
      </c>
      <c r="C108" s="1">
        <v>41800</v>
      </c>
      <c r="D108">
        <v>2.59</v>
      </c>
      <c r="E108" s="1">
        <v>41789</v>
      </c>
      <c r="F108">
        <v>0.25</v>
      </c>
    </row>
    <row r="109" spans="1:6" x14ac:dyDescent="0.25">
      <c r="A109" s="1">
        <v>41801</v>
      </c>
      <c r="B109">
        <v>3.2</v>
      </c>
      <c r="C109" s="1">
        <v>41801</v>
      </c>
      <c r="D109">
        <v>2.64</v>
      </c>
      <c r="E109" s="1">
        <v>41792</v>
      </c>
      <c r="F109">
        <v>0.25</v>
      </c>
    </row>
    <row r="110" spans="1:6" x14ac:dyDescent="0.25">
      <c r="A110" s="1">
        <v>41802</v>
      </c>
      <c r="B110">
        <v>3.2</v>
      </c>
      <c r="C110" s="1">
        <v>41802</v>
      </c>
      <c r="D110">
        <v>2.64</v>
      </c>
      <c r="E110" s="1">
        <v>41793</v>
      </c>
      <c r="F110">
        <v>0.25</v>
      </c>
    </row>
    <row r="111" spans="1:6" x14ac:dyDescent="0.25">
      <c r="A111" s="1">
        <v>41803</v>
      </c>
      <c r="B111">
        <v>3.08</v>
      </c>
      <c r="C111" s="1">
        <v>41803</v>
      </c>
      <c r="D111">
        <v>2.63</v>
      </c>
      <c r="E111" s="1">
        <v>41794</v>
      </c>
      <c r="F111">
        <v>0.25</v>
      </c>
    </row>
    <row r="112" spans="1:6" x14ac:dyDescent="0.25">
      <c r="A112" s="1">
        <v>41806</v>
      </c>
      <c r="B112">
        <v>3.04</v>
      </c>
      <c r="C112" s="1">
        <v>41806</v>
      </c>
      <c r="D112">
        <v>2.6</v>
      </c>
      <c r="E112" s="1">
        <v>41795</v>
      </c>
      <c r="F112">
        <v>0.25</v>
      </c>
    </row>
    <row r="113" spans="1:6" x14ac:dyDescent="0.25">
      <c r="A113" s="1">
        <v>41807</v>
      </c>
      <c r="B113">
        <v>3.08</v>
      </c>
      <c r="C113" s="1">
        <v>41807</v>
      </c>
      <c r="D113">
        <v>2.61</v>
      </c>
      <c r="E113" s="1">
        <v>41796</v>
      </c>
      <c r="F113">
        <v>0.25</v>
      </c>
    </row>
    <row r="114" spans="1:6" x14ac:dyDescent="0.25">
      <c r="A114" s="1">
        <v>41808</v>
      </c>
      <c r="B114">
        <v>3.07</v>
      </c>
      <c r="C114" s="1">
        <v>41808</v>
      </c>
      <c r="D114">
        <v>2.8</v>
      </c>
      <c r="E114" s="1">
        <v>41799</v>
      </c>
      <c r="F114">
        <v>0.25</v>
      </c>
    </row>
    <row r="115" spans="1:6" x14ac:dyDescent="0.25">
      <c r="A115" s="1">
        <v>41809</v>
      </c>
      <c r="B115">
        <v>3.18</v>
      </c>
      <c r="C115" s="1">
        <v>41809</v>
      </c>
      <c r="D115">
        <v>2.74</v>
      </c>
      <c r="E115" s="1">
        <v>41800</v>
      </c>
      <c r="F115">
        <v>0.25</v>
      </c>
    </row>
    <row r="116" spans="1:6" x14ac:dyDescent="0.25">
      <c r="A116" s="1">
        <v>41810</v>
      </c>
      <c r="B116">
        <v>3.42</v>
      </c>
      <c r="C116" s="1">
        <v>41810</v>
      </c>
      <c r="D116">
        <v>2.85</v>
      </c>
      <c r="E116" s="1">
        <v>41801</v>
      </c>
      <c r="F116">
        <v>0.25</v>
      </c>
    </row>
    <row r="117" spans="1:6" x14ac:dyDescent="0.25">
      <c r="A117" s="1">
        <v>41813</v>
      </c>
      <c r="B117">
        <v>3.48</v>
      </c>
      <c r="C117" s="1">
        <v>41813</v>
      </c>
      <c r="D117">
        <v>2.77</v>
      </c>
      <c r="E117" s="1">
        <v>41802</v>
      </c>
      <c r="F117">
        <v>0.25</v>
      </c>
    </row>
    <row r="118" spans="1:6" x14ac:dyDescent="0.25">
      <c r="A118" s="1">
        <v>41814</v>
      </c>
      <c r="B118">
        <v>3.48</v>
      </c>
      <c r="C118" s="1">
        <v>41814</v>
      </c>
      <c r="D118">
        <v>3</v>
      </c>
      <c r="E118" s="1">
        <v>41803</v>
      </c>
      <c r="F118">
        <v>0.25</v>
      </c>
    </row>
    <row r="119" spans="1:6" x14ac:dyDescent="0.25">
      <c r="A119" s="1">
        <v>41815</v>
      </c>
      <c r="B119">
        <v>3.47</v>
      </c>
      <c r="C119" s="1">
        <v>41815</v>
      </c>
      <c r="D119">
        <v>3.03</v>
      </c>
      <c r="E119" s="1">
        <v>41806</v>
      </c>
      <c r="F119">
        <v>0.25</v>
      </c>
    </row>
    <row r="120" spans="1:6" x14ac:dyDescent="0.25">
      <c r="A120" s="1">
        <v>41816</v>
      </c>
      <c r="B120">
        <v>3.6</v>
      </c>
      <c r="C120" s="1">
        <v>41816</v>
      </c>
      <c r="D120">
        <v>3.05</v>
      </c>
      <c r="E120" s="1">
        <v>41807</v>
      </c>
      <c r="F120">
        <v>0.25</v>
      </c>
    </row>
    <row r="121" spans="1:6" x14ac:dyDescent="0.25">
      <c r="A121" s="1">
        <v>41817</v>
      </c>
      <c r="B121">
        <v>3.8</v>
      </c>
      <c r="C121" s="1">
        <v>41817</v>
      </c>
      <c r="D121">
        <v>2.95</v>
      </c>
      <c r="E121" s="1">
        <v>41808</v>
      </c>
      <c r="F121">
        <v>0.25</v>
      </c>
    </row>
    <row r="122" spans="1:6" x14ac:dyDescent="0.25">
      <c r="A122" s="1">
        <v>41820</v>
      </c>
      <c r="B122">
        <v>3.85</v>
      </c>
      <c r="C122" s="1">
        <v>41820</v>
      </c>
      <c r="D122">
        <v>2.95</v>
      </c>
      <c r="E122" s="1">
        <v>41809</v>
      </c>
      <c r="F122">
        <v>0.25</v>
      </c>
    </row>
    <row r="123" spans="1:6" x14ac:dyDescent="0.25">
      <c r="A123" s="1">
        <v>41821</v>
      </c>
      <c r="B123">
        <v>4.4400000000000004</v>
      </c>
      <c r="C123" s="1">
        <v>41821</v>
      </c>
      <c r="D123">
        <v>3.06</v>
      </c>
      <c r="E123" s="1">
        <v>41810</v>
      </c>
      <c r="F123">
        <v>0.25</v>
      </c>
    </row>
    <row r="124" spans="1:6" x14ac:dyDescent="0.25">
      <c r="A124" s="1">
        <v>41822</v>
      </c>
      <c r="B124">
        <v>3.94</v>
      </c>
      <c r="C124" s="1">
        <v>41822</v>
      </c>
      <c r="D124">
        <v>3.05</v>
      </c>
      <c r="E124" s="1">
        <v>41813</v>
      </c>
      <c r="F124">
        <v>0.25</v>
      </c>
    </row>
    <row r="125" spans="1:6" x14ac:dyDescent="0.25">
      <c r="A125" s="1">
        <v>41823</v>
      </c>
      <c r="B125">
        <v>3.41</v>
      </c>
      <c r="C125" s="1">
        <v>41823</v>
      </c>
      <c r="D125">
        <v>3</v>
      </c>
      <c r="E125" s="1">
        <v>41814</v>
      </c>
      <c r="F125">
        <v>0.25</v>
      </c>
    </row>
    <row r="126" spans="1:6" x14ac:dyDescent="0.25">
      <c r="A126" s="1">
        <v>41824</v>
      </c>
      <c r="B126">
        <v>3.43</v>
      </c>
      <c r="C126" s="1">
        <v>41824</v>
      </c>
      <c r="D126">
        <v>2.95</v>
      </c>
      <c r="E126" s="1">
        <v>41815</v>
      </c>
      <c r="F126">
        <v>0.25</v>
      </c>
    </row>
    <row r="127" spans="1:6" x14ac:dyDescent="0.25">
      <c r="A127" s="1">
        <v>41827</v>
      </c>
      <c r="B127">
        <v>3.45</v>
      </c>
      <c r="C127" s="1">
        <v>41827</v>
      </c>
      <c r="D127">
        <v>3</v>
      </c>
      <c r="E127" s="1">
        <v>41816</v>
      </c>
      <c r="F127">
        <v>0.25</v>
      </c>
    </row>
    <row r="128" spans="1:6" x14ac:dyDescent="0.25">
      <c r="A128" s="1">
        <v>41828</v>
      </c>
      <c r="B128">
        <v>3.6</v>
      </c>
      <c r="C128" s="1">
        <v>41828</v>
      </c>
      <c r="D128">
        <v>3.26</v>
      </c>
      <c r="E128" s="1">
        <v>41817</v>
      </c>
      <c r="F128">
        <v>0.25</v>
      </c>
    </row>
    <row r="129" spans="1:6" x14ac:dyDescent="0.25">
      <c r="A129" s="1">
        <v>41829</v>
      </c>
      <c r="B129">
        <v>3.8</v>
      </c>
      <c r="C129" s="1">
        <v>41829</v>
      </c>
      <c r="D129">
        <v>3.4</v>
      </c>
      <c r="E129" s="1">
        <v>41820</v>
      </c>
      <c r="F129">
        <v>0.25</v>
      </c>
    </row>
    <row r="130" spans="1:6" x14ac:dyDescent="0.25">
      <c r="A130" s="1">
        <v>41830</v>
      </c>
      <c r="B130">
        <v>3.74</v>
      </c>
      <c r="C130" s="1">
        <v>41830</v>
      </c>
      <c r="D130">
        <v>3.33</v>
      </c>
      <c r="E130" s="1">
        <v>41821</v>
      </c>
      <c r="F130">
        <v>0.25</v>
      </c>
    </row>
    <row r="131" spans="1:6" x14ac:dyDescent="0.25">
      <c r="A131" s="1">
        <v>41831</v>
      </c>
      <c r="B131">
        <v>3.75</v>
      </c>
      <c r="C131" s="1">
        <v>41831</v>
      </c>
      <c r="D131">
        <v>3.36</v>
      </c>
      <c r="E131" s="1">
        <v>41822</v>
      </c>
      <c r="F131">
        <v>0.25</v>
      </c>
    </row>
    <row r="132" spans="1:6" x14ac:dyDescent="0.25">
      <c r="A132" s="1">
        <v>41834</v>
      </c>
      <c r="B132">
        <v>3.8</v>
      </c>
      <c r="C132" s="1">
        <v>41834</v>
      </c>
      <c r="D132">
        <v>3.3</v>
      </c>
      <c r="E132" s="1">
        <v>41823</v>
      </c>
      <c r="F132">
        <v>0.25</v>
      </c>
    </row>
    <row r="133" spans="1:6" x14ac:dyDescent="0.25">
      <c r="A133" s="1">
        <v>41835</v>
      </c>
      <c r="B133">
        <v>3.68</v>
      </c>
      <c r="C133" s="1">
        <v>41835</v>
      </c>
      <c r="D133">
        <v>3.4</v>
      </c>
      <c r="E133" s="1">
        <v>41824</v>
      </c>
      <c r="F133">
        <v>0.25</v>
      </c>
    </row>
    <row r="134" spans="1:6" x14ac:dyDescent="0.25">
      <c r="A134" s="1">
        <v>41836</v>
      </c>
      <c r="B134">
        <v>3.72</v>
      </c>
      <c r="C134" s="1">
        <v>41836</v>
      </c>
      <c r="D134">
        <v>3.3</v>
      </c>
      <c r="E134" s="1">
        <v>41827</v>
      </c>
      <c r="F134">
        <v>0.25</v>
      </c>
    </row>
    <row r="135" spans="1:6" x14ac:dyDescent="0.25">
      <c r="A135" s="1">
        <v>41837</v>
      </c>
      <c r="B135">
        <v>3.83</v>
      </c>
      <c r="C135" s="1">
        <v>41837</v>
      </c>
      <c r="D135">
        <v>3.3</v>
      </c>
      <c r="E135" s="1">
        <v>41828</v>
      </c>
      <c r="F135">
        <v>0.25</v>
      </c>
    </row>
    <row r="136" spans="1:6" x14ac:dyDescent="0.25">
      <c r="A136" s="1">
        <v>41838</v>
      </c>
      <c r="B136">
        <v>3.71</v>
      </c>
      <c r="C136" s="1">
        <v>41838</v>
      </c>
      <c r="D136">
        <v>3.35</v>
      </c>
      <c r="E136" s="1">
        <v>41829</v>
      </c>
      <c r="F136">
        <v>0.25</v>
      </c>
    </row>
    <row r="137" spans="1:6" x14ac:dyDescent="0.25">
      <c r="A137" s="1">
        <v>41841</v>
      </c>
      <c r="B137">
        <v>3.67</v>
      </c>
      <c r="C137" s="1">
        <v>41841</v>
      </c>
      <c r="D137">
        <v>3.31</v>
      </c>
      <c r="E137" s="1">
        <v>41830</v>
      </c>
      <c r="F137">
        <v>0.25</v>
      </c>
    </row>
    <row r="138" spans="1:6" x14ac:dyDescent="0.25">
      <c r="A138" s="1">
        <v>41842</v>
      </c>
      <c r="B138">
        <v>3.83</v>
      </c>
      <c r="C138" s="1">
        <v>41842</v>
      </c>
      <c r="D138">
        <v>3.4</v>
      </c>
      <c r="E138" s="1">
        <v>41831</v>
      </c>
      <c r="F138">
        <v>0.25</v>
      </c>
    </row>
    <row r="139" spans="1:6" x14ac:dyDescent="0.25">
      <c r="A139" s="1">
        <v>41843</v>
      </c>
      <c r="B139">
        <v>4.2</v>
      </c>
      <c r="C139" s="1">
        <v>41843</v>
      </c>
      <c r="D139">
        <v>3.4</v>
      </c>
      <c r="E139" s="1">
        <v>41834</v>
      </c>
      <c r="F139">
        <v>0.25</v>
      </c>
    </row>
    <row r="140" spans="1:6" x14ac:dyDescent="0.25">
      <c r="A140" s="1">
        <v>41844</v>
      </c>
      <c r="B140">
        <v>4.09</v>
      </c>
      <c r="C140" s="1">
        <v>41844</v>
      </c>
      <c r="D140">
        <v>3.36</v>
      </c>
      <c r="E140" s="1">
        <v>41835</v>
      </c>
      <c r="F140">
        <v>0.25</v>
      </c>
    </row>
    <row r="141" spans="1:6" x14ac:dyDescent="0.25">
      <c r="A141" s="1">
        <v>41845</v>
      </c>
      <c r="B141">
        <v>4.0999999999999996</v>
      </c>
      <c r="C141" s="1">
        <v>41845</v>
      </c>
      <c r="D141">
        <v>3.42</v>
      </c>
      <c r="E141" s="1">
        <v>41836</v>
      </c>
      <c r="F141">
        <v>0.25</v>
      </c>
    </row>
    <row r="142" spans="1:6" x14ac:dyDescent="0.25">
      <c r="A142" s="1">
        <v>41848</v>
      </c>
      <c r="B142">
        <v>4.08</v>
      </c>
      <c r="C142" s="1">
        <v>41848</v>
      </c>
      <c r="D142">
        <v>3.38</v>
      </c>
      <c r="E142" s="1">
        <v>41837</v>
      </c>
      <c r="F142">
        <v>0.25</v>
      </c>
    </row>
    <row r="143" spans="1:6" x14ac:dyDescent="0.25">
      <c r="A143" s="1">
        <v>41849</v>
      </c>
      <c r="B143">
        <v>3.95</v>
      </c>
      <c r="C143" s="1">
        <v>41849</v>
      </c>
      <c r="D143">
        <v>3.26</v>
      </c>
      <c r="E143" s="1">
        <v>41838</v>
      </c>
      <c r="F143">
        <v>0.25</v>
      </c>
    </row>
    <row r="144" spans="1:6" x14ac:dyDescent="0.25">
      <c r="A144" s="1">
        <v>41850</v>
      </c>
      <c r="B144">
        <v>3.98</v>
      </c>
      <c r="C144" s="1">
        <v>41850</v>
      </c>
      <c r="D144">
        <v>3.34</v>
      </c>
      <c r="E144" s="1">
        <v>41841</v>
      </c>
      <c r="F144">
        <v>0.25</v>
      </c>
    </row>
    <row r="145" spans="1:6" x14ac:dyDescent="0.25">
      <c r="A145" s="1">
        <v>41851</v>
      </c>
      <c r="B145">
        <v>4.0199999999999996</v>
      </c>
      <c r="C145" s="1">
        <v>41851</v>
      </c>
      <c r="D145">
        <v>3.29</v>
      </c>
      <c r="E145" s="1">
        <v>41842</v>
      </c>
      <c r="F145">
        <v>0.25</v>
      </c>
    </row>
    <row r="146" spans="1:6" x14ac:dyDescent="0.25">
      <c r="A146" s="1">
        <v>41852</v>
      </c>
      <c r="B146">
        <v>3.9</v>
      </c>
      <c r="C146" s="1">
        <v>41852</v>
      </c>
      <c r="D146">
        <v>3.23</v>
      </c>
      <c r="E146" s="1">
        <v>41843</v>
      </c>
      <c r="F146">
        <v>0.25</v>
      </c>
    </row>
    <row r="147" spans="1:6" x14ac:dyDescent="0.25">
      <c r="A147" s="1">
        <v>41855</v>
      </c>
      <c r="B147">
        <v>3.9</v>
      </c>
      <c r="C147" s="1">
        <v>41855</v>
      </c>
      <c r="D147">
        <v>3.2</v>
      </c>
      <c r="E147" s="1">
        <v>41844</v>
      </c>
      <c r="F147">
        <v>0.25</v>
      </c>
    </row>
    <row r="148" spans="1:6" x14ac:dyDescent="0.25">
      <c r="A148" s="1">
        <v>41856</v>
      </c>
      <c r="B148">
        <v>3.65</v>
      </c>
      <c r="C148" s="1">
        <v>41856</v>
      </c>
      <c r="D148">
        <v>3.16</v>
      </c>
      <c r="E148" s="1">
        <v>41845</v>
      </c>
      <c r="F148">
        <v>0.25</v>
      </c>
    </row>
    <row r="149" spans="1:6" x14ac:dyDescent="0.25">
      <c r="A149" s="1">
        <v>41857</v>
      </c>
      <c r="B149">
        <v>3.6</v>
      </c>
      <c r="C149" s="1">
        <v>41857</v>
      </c>
      <c r="D149">
        <v>3.1509999999999998</v>
      </c>
      <c r="E149" s="1">
        <v>41848</v>
      </c>
      <c r="F149">
        <v>0.25</v>
      </c>
    </row>
    <row r="150" spans="1:6" x14ac:dyDescent="0.25">
      <c r="A150" s="1">
        <v>41858</v>
      </c>
      <c r="B150">
        <v>3.58</v>
      </c>
      <c r="C150" s="1">
        <v>41858</v>
      </c>
      <c r="D150">
        <v>3.11</v>
      </c>
      <c r="E150" s="1">
        <v>41849</v>
      </c>
      <c r="F150">
        <v>0.25</v>
      </c>
    </row>
    <row r="151" spans="1:6" x14ac:dyDescent="0.25">
      <c r="A151" s="1">
        <v>41859</v>
      </c>
      <c r="B151">
        <v>3.54</v>
      </c>
      <c r="C151" s="1">
        <v>41859</v>
      </c>
      <c r="D151">
        <v>3.1</v>
      </c>
      <c r="E151" s="1">
        <v>41850</v>
      </c>
      <c r="F151">
        <v>0.25</v>
      </c>
    </row>
    <row r="152" spans="1:6" x14ac:dyDescent="0.25">
      <c r="A152" s="1">
        <v>41862</v>
      </c>
      <c r="B152">
        <v>3.4</v>
      </c>
      <c r="C152" s="1">
        <v>41862</v>
      </c>
      <c r="D152">
        <v>2.97</v>
      </c>
      <c r="E152" s="1">
        <v>41851</v>
      </c>
      <c r="F152">
        <v>0.25</v>
      </c>
    </row>
    <row r="153" spans="1:6" x14ac:dyDescent="0.25">
      <c r="A153" s="1">
        <v>41863</v>
      </c>
      <c r="B153">
        <v>3.42</v>
      </c>
      <c r="C153" s="1">
        <v>41863</v>
      </c>
      <c r="D153">
        <v>3</v>
      </c>
      <c r="E153" s="1">
        <v>41852</v>
      </c>
      <c r="F153">
        <v>0.25</v>
      </c>
    </row>
    <row r="154" spans="1:6" x14ac:dyDescent="0.25">
      <c r="A154" s="1">
        <v>41864</v>
      </c>
      <c r="B154">
        <v>3.42</v>
      </c>
      <c r="C154" s="1">
        <v>41864</v>
      </c>
      <c r="D154">
        <v>2.96</v>
      </c>
      <c r="E154" s="1">
        <v>41855</v>
      </c>
      <c r="F154">
        <v>0.25</v>
      </c>
    </row>
    <row r="155" spans="1:6" x14ac:dyDescent="0.25">
      <c r="A155" s="1">
        <v>41865</v>
      </c>
      <c r="B155">
        <v>3.42</v>
      </c>
      <c r="C155" s="1">
        <v>41865</v>
      </c>
      <c r="D155">
        <v>3</v>
      </c>
      <c r="E155" s="1">
        <v>41856</v>
      </c>
      <c r="F155">
        <v>0.25</v>
      </c>
    </row>
    <row r="156" spans="1:6" x14ac:dyDescent="0.25">
      <c r="A156" s="1">
        <v>41866</v>
      </c>
      <c r="B156">
        <v>3.53</v>
      </c>
      <c r="C156" s="1">
        <v>41866</v>
      </c>
      <c r="D156">
        <v>3.05</v>
      </c>
      <c r="E156" s="1">
        <v>41857</v>
      </c>
      <c r="F156">
        <v>0.25</v>
      </c>
    </row>
    <row r="157" spans="1:6" x14ac:dyDescent="0.25">
      <c r="A157" s="1">
        <v>41869</v>
      </c>
      <c r="B157">
        <v>3.4</v>
      </c>
      <c r="C157" s="1">
        <v>41869</v>
      </c>
      <c r="D157">
        <v>3</v>
      </c>
      <c r="E157" s="1">
        <v>41858</v>
      </c>
      <c r="F157">
        <v>0.25</v>
      </c>
    </row>
    <row r="158" spans="1:6" x14ac:dyDescent="0.25">
      <c r="A158" s="1">
        <v>41870</v>
      </c>
      <c r="B158">
        <v>3.3</v>
      </c>
      <c r="C158" s="1">
        <v>41870</v>
      </c>
      <c r="D158">
        <v>3.0859999999999999</v>
      </c>
      <c r="E158" s="1">
        <v>41859</v>
      </c>
      <c r="F158">
        <v>0.25</v>
      </c>
    </row>
    <row r="159" spans="1:6" x14ac:dyDescent="0.25">
      <c r="A159" s="1">
        <v>41871</v>
      </c>
      <c r="B159">
        <v>3.31</v>
      </c>
      <c r="C159" s="1">
        <v>41871</v>
      </c>
      <c r="D159">
        <v>2.85</v>
      </c>
      <c r="E159" s="1">
        <v>41862</v>
      </c>
      <c r="F159">
        <v>0.25</v>
      </c>
    </row>
    <row r="160" spans="1:6" x14ac:dyDescent="0.25">
      <c r="A160" s="1">
        <v>41872</v>
      </c>
      <c r="B160">
        <v>3.5</v>
      </c>
      <c r="C160" s="1">
        <v>41872</v>
      </c>
      <c r="D160">
        <v>3</v>
      </c>
      <c r="E160" s="1">
        <v>41863</v>
      </c>
      <c r="F160">
        <v>0.25</v>
      </c>
    </row>
    <row r="161" spans="1:6" x14ac:dyDescent="0.25">
      <c r="A161" s="1">
        <v>41873</v>
      </c>
      <c r="B161">
        <v>3.5</v>
      </c>
      <c r="C161" s="1">
        <v>41873</v>
      </c>
      <c r="D161">
        <v>2.95</v>
      </c>
      <c r="E161" s="1">
        <v>41864</v>
      </c>
      <c r="F161">
        <v>0.25</v>
      </c>
    </row>
    <row r="162" spans="1:6" x14ac:dyDescent="0.25">
      <c r="A162" s="1">
        <v>41876</v>
      </c>
      <c r="B162">
        <v>3.5</v>
      </c>
      <c r="C162" s="1">
        <v>41876</v>
      </c>
      <c r="D162">
        <v>2.8410000000000002</v>
      </c>
      <c r="E162" s="1">
        <v>41865</v>
      </c>
      <c r="F162">
        <v>0.25</v>
      </c>
    </row>
    <row r="163" spans="1:6" x14ac:dyDescent="0.25">
      <c r="A163" s="1">
        <v>41877</v>
      </c>
      <c r="B163">
        <v>3.29</v>
      </c>
      <c r="C163" s="1">
        <v>41877</v>
      </c>
      <c r="D163">
        <v>2.92</v>
      </c>
      <c r="E163" s="1">
        <v>41866</v>
      </c>
      <c r="F163">
        <v>0.25</v>
      </c>
    </row>
    <row r="164" spans="1:6" x14ac:dyDescent="0.25">
      <c r="A164" s="1">
        <v>41878</v>
      </c>
      <c r="B164">
        <v>3.42</v>
      </c>
      <c r="C164" s="1">
        <v>41878</v>
      </c>
      <c r="D164">
        <v>3</v>
      </c>
      <c r="E164" s="1">
        <v>41869</v>
      </c>
      <c r="F164">
        <v>0.25</v>
      </c>
    </row>
    <row r="165" spans="1:6" x14ac:dyDescent="0.25">
      <c r="A165" s="1">
        <v>41879</v>
      </c>
      <c r="B165">
        <v>3.72</v>
      </c>
      <c r="C165" s="1">
        <v>41879</v>
      </c>
      <c r="D165">
        <v>2.95</v>
      </c>
      <c r="E165" s="1">
        <v>41870</v>
      </c>
      <c r="F165">
        <v>0.25</v>
      </c>
    </row>
    <row r="166" spans="1:6" x14ac:dyDescent="0.25">
      <c r="A166" s="1">
        <v>41880</v>
      </c>
      <c r="B166">
        <v>3.79</v>
      </c>
      <c r="C166" s="1">
        <v>41880</v>
      </c>
      <c r="D166">
        <v>3</v>
      </c>
      <c r="E166" s="1">
        <v>41871</v>
      </c>
      <c r="F166">
        <v>0.25</v>
      </c>
    </row>
    <row r="167" spans="1:6" x14ac:dyDescent="0.25">
      <c r="A167" s="1">
        <v>41883</v>
      </c>
      <c r="B167">
        <v>3.5</v>
      </c>
      <c r="C167" s="1">
        <v>41883</v>
      </c>
      <c r="D167">
        <v>2.9</v>
      </c>
      <c r="E167" s="1">
        <v>41872</v>
      </c>
      <c r="F167">
        <v>0.25</v>
      </c>
    </row>
    <row r="168" spans="1:6" x14ac:dyDescent="0.25">
      <c r="A168" s="1">
        <v>41884</v>
      </c>
      <c r="B168">
        <v>3.55</v>
      </c>
      <c r="C168" s="1">
        <v>41884</v>
      </c>
      <c r="D168">
        <v>2.9</v>
      </c>
      <c r="E168" s="1">
        <v>41873</v>
      </c>
      <c r="F168">
        <v>0.25</v>
      </c>
    </row>
    <row r="169" spans="1:6" x14ac:dyDescent="0.25">
      <c r="A169" s="1">
        <v>41885</v>
      </c>
      <c r="B169">
        <v>3.4</v>
      </c>
      <c r="C169" s="1">
        <v>41885</v>
      </c>
      <c r="D169">
        <v>2.86</v>
      </c>
      <c r="E169" s="1">
        <v>41876</v>
      </c>
      <c r="F169">
        <v>0.25</v>
      </c>
    </row>
    <row r="170" spans="1:6" x14ac:dyDescent="0.25">
      <c r="A170" s="1">
        <v>41886</v>
      </c>
      <c r="B170">
        <v>3.3458000000000001</v>
      </c>
      <c r="C170" s="1">
        <v>41886</v>
      </c>
      <c r="D170">
        <v>2.85</v>
      </c>
      <c r="E170" s="1">
        <v>41877</v>
      </c>
      <c r="F170">
        <v>0.25</v>
      </c>
    </row>
    <row r="171" spans="1:6" x14ac:dyDescent="0.25">
      <c r="A171" s="1">
        <v>41887</v>
      </c>
      <c r="B171">
        <v>3.21</v>
      </c>
      <c r="C171" s="1">
        <v>41887</v>
      </c>
      <c r="D171">
        <v>2.9</v>
      </c>
      <c r="E171" s="1">
        <v>41878</v>
      </c>
      <c r="F171">
        <v>0.25</v>
      </c>
    </row>
    <row r="172" spans="1:6" x14ac:dyDescent="0.25">
      <c r="A172" s="1">
        <v>41891</v>
      </c>
      <c r="B172">
        <v>3.29</v>
      </c>
      <c r="C172" s="1">
        <v>41891</v>
      </c>
      <c r="D172">
        <v>2.84</v>
      </c>
      <c r="E172" s="1">
        <v>41879</v>
      </c>
      <c r="F172">
        <v>0.25</v>
      </c>
    </row>
    <row r="173" spans="1:6" x14ac:dyDescent="0.25">
      <c r="A173" s="1">
        <v>41892</v>
      </c>
      <c r="B173">
        <v>3.25</v>
      </c>
      <c r="C173" s="1">
        <v>41892</v>
      </c>
      <c r="D173">
        <v>2.98</v>
      </c>
      <c r="E173" s="1">
        <v>41880</v>
      </c>
      <c r="F173">
        <v>0.25</v>
      </c>
    </row>
    <row r="174" spans="1:6" x14ac:dyDescent="0.25">
      <c r="A174" s="1">
        <v>41893</v>
      </c>
      <c r="B174">
        <v>3.27</v>
      </c>
      <c r="C174" s="1">
        <v>41893</v>
      </c>
      <c r="D174">
        <v>2.98</v>
      </c>
      <c r="E174" s="1">
        <v>41883</v>
      </c>
      <c r="F174">
        <v>0.25</v>
      </c>
    </row>
    <row r="175" spans="1:6" x14ac:dyDescent="0.25">
      <c r="A175" s="1">
        <v>41894</v>
      </c>
      <c r="B175">
        <v>3.4</v>
      </c>
      <c r="C175" s="1">
        <v>41894</v>
      </c>
      <c r="D175">
        <v>2.93</v>
      </c>
      <c r="E175" s="1">
        <v>41884</v>
      </c>
      <c r="F175">
        <v>0.25</v>
      </c>
    </row>
    <row r="176" spans="1:6" x14ac:dyDescent="0.25">
      <c r="A176" s="1">
        <v>41897</v>
      </c>
      <c r="B176">
        <v>3.43</v>
      </c>
      <c r="C176" s="1">
        <v>41897</v>
      </c>
      <c r="D176">
        <v>2.91</v>
      </c>
      <c r="E176" s="1">
        <v>41885</v>
      </c>
      <c r="F176">
        <v>0.25</v>
      </c>
    </row>
    <row r="177" spans="1:6" x14ac:dyDescent="0.25">
      <c r="A177" s="1">
        <v>41898</v>
      </c>
      <c r="B177">
        <v>3.45</v>
      </c>
      <c r="C177" s="1">
        <v>41898</v>
      </c>
      <c r="D177">
        <v>2.92</v>
      </c>
      <c r="E177" s="1">
        <v>41886</v>
      </c>
      <c r="F177">
        <v>0.25</v>
      </c>
    </row>
    <row r="178" spans="1:6" x14ac:dyDescent="0.25">
      <c r="A178" s="1">
        <v>41899</v>
      </c>
      <c r="B178">
        <v>3.39</v>
      </c>
      <c r="C178" s="1">
        <v>41899</v>
      </c>
      <c r="D178">
        <v>2.95</v>
      </c>
      <c r="E178" s="1">
        <v>41887</v>
      </c>
      <c r="F178">
        <v>0.25</v>
      </c>
    </row>
    <row r="179" spans="1:6" x14ac:dyDescent="0.25">
      <c r="A179" s="1">
        <v>41900</v>
      </c>
      <c r="B179">
        <v>3.4</v>
      </c>
      <c r="C179" s="1">
        <v>41900</v>
      </c>
      <c r="D179">
        <v>2.93</v>
      </c>
      <c r="E179" s="1">
        <v>41890</v>
      </c>
      <c r="F179">
        <v>0.25</v>
      </c>
    </row>
    <row r="180" spans="1:6" x14ac:dyDescent="0.25">
      <c r="A180" s="1">
        <v>41901</v>
      </c>
      <c r="B180">
        <v>3.4</v>
      </c>
      <c r="C180" s="1">
        <v>41901</v>
      </c>
      <c r="D180">
        <v>2.9</v>
      </c>
      <c r="E180" s="1">
        <v>41891</v>
      </c>
      <c r="F180">
        <v>0.25</v>
      </c>
    </row>
    <row r="181" spans="1:6" x14ac:dyDescent="0.25">
      <c r="A181" s="1">
        <v>41904</v>
      </c>
      <c r="B181">
        <v>3.26</v>
      </c>
      <c r="C181" s="1">
        <v>41904</v>
      </c>
      <c r="D181">
        <v>2.85</v>
      </c>
      <c r="E181" s="1">
        <v>41892</v>
      </c>
      <c r="F181">
        <v>0.25</v>
      </c>
    </row>
    <row r="182" spans="1:6" x14ac:dyDescent="0.25">
      <c r="A182" s="1">
        <v>41905</v>
      </c>
      <c r="B182">
        <v>3.13</v>
      </c>
      <c r="C182" s="1">
        <v>41905</v>
      </c>
      <c r="D182">
        <v>2.79</v>
      </c>
      <c r="E182" s="1">
        <v>41893</v>
      </c>
      <c r="F182">
        <v>0.25</v>
      </c>
    </row>
    <row r="183" spans="1:6" x14ac:dyDescent="0.25">
      <c r="A183" s="1">
        <v>41906</v>
      </c>
      <c r="B183">
        <v>3.34</v>
      </c>
      <c r="C183" s="1">
        <v>41906</v>
      </c>
      <c r="D183">
        <v>2.76</v>
      </c>
      <c r="E183" s="1">
        <v>41894</v>
      </c>
      <c r="F183">
        <v>0.25</v>
      </c>
    </row>
    <row r="184" spans="1:6" x14ac:dyDescent="0.25">
      <c r="A184" s="1">
        <v>41907</v>
      </c>
      <c r="B184">
        <v>3.25</v>
      </c>
      <c r="C184" s="1">
        <v>41907</v>
      </c>
      <c r="D184">
        <v>2.75</v>
      </c>
      <c r="E184" s="1">
        <v>41897</v>
      </c>
      <c r="F184">
        <v>0.25</v>
      </c>
    </row>
    <row r="185" spans="1:6" x14ac:dyDescent="0.25">
      <c r="A185" s="1">
        <v>41908</v>
      </c>
      <c r="B185">
        <v>3.28</v>
      </c>
      <c r="C185" s="1">
        <v>41908</v>
      </c>
      <c r="D185">
        <v>2.67</v>
      </c>
      <c r="E185" s="1">
        <v>41898</v>
      </c>
      <c r="F185">
        <v>0.25</v>
      </c>
    </row>
    <row r="186" spans="1:6" x14ac:dyDescent="0.25">
      <c r="A186" s="1">
        <v>41910</v>
      </c>
      <c r="B186">
        <v>3.01</v>
      </c>
      <c r="C186" s="1">
        <v>41910</v>
      </c>
      <c r="D186">
        <v>2.67</v>
      </c>
      <c r="E186" s="1">
        <v>41899</v>
      </c>
      <c r="F186">
        <v>0.25</v>
      </c>
    </row>
    <row r="187" spans="1:6" x14ac:dyDescent="0.25">
      <c r="A187" s="1">
        <v>41911</v>
      </c>
      <c r="B187">
        <v>3</v>
      </c>
      <c r="C187" s="1">
        <v>41911</v>
      </c>
      <c r="D187">
        <v>2.5499999999999998</v>
      </c>
      <c r="E187" s="1">
        <v>41900</v>
      </c>
      <c r="F187">
        <v>0.25</v>
      </c>
    </row>
    <row r="188" spans="1:6" x14ac:dyDescent="0.25">
      <c r="A188" s="1">
        <v>41912</v>
      </c>
      <c r="B188">
        <v>2.9</v>
      </c>
      <c r="C188" s="1">
        <v>41912</v>
      </c>
      <c r="D188">
        <v>2.72</v>
      </c>
      <c r="E188" s="1">
        <v>41901</v>
      </c>
      <c r="F188">
        <v>0.25</v>
      </c>
    </row>
    <row r="189" spans="1:6" x14ac:dyDescent="0.25">
      <c r="A189" s="1">
        <v>41920</v>
      </c>
      <c r="B189">
        <v>3.09</v>
      </c>
      <c r="C189" s="1">
        <v>41920</v>
      </c>
      <c r="D189">
        <v>2.6</v>
      </c>
      <c r="E189" s="1">
        <v>41904</v>
      </c>
      <c r="F189">
        <v>0.25</v>
      </c>
    </row>
    <row r="190" spans="1:6" x14ac:dyDescent="0.25">
      <c r="A190" s="1">
        <v>41921</v>
      </c>
      <c r="B190">
        <v>3.05</v>
      </c>
      <c r="C190" s="1">
        <v>41921</v>
      </c>
      <c r="D190">
        <v>2.6</v>
      </c>
      <c r="E190" s="1">
        <v>41905</v>
      </c>
      <c r="F190">
        <v>0.25</v>
      </c>
    </row>
    <row r="191" spans="1:6" x14ac:dyDescent="0.25">
      <c r="A191" s="1">
        <v>41922</v>
      </c>
      <c r="B191">
        <v>3.18</v>
      </c>
      <c r="C191" s="1">
        <v>41922</v>
      </c>
      <c r="D191">
        <v>2.61</v>
      </c>
      <c r="E191" s="1">
        <v>41906</v>
      </c>
      <c r="F191">
        <v>0.25</v>
      </c>
    </row>
    <row r="192" spans="1:6" x14ac:dyDescent="0.25">
      <c r="A192" s="1">
        <v>41923</v>
      </c>
      <c r="B192">
        <v>3</v>
      </c>
      <c r="C192" s="1">
        <v>41923</v>
      </c>
      <c r="D192">
        <v>2.5499999999999998</v>
      </c>
      <c r="E192" s="1">
        <v>41907</v>
      </c>
      <c r="F192">
        <v>0.25</v>
      </c>
    </row>
    <row r="193" spans="1:6" x14ac:dyDescent="0.25">
      <c r="A193" s="1">
        <v>41925</v>
      </c>
      <c r="B193">
        <v>3.05</v>
      </c>
      <c r="C193" s="1">
        <v>41925</v>
      </c>
      <c r="D193">
        <v>2.63</v>
      </c>
      <c r="E193" s="1">
        <v>41908</v>
      </c>
      <c r="F193">
        <v>0.25</v>
      </c>
    </row>
    <row r="194" spans="1:6" x14ac:dyDescent="0.25">
      <c r="A194" s="1">
        <v>41926</v>
      </c>
      <c r="B194">
        <v>3.01</v>
      </c>
      <c r="C194" s="1">
        <v>41926</v>
      </c>
      <c r="D194">
        <v>2.62</v>
      </c>
      <c r="E194" s="1">
        <v>41911</v>
      </c>
      <c r="F194">
        <v>0.25</v>
      </c>
    </row>
    <row r="195" spans="1:6" x14ac:dyDescent="0.25">
      <c r="A195" s="1">
        <v>41927</v>
      </c>
      <c r="B195">
        <v>2.99</v>
      </c>
      <c r="C195" s="1">
        <v>41927</v>
      </c>
      <c r="D195">
        <v>2.5299999999999998</v>
      </c>
      <c r="E195" s="1">
        <v>41912</v>
      </c>
      <c r="F195">
        <v>0.25</v>
      </c>
    </row>
    <row r="196" spans="1:6" x14ac:dyDescent="0.25">
      <c r="A196" s="1">
        <v>41928</v>
      </c>
      <c r="B196">
        <v>3.05</v>
      </c>
      <c r="C196" s="1">
        <v>41928</v>
      </c>
      <c r="D196">
        <v>2.5499999999999998</v>
      </c>
      <c r="E196" s="1">
        <v>41913</v>
      </c>
      <c r="F196">
        <v>0.25</v>
      </c>
    </row>
    <row r="197" spans="1:6" x14ac:dyDescent="0.25">
      <c r="A197" s="1">
        <v>41929</v>
      </c>
      <c r="B197">
        <v>3.04</v>
      </c>
      <c r="C197" s="1">
        <v>41929</v>
      </c>
      <c r="D197">
        <v>2.52</v>
      </c>
      <c r="E197" s="1">
        <v>41914</v>
      </c>
      <c r="F197">
        <v>0.25</v>
      </c>
    </row>
    <row r="198" spans="1:6" x14ac:dyDescent="0.25">
      <c r="A198" s="1">
        <v>41932</v>
      </c>
      <c r="B198">
        <v>2.95</v>
      </c>
      <c r="C198" s="1">
        <v>41932</v>
      </c>
      <c r="D198">
        <v>2.5</v>
      </c>
      <c r="E198" s="1">
        <v>41915</v>
      </c>
      <c r="F198">
        <v>0.25</v>
      </c>
    </row>
    <row r="199" spans="1:6" x14ac:dyDescent="0.25">
      <c r="A199" s="1">
        <v>41933</v>
      </c>
      <c r="B199">
        <v>3</v>
      </c>
      <c r="C199" s="1">
        <v>41933</v>
      </c>
      <c r="D199">
        <v>2.5099999999999998</v>
      </c>
      <c r="E199" s="1">
        <v>41918</v>
      </c>
      <c r="F199">
        <v>0.25</v>
      </c>
    </row>
    <row r="200" spans="1:6" x14ac:dyDescent="0.25">
      <c r="A200" s="1">
        <v>41934</v>
      </c>
      <c r="B200">
        <v>2.99</v>
      </c>
      <c r="C200" s="1">
        <v>41934</v>
      </c>
      <c r="D200">
        <v>2.5099999999999998</v>
      </c>
      <c r="E200" s="1">
        <v>41919</v>
      </c>
      <c r="F200">
        <v>0.25</v>
      </c>
    </row>
    <row r="201" spans="1:6" x14ac:dyDescent="0.25">
      <c r="A201" s="1">
        <v>41935</v>
      </c>
      <c r="B201">
        <v>3.09</v>
      </c>
      <c r="C201" s="1">
        <v>41935</v>
      </c>
      <c r="D201">
        <v>2.5099999999999998</v>
      </c>
      <c r="E201" s="1">
        <v>41920</v>
      </c>
      <c r="F201">
        <v>0.25</v>
      </c>
    </row>
    <row r="202" spans="1:6" x14ac:dyDescent="0.25">
      <c r="A202" s="1">
        <v>41936</v>
      </c>
      <c r="B202">
        <v>3.1</v>
      </c>
      <c r="C202" s="1">
        <v>41936</v>
      </c>
      <c r="D202">
        <v>2.5499999999999998</v>
      </c>
      <c r="E202" s="1">
        <v>41921</v>
      </c>
      <c r="F202">
        <v>0.25</v>
      </c>
    </row>
    <row r="203" spans="1:6" x14ac:dyDescent="0.25">
      <c r="A203" s="1">
        <v>41939</v>
      </c>
      <c r="B203">
        <v>3.13</v>
      </c>
      <c r="C203" s="1">
        <v>41939</v>
      </c>
      <c r="D203">
        <v>2.58</v>
      </c>
      <c r="E203" s="1">
        <v>41922</v>
      </c>
      <c r="F203">
        <v>0.25</v>
      </c>
    </row>
    <row r="204" spans="1:6" x14ac:dyDescent="0.25">
      <c r="A204" s="1">
        <v>41940</v>
      </c>
      <c r="B204">
        <v>3.18</v>
      </c>
      <c r="C204" s="1">
        <v>41940</v>
      </c>
      <c r="D204">
        <v>2.58</v>
      </c>
      <c r="E204" s="1">
        <v>41925</v>
      </c>
      <c r="F204">
        <v>0.25</v>
      </c>
    </row>
    <row r="205" spans="1:6" x14ac:dyDescent="0.25">
      <c r="A205" s="1">
        <v>41941</v>
      </c>
      <c r="B205">
        <v>3.25</v>
      </c>
      <c r="C205" s="1">
        <v>41941</v>
      </c>
      <c r="D205">
        <v>2.63</v>
      </c>
      <c r="E205" s="1">
        <v>41926</v>
      </c>
      <c r="F205">
        <v>0.25</v>
      </c>
    </row>
    <row r="206" spans="1:6" x14ac:dyDescent="0.25">
      <c r="A206" s="1">
        <v>41942</v>
      </c>
      <c r="B206">
        <v>3.25</v>
      </c>
      <c r="C206" s="1">
        <v>41942</v>
      </c>
      <c r="D206">
        <v>2.64</v>
      </c>
      <c r="E206" s="1">
        <v>41927</v>
      </c>
      <c r="F206">
        <v>0.25</v>
      </c>
    </row>
    <row r="207" spans="1:6" x14ac:dyDescent="0.25">
      <c r="A207" s="1">
        <v>41943</v>
      </c>
      <c r="B207">
        <v>3.28</v>
      </c>
      <c r="C207" s="1">
        <v>41943</v>
      </c>
      <c r="D207">
        <v>2.65</v>
      </c>
      <c r="E207" s="1">
        <v>41928</v>
      </c>
      <c r="F207">
        <v>0.25</v>
      </c>
    </row>
    <row r="208" spans="1:6" x14ac:dyDescent="0.25">
      <c r="A208" s="1">
        <v>41946</v>
      </c>
      <c r="B208">
        <v>3.31</v>
      </c>
      <c r="C208" s="1">
        <v>41946</v>
      </c>
      <c r="D208">
        <v>2.62</v>
      </c>
      <c r="E208" s="1">
        <v>41929</v>
      </c>
      <c r="F208">
        <v>0.25</v>
      </c>
    </row>
    <row r="209" spans="1:6" x14ac:dyDescent="0.25">
      <c r="A209" s="1">
        <v>41947</v>
      </c>
      <c r="B209">
        <v>3.21</v>
      </c>
      <c r="C209" s="1">
        <v>41947</v>
      </c>
      <c r="D209">
        <v>2.65</v>
      </c>
      <c r="E209" s="1">
        <v>41932</v>
      </c>
      <c r="F209">
        <v>0.25</v>
      </c>
    </row>
    <row r="210" spans="1:6" x14ac:dyDescent="0.25">
      <c r="A210" s="1">
        <v>41948</v>
      </c>
      <c r="B210">
        <v>3.22</v>
      </c>
      <c r="C210" s="1">
        <v>41948</v>
      </c>
      <c r="D210">
        <v>2.65</v>
      </c>
      <c r="E210" s="1">
        <v>41933</v>
      </c>
      <c r="F210">
        <v>0.25</v>
      </c>
    </row>
    <row r="211" spans="1:6" x14ac:dyDescent="0.25">
      <c r="A211" s="1">
        <v>41949</v>
      </c>
      <c r="B211">
        <v>3.18</v>
      </c>
      <c r="C211" s="1">
        <v>41949</v>
      </c>
      <c r="D211">
        <v>2.66</v>
      </c>
      <c r="E211" s="1">
        <v>41934</v>
      </c>
      <c r="F211">
        <v>0.25</v>
      </c>
    </row>
    <row r="212" spans="1:6" x14ac:dyDescent="0.25">
      <c r="A212" s="1">
        <v>41950</v>
      </c>
      <c r="B212">
        <v>3.25</v>
      </c>
      <c r="C212" s="1">
        <v>41950</v>
      </c>
      <c r="D212">
        <v>2.74</v>
      </c>
      <c r="E212" s="1">
        <v>41935</v>
      </c>
      <c r="F212">
        <v>0.25</v>
      </c>
    </row>
    <row r="213" spans="1:6" x14ac:dyDescent="0.25">
      <c r="A213" s="1">
        <v>41953</v>
      </c>
      <c r="B213">
        <v>3.2</v>
      </c>
      <c r="C213" s="1">
        <v>41953</v>
      </c>
      <c r="D213">
        <v>2.62</v>
      </c>
      <c r="E213" s="1">
        <v>41936</v>
      </c>
      <c r="F213">
        <v>0.25</v>
      </c>
    </row>
    <row r="214" spans="1:6" x14ac:dyDescent="0.25">
      <c r="A214" s="1">
        <v>41954</v>
      </c>
      <c r="B214">
        <v>3.14</v>
      </c>
      <c r="C214" s="1">
        <v>41954</v>
      </c>
      <c r="D214">
        <v>2.59</v>
      </c>
      <c r="E214" s="1">
        <v>41939</v>
      </c>
      <c r="F214">
        <v>0.25</v>
      </c>
    </row>
    <row r="215" spans="1:6" x14ac:dyDescent="0.25">
      <c r="A215" s="1">
        <v>41955</v>
      </c>
      <c r="B215">
        <v>3.17</v>
      </c>
      <c r="C215" s="1">
        <v>41955</v>
      </c>
      <c r="D215">
        <v>2.56</v>
      </c>
      <c r="E215" s="1">
        <v>41940</v>
      </c>
      <c r="F215">
        <v>0.25</v>
      </c>
    </row>
    <row r="216" spans="1:6" x14ac:dyDescent="0.25">
      <c r="A216" s="1">
        <v>41956</v>
      </c>
      <c r="B216">
        <v>3.17</v>
      </c>
      <c r="C216" s="1">
        <v>41956</v>
      </c>
      <c r="D216">
        <v>2.56</v>
      </c>
      <c r="E216" s="1">
        <v>41941</v>
      </c>
      <c r="F216">
        <v>0.25</v>
      </c>
    </row>
    <row r="217" spans="1:6" x14ac:dyDescent="0.25">
      <c r="A217" s="1">
        <v>41957</v>
      </c>
      <c r="B217">
        <v>3.2</v>
      </c>
      <c r="C217" s="1">
        <v>41957</v>
      </c>
      <c r="D217">
        <v>2.59</v>
      </c>
      <c r="E217" s="1">
        <v>41942</v>
      </c>
      <c r="F217">
        <v>0.25</v>
      </c>
    </row>
    <row r="218" spans="1:6" x14ac:dyDescent="0.25">
      <c r="A218" s="1">
        <v>41960</v>
      </c>
      <c r="B218">
        <v>3.13</v>
      </c>
      <c r="C218" s="1">
        <v>41960</v>
      </c>
      <c r="D218">
        <v>2.6</v>
      </c>
      <c r="E218" s="1">
        <v>41943</v>
      </c>
      <c r="F218">
        <v>0.25</v>
      </c>
    </row>
    <row r="219" spans="1:6" x14ac:dyDescent="0.25">
      <c r="A219" s="1">
        <v>41961</v>
      </c>
      <c r="B219">
        <v>3.11</v>
      </c>
      <c r="C219" s="1">
        <v>41961</v>
      </c>
      <c r="D219">
        <v>2.56</v>
      </c>
      <c r="E219" s="1">
        <v>41946</v>
      </c>
      <c r="F219">
        <v>0.25</v>
      </c>
    </row>
    <row r="220" spans="1:6" x14ac:dyDescent="0.25">
      <c r="A220" s="1">
        <v>41962</v>
      </c>
      <c r="B220">
        <v>3.19</v>
      </c>
      <c r="C220" s="1">
        <v>41962</v>
      </c>
      <c r="D220">
        <v>2.6</v>
      </c>
      <c r="E220" s="1">
        <v>41947</v>
      </c>
      <c r="F220">
        <v>0.25</v>
      </c>
    </row>
    <row r="221" spans="1:6" x14ac:dyDescent="0.25">
      <c r="A221" s="1">
        <v>41963</v>
      </c>
      <c r="B221">
        <v>3.4</v>
      </c>
      <c r="C221" s="1">
        <v>41963</v>
      </c>
      <c r="D221">
        <v>2.67</v>
      </c>
      <c r="E221" s="1">
        <v>41948</v>
      </c>
      <c r="F221">
        <v>0.25</v>
      </c>
    </row>
    <row r="222" spans="1:6" x14ac:dyDescent="0.25">
      <c r="A222" s="1">
        <v>41964</v>
      </c>
      <c r="B222">
        <v>3.5</v>
      </c>
      <c r="C222" s="1">
        <v>41964</v>
      </c>
      <c r="D222">
        <v>2.66</v>
      </c>
      <c r="E222" s="1">
        <v>41949</v>
      </c>
      <c r="F222">
        <v>0.25</v>
      </c>
    </row>
    <row r="223" spans="1:6" x14ac:dyDescent="0.25">
      <c r="A223" s="1">
        <v>41967</v>
      </c>
      <c r="B223">
        <v>3.5</v>
      </c>
      <c r="C223" s="1">
        <v>41967</v>
      </c>
      <c r="D223">
        <v>2.73</v>
      </c>
      <c r="E223" s="1">
        <v>41950</v>
      </c>
      <c r="F223">
        <v>0.25</v>
      </c>
    </row>
    <row r="224" spans="1:6" x14ac:dyDescent="0.25">
      <c r="A224" s="1">
        <v>41968</v>
      </c>
      <c r="B224">
        <v>3.3</v>
      </c>
      <c r="C224" s="1">
        <v>41968</v>
      </c>
      <c r="D224">
        <v>2.78</v>
      </c>
      <c r="E224" s="1">
        <v>41953</v>
      </c>
      <c r="F224">
        <v>0.25</v>
      </c>
    </row>
    <row r="225" spans="1:6" x14ac:dyDescent="0.25">
      <c r="A225" s="1">
        <v>41969</v>
      </c>
      <c r="B225">
        <v>3.27</v>
      </c>
      <c r="C225" s="1">
        <v>41969</v>
      </c>
      <c r="D225">
        <v>2.67</v>
      </c>
      <c r="E225" s="1">
        <v>41954</v>
      </c>
      <c r="F225">
        <v>0.25</v>
      </c>
    </row>
    <row r="226" spans="1:6" x14ac:dyDescent="0.25">
      <c r="A226" s="1">
        <v>41970</v>
      </c>
      <c r="B226">
        <v>3.5</v>
      </c>
      <c r="C226" s="1">
        <v>41970</v>
      </c>
      <c r="D226">
        <v>2.75</v>
      </c>
      <c r="E226" s="1">
        <v>41955</v>
      </c>
      <c r="F226">
        <v>0.25</v>
      </c>
    </row>
    <row r="227" spans="1:6" x14ac:dyDescent="0.25">
      <c r="A227" s="1">
        <v>41971</v>
      </c>
      <c r="B227">
        <v>3.45</v>
      </c>
      <c r="C227" s="1">
        <v>41971</v>
      </c>
      <c r="D227">
        <v>2.68</v>
      </c>
      <c r="E227" s="1">
        <v>41956</v>
      </c>
      <c r="F227">
        <v>0.25</v>
      </c>
    </row>
    <row r="228" spans="1:6" x14ac:dyDescent="0.25">
      <c r="A228" s="1">
        <v>41974</v>
      </c>
      <c r="B228">
        <v>3.35</v>
      </c>
      <c r="C228" s="1">
        <v>41974</v>
      </c>
      <c r="D228">
        <v>2.68</v>
      </c>
      <c r="E228" s="1">
        <v>41957</v>
      </c>
      <c r="F228">
        <v>0.25</v>
      </c>
    </row>
    <row r="229" spans="1:6" x14ac:dyDescent="0.25">
      <c r="A229" s="1">
        <v>41975</v>
      </c>
      <c r="B229">
        <v>3.4674999999999998</v>
      </c>
      <c r="C229" s="1">
        <v>41975</v>
      </c>
      <c r="D229">
        <v>2.72</v>
      </c>
      <c r="E229" s="1">
        <v>41960</v>
      </c>
      <c r="F229">
        <v>0.25</v>
      </c>
    </row>
    <row r="230" spans="1:6" x14ac:dyDescent="0.25">
      <c r="A230" s="1">
        <v>41976</v>
      </c>
      <c r="B230">
        <v>3.52</v>
      </c>
      <c r="C230" s="1">
        <v>41976</v>
      </c>
      <c r="D230">
        <v>2.71</v>
      </c>
      <c r="E230" s="1">
        <v>41961</v>
      </c>
      <c r="F230">
        <v>0.25</v>
      </c>
    </row>
    <row r="231" spans="1:6" x14ac:dyDescent="0.25">
      <c r="A231" s="1">
        <v>41977</v>
      </c>
      <c r="B231">
        <v>3.59</v>
      </c>
      <c r="C231" s="1">
        <v>41977</v>
      </c>
      <c r="D231">
        <v>2.7</v>
      </c>
      <c r="E231" s="1">
        <v>41962</v>
      </c>
      <c r="F231">
        <v>0.25</v>
      </c>
    </row>
    <row r="232" spans="1:6" x14ac:dyDescent="0.25">
      <c r="A232" s="1">
        <v>41978</v>
      </c>
      <c r="B232">
        <v>3.45</v>
      </c>
      <c r="C232" s="1">
        <v>41978</v>
      </c>
      <c r="D232">
        <v>2.7</v>
      </c>
      <c r="E232" s="1">
        <v>41963</v>
      </c>
      <c r="F232">
        <v>0.25</v>
      </c>
    </row>
    <row r="233" spans="1:6" x14ac:dyDescent="0.25">
      <c r="A233" s="1">
        <v>41981</v>
      </c>
      <c r="B233">
        <v>3.45</v>
      </c>
      <c r="C233" s="1">
        <v>41981</v>
      </c>
      <c r="D233">
        <v>2.72</v>
      </c>
      <c r="E233" s="1">
        <v>41964</v>
      </c>
      <c r="F233">
        <v>0.25</v>
      </c>
    </row>
    <row r="234" spans="1:6" x14ac:dyDescent="0.25">
      <c r="A234" s="1">
        <v>41982</v>
      </c>
      <c r="B234">
        <v>3.47</v>
      </c>
      <c r="C234" s="1">
        <v>41982</v>
      </c>
      <c r="D234">
        <v>2.7</v>
      </c>
      <c r="E234" s="1">
        <v>41967</v>
      </c>
      <c r="F234">
        <v>0.25</v>
      </c>
    </row>
    <row r="235" spans="1:6" x14ac:dyDescent="0.25">
      <c r="A235" s="1">
        <v>41983</v>
      </c>
      <c r="B235">
        <v>3.6</v>
      </c>
      <c r="C235" s="1">
        <v>41983</v>
      </c>
      <c r="D235">
        <v>2.75</v>
      </c>
      <c r="E235" s="1">
        <v>41968</v>
      </c>
      <c r="F235">
        <v>0.25</v>
      </c>
    </row>
    <row r="236" spans="1:6" x14ac:dyDescent="0.25">
      <c r="A236" s="1">
        <v>41984</v>
      </c>
      <c r="B236">
        <v>3.63</v>
      </c>
      <c r="C236" s="1">
        <v>41984</v>
      </c>
      <c r="D236">
        <v>2.75</v>
      </c>
      <c r="E236" s="1">
        <v>41969</v>
      </c>
      <c r="F236">
        <v>0.25</v>
      </c>
    </row>
    <row r="237" spans="1:6" x14ac:dyDescent="0.25">
      <c r="A237" s="1">
        <v>41985</v>
      </c>
      <c r="B237">
        <v>3.81</v>
      </c>
      <c r="C237" s="1">
        <v>41985</v>
      </c>
      <c r="D237">
        <v>2.72</v>
      </c>
      <c r="E237" s="1">
        <v>41970</v>
      </c>
      <c r="F237">
        <v>0.25</v>
      </c>
    </row>
    <row r="238" spans="1:6" x14ac:dyDescent="0.25">
      <c r="A238" s="1">
        <v>41988</v>
      </c>
      <c r="B238">
        <v>3.55</v>
      </c>
      <c r="C238" s="1">
        <v>41988</v>
      </c>
      <c r="D238">
        <v>2.85</v>
      </c>
      <c r="E238" s="1">
        <v>41971</v>
      </c>
      <c r="F238">
        <v>0.25</v>
      </c>
    </row>
    <row r="239" spans="1:6" x14ac:dyDescent="0.25">
      <c r="A239" s="1">
        <v>41989</v>
      </c>
      <c r="B239">
        <v>3.67</v>
      </c>
      <c r="C239" s="1">
        <v>41989</v>
      </c>
      <c r="D239">
        <v>2.88</v>
      </c>
      <c r="E239" s="1">
        <v>41974</v>
      </c>
      <c r="F239">
        <v>0.25</v>
      </c>
    </row>
    <row r="240" spans="1:6" x14ac:dyDescent="0.25">
      <c r="A240" s="1">
        <v>41990</v>
      </c>
      <c r="B240">
        <v>3.78</v>
      </c>
      <c r="C240" s="1">
        <v>41990</v>
      </c>
      <c r="D240">
        <v>2.99</v>
      </c>
      <c r="E240" s="1">
        <v>41975</v>
      </c>
      <c r="F240">
        <v>0.25</v>
      </c>
    </row>
    <row r="241" spans="1:6" x14ac:dyDescent="0.25">
      <c r="A241" s="1">
        <v>41991</v>
      </c>
      <c r="B241">
        <v>4.4000000000000004</v>
      </c>
      <c r="C241" s="1">
        <v>41991</v>
      </c>
      <c r="D241">
        <v>3.36</v>
      </c>
      <c r="E241" s="1">
        <v>41976</v>
      </c>
      <c r="F241">
        <v>0.25</v>
      </c>
    </row>
    <row r="242" spans="1:6" x14ac:dyDescent="0.25">
      <c r="A242" s="1">
        <v>41992</v>
      </c>
      <c r="B242">
        <v>5.94</v>
      </c>
      <c r="C242" s="1">
        <v>41992</v>
      </c>
      <c r="D242">
        <v>3.65</v>
      </c>
      <c r="E242" s="1">
        <v>41977</v>
      </c>
      <c r="F242">
        <v>0.25</v>
      </c>
    </row>
    <row r="243" spans="1:6" x14ac:dyDescent="0.25">
      <c r="A243" s="1">
        <v>41995</v>
      </c>
      <c r="B243">
        <v>5.72</v>
      </c>
      <c r="C243" s="1">
        <v>41995</v>
      </c>
      <c r="D243">
        <v>3.75</v>
      </c>
      <c r="E243" s="1">
        <v>41978</v>
      </c>
      <c r="F243">
        <v>0.25</v>
      </c>
    </row>
    <row r="244" spans="1:6" x14ac:dyDescent="0.25">
      <c r="A244" s="1">
        <v>41996</v>
      </c>
      <c r="B244">
        <v>5.5</v>
      </c>
      <c r="C244" s="1">
        <v>41996</v>
      </c>
      <c r="D244">
        <v>3.76</v>
      </c>
      <c r="E244" s="1">
        <v>41981</v>
      </c>
      <c r="F244">
        <v>0.25</v>
      </c>
    </row>
    <row r="245" spans="1:6" x14ac:dyDescent="0.25">
      <c r="A245" s="1">
        <v>41997</v>
      </c>
      <c r="B245">
        <v>5</v>
      </c>
      <c r="C245" s="1">
        <v>41997</v>
      </c>
      <c r="D245">
        <v>3.71</v>
      </c>
      <c r="E245" s="1">
        <v>41982</v>
      </c>
      <c r="F245">
        <v>0.25</v>
      </c>
    </row>
    <row r="246" spans="1:6" x14ac:dyDescent="0.25">
      <c r="A246" s="1">
        <v>41998</v>
      </c>
      <c r="B246">
        <v>4.87</v>
      </c>
      <c r="C246" s="1">
        <v>41998</v>
      </c>
      <c r="D246">
        <v>3.53</v>
      </c>
      <c r="E246" s="1">
        <v>41983</v>
      </c>
      <c r="F246">
        <v>0.25</v>
      </c>
    </row>
    <row r="247" spans="1:6" x14ac:dyDescent="0.25">
      <c r="A247" s="1">
        <v>41999</v>
      </c>
      <c r="B247">
        <v>4.74</v>
      </c>
      <c r="C247" s="1">
        <v>41999</v>
      </c>
      <c r="D247">
        <v>3.48</v>
      </c>
      <c r="E247" s="1">
        <v>41984</v>
      </c>
      <c r="F247">
        <v>0.25</v>
      </c>
    </row>
    <row r="248" spans="1:6" x14ac:dyDescent="0.25">
      <c r="A248" s="1">
        <v>42002</v>
      </c>
      <c r="B248">
        <v>4.6500000000000004</v>
      </c>
      <c r="C248" s="1">
        <v>42002</v>
      </c>
      <c r="D248">
        <v>3.4</v>
      </c>
      <c r="E248" s="1">
        <v>41985</v>
      </c>
      <c r="F248">
        <v>0.25</v>
      </c>
    </row>
    <row r="249" spans="1:6" x14ac:dyDescent="0.25">
      <c r="A249" s="1">
        <v>42003</v>
      </c>
      <c r="B249">
        <v>4.74</v>
      </c>
      <c r="C249" s="1">
        <v>42003</v>
      </c>
      <c r="D249">
        <v>3.55</v>
      </c>
      <c r="E249" s="1">
        <v>41988</v>
      </c>
      <c r="F249">
        <v>0.25</v>
      </c>
    </row>
    <row r="250" spans="1:6" x14ac:dyDescent="0.25">
      <c r="A250" s="1">
        <v>42004</v>
      </c>
      <c r="B250">
        <v>4.8099999999999996</v>
      </c>
      <c r="C250" s="1">
        <v>42004</v>
      </c>
      <c r="D250">
        <v>3.59</v>
      </c>
      <c r="E250" s="1">
        <v>41989</v>
      </c>
      <c r="F250">
        <v>0.25</v>
      </c>
    </row>
    <row r="251" spans="1:6" x14ac:dyDescent="0.25">
      <c r="A251" s="1">
        <v>42008</v>
      </c>
      <c r="B251">
        <v>4.8899999999999997</v>
      </c>
      <c r="C251" s="1">
        <v>42008</v>
      </c>
      <c r="D251">
        <v>3.61</v>
      </c>
      <c r="E251" s="1">
        <v>41990</v>
      </c>
      <c r="F251">
        <v>0.25</v>
      </c>
    </row>
    <row r="252" spans="1:6" x14ac:dyDescent="0.25">
      <c r="A252" s="1">
        <v>42009</v>
      </c>
      <c r="B252">
        <v>4.49</v>
      </c>
      <c r="C252" s="1">
        <v>42009</v>
      </c>
      <c r="D252">
        <v>3.3</v>
      </c>
      <c r="E252" s="1">
        <v>41991</v>
      </c>
      <c r="F252">
        <v>0.25</v>
      </c>
    </row>
    <row r="253" spans="1:6" x14ac:dyDescent="0.25">
      <c r="A253" s="1">
        <v>42010</v>
      </c>
      <c r="B253">
        <v>4.0599999999999996</v>
      </c>
      <c r="C253" s="1">
        <v>42010</v>
      </c>
      <c r="D253">
        <v>3.03</v>
      </c>
      <c r="E253" s="1">
        <v>41992</v>
      </c>
      <c r="F253">
        <v>0.25</v>
      </c>
    </row>
    <row r="254" spans="1:6" x14ac:dyDescent="0.25">
      <c r="A254" s="1">
        <v>42011</v>
      </c>
      <c r="B254">
        <v>3.87</v>
      </c>
      <c r="C254" s="1">
        <v>42011</v>
      </c>
      <c r="D254">
        <v>2.93</v>
      </c>
      <c r="E254" s="1">
        <v>41995</v>
      </c>
      <c r="F254">
        <v>0.25</v>
      </c>
    </row>
    <row r="255" spans="1:6" x14ac:dyDescent="0.25">
      <c r="A255" s="1">
        <v>42012</v>
      </c>
      <c r="B255">
        <v>3.74</v>
      </c>
      <c r="C255" s="1">
        <v>42012</v>
      </c>
      <c r="D255">
        <v>2.88</v>
      </c>
      <c r="E255" s="1">
        <v>41996</v>
      </c>
      <c r="F255">
        <v>0.25</v>
      </c>
    </row>
    <row r="256" spans="1:6" x14ac:dyDescent="0.25">
      <c r="A256" s="1">
        <v>42013</v>
      </c>
      <c r="B256">
        <v>3.8</v>
      </c>
      <c r="C256" s="1">
        <v>42013</v>
      </c>
      <c r="D256">
        <v>2.83</v>
      </c>
      <c r="E256" s="1">
        <v>41997</v>
      </c>
      <c r="F256">
        <v>0.25</v>
      </c>
    </row>
    <row r="257" spans="1:6" x14ac:dyDescent="0.25">
      <c r="A257" s="1">
        <v>42016</v>
      </c>
      <c r="B257">
        <v>3.82</v>
      </c>
      <c r="C257" s="1">
        <v>42016</v>
      </c>
      <c r="D257">
        <v>2.76</v>
      </c>
      <c r="E257" s="1">
        <v>41998</v>
      </c>
      <c r="F257">
        <v>0.25</v>
      </c>
    </row>
    <row r="258" spans="1:6" x14ac:dyDescent="0.25">
      <c r="A258" s="1">
        <v>42017</v>
      </c>
      <c r="B258">
        <v>3.84</v>
      </c>
      <c r="C258" s="1">
        <v>42017</v>
      </c>
      <c r="D258">
        <v>2.73</v>
      </c>
      <c r="E258" s="1">
        <v>41999</v>
      </c>
      <c r="F258">
        <v>0.25</v>
      </c>
    </row>
    <row r="259" spans="1:6" x14ac:dyDescent="0.25">
      <c r="A259" s="1">
        <v>42018</v>
      </c>
      <c r="B259">
        <v>3.9</v>
      </c>
      <c r="C259" s="1">
        <v>42018</v>
      </c>
      <c r="D259">
        <v>2.71</v>
      </c>
      <c r="E259" s="1">
        <v>42002</v>
      </c>
      <c r="F259">
        <v>0.25</v>
      </c>
    </row>
    <row r="260" spans="1:6" x14ac:dyDescent="0.25">
      <c r="A260" s="1">
        <v>42019</v>
      </c>
      <c r="B260">
        <v>3.84</v>
      </c>
      <c r="C260" s="1">
        <v>42019</v>
      </c>
      <c r="D260">
        <v>2.7</v>
      </c>
      <c r="E260" s="1">
        <v>42003</v>
      </c>
      <c r="F260">
        <v>0.25</v>
      </c>
    </row>
    <row r="261" spans="1:6" x14ac:dyDescent="0.25">
      <c r="A261" s="1">
        <v>42020</v>
      </c>
      <c r="B261">
        <v>3.94</v>
      </c>
      <c r="C261" s="1">
        <v>42020</v>
      </c>
      <c r="D261">
        <v>2.71</v>
      </c>
      <c r="E261" s="1">
        <v>42004</v>
      </c>
      <c r="F261">
        <v>0.25</v>
      </c>
    </row>
    <row r="262" spans="1:6" x14ac:dyDescent="0.25">
      <c r="A262" s="1">
        <v>42023</v>
      </c>
      <c r="B262">
        <v>3.75</v>
      </c>
      <c r="C262" s="1">
        <v>42023</v>
      </c>
      <c r="D262">
        <v>2.7</v>
      </c>
      <c r="E262" s="1">
        <v>42005</v>
      </c>
      <c r="F262">
        <v>0.25</v>
      </c>
    </row>
    <row r="263" spans="1:6" x14ac:dyDescent="0.25">
      <c r="A263" s="1">
        <v>42024</v>
      </c>
      <c r="B263">
        <v>3.73</v>
      </c>
      <c r="C263" s="1">
        <v>42024</v>
      </c>
      <c r="D263">
        <v>2.89</v>
      </c>
      <c r="E263" s="1">
        <v>42006</v>
      </c>
      <c r="F263">
        <v>0.25</v>
      </c>
    </row>
    <row r="264" spans="1:6" x14ac:dyDescent="0.25">
      <c r="A264" s="1">
        <v>42025</v>
      </c>
      <c r="B264">
        <v>4</v>
      </c>
      <c r="C264" s="1">
        <v>42025</v>
      </c>
      <c r="D264">
        <v>3</v>
      </c>
      <c r="E264" s="1">
        <v>42009</v>
      </c>
      <c r="F264">
        <v>0.25</v>
      </c>
    </row>
    <row r="265" spans="1:6" x14ac:dyDescent="0.25">
      <c r="A265" s="1">
        <v>42026</v>
      </c>
      <c r="B265">
        <v>4.1500000000000004</v>
      </c>
      <c r="C265" s="1">
        <v>42026</v>
      </c>
      <c r="D265">
        <v>2.9</v>
      </c>
      <c r="E265" s="1">
        <v>42010</v>
      </c>
      <c r="F265">
        <v>0.25</v>
      </c>
    </row>
    <row r="266" spans="1:6" x14ac:dyDescent="0.25">
      <c r="A266" s="1">
        <v>42027</v>
      </c>
      <c r="B266">
        <v>3.92</v>
      </c>
      <c r="C266" s="1">
        <v>42027</v>
      </c>
      <c r="D266">
        <v>2.78</v>
      </c>
      <c r="E266" s="1">
        <v>42011</v>
      </c>
      <c r="F266">
        <v>0.25</v>
      </c>
    </row>
    <row r="267" spans="1:6" x14ac:dyDescent="0.25">
      <c r="A267" s="1">
        <v>42030</v>
      </c>
      <c r="B267">
        <v>3.9</v>
      </c>
      <c r="C267" s="1">
        <v>42030</v>
      </c>
      <c r="D267">
        <v>2.78</v>
      </c>
      <c r="E267" s="1">
        <v>42012</v>
      </c>
      <c r="F267">
        <v>0.25</v>
      </c>
    </row>
    <row r="268" spans="1:6" x14ac:dyDescent="0.25">
      <c r="A268" s="1">
        <v>42031</v>
      </c>
      <c r="B268">
        <v>3.9</v>
      </c>
      <c r="C268" s="1">
        <v>42031</v>
      </c>
      <c r="D268">
        <v>2.8</v>
      </c>
      <c r="E268" s="1">
        <v>42013</v>
      </c>
      <c r="F268">
        <v>0.25</v>
      </c>
    </row>
    <row r="269" spans="1:6" x14ac:dyDescent="0.25">
      <c r="A269" s="1">
        <v>42032</v>
      </c>
      <c r="B269">
        <v>3.93</v>
      </c>
      <c r="C269" s="1">
        <v>42032</v>
      </c>
      <c r="D269">
        <v>2.87</v>
      </c>
      <c r="E269" s="1">
        <v>42016</v>
      </c>
      <c r="F269">
        <v>0.25</v>
      </c>
    </row>
    <row r="270" spans="1:6" x14ac:dyDescent="0.25">
      <c r="A270" s="1">
        <v>42033</v>
      </c>
      <c r="B270">
        <v>4</v>
      </c>
      <c r="C270" s="1">
        <v>42033</v>
      </c>
      <c r="D270">
        <v>2.94</v>
      </c>
      <c r="E270" s="1">
        <v>42017</v>
      </c>
      <c r="F270">
        <v>0.25</v>
      </c>
    </row>
    <row r="271" spans="1:6" x14ac:dyDescent="0.25">
      <c r="A271" s="1">
        <v>42034</v>
      </c>
      <c r="B271">
        <v>4.1100000000000003</v>
      </c>
      <c r="C271" s="1">
        <v>42034</v>
      </c>
      <c r="D271">
        <v>2.97</v>
      </c>
      <c r="E271" s="1">
        <v>42018</v>
      </c>
      <c r="F271">
        <v>0.25</v>
      </c>
    </row>
    <row r="272" spans="1:6" x14ac:dyDescent="0.25">
      <c r="A272" s="1">
        <v>42037</v>
      </c>
      <c r="B272">
        <v>4.5999999999999996</v>
      </c>
      <c r="C272" s="1">
        <v>42037</v>
      </c>
      <c r="D272">
        <v>2.95</v>
      </c>
      <c r="E272" s="1">
        <v>42019</v>
      </c>
      <c r="F272">
        <v>0.25</v>
      </c>
    </row>
    <row r="273" spans="1:6" x14ac:dyDescent="0.25">
      <c r="A273" s="1">
        <v>42038</v>
      </c>
      <c r="B273">
        <v>4.5</v>
      </c>
      <c r="C273" s="1">
        <v>42038</v>
      </c>
      <c r="D273">
        <v>3.2</v>
      </c>
      <c r="E273" s="1">
        <v>42020</v>
      </c>
      <c r="F273">
        <v>0.25</v>
      </c>
    </row>
    <row r="274" spans="1:6" x14ac:dyDescent="0.25">
      <c r="A274" s="1">
        <v>42039</v>
      </c>
      <c r="B274">
        <v>4.51</v>
      </c>
      <c r="C274" s="1">
        <v>42039</v>
      </c>
      <c r="D274">
        <v>3.14</v>
      </c>
      <c r="E274" s="1">
        <v>42023</v>
      </c>
      <c r="F274">
        <v>0.25</v>
      </c>
    </row>
    <row r="275" spans="1:6" x14ac:dyDescent="0.25">
      <c r="A275" s="1">
        <v>42040</v>
      </c>
      <c r="B275">
        <v>4.5</v>
      </c>
      <c r="C275" s="1">
        <v>42040</v>
      </c>
      <c r="D275">
        <v>2.95</v>
      </c>
      <c r="E275" s="1">
        <v>42024</v>
      </c>
      <c r="F275">
        <v>0.25</v>
      </c>
    </row>
    <row r="276" spans="1:6" x14ac:dyDescent="0.25">
      <c r="A276" s="1">
        <v>42041</v>
      </c>
      <c r="B276">
        <v>4.45</v>
      </c>
      <c r="C276" s="1">
        <v>42041</v>
      </c>
      <c r="D276">
        <v>2.86</v>
      </c>
      <c r="E276" s="1">
        <v>42025</v>
      </c>
      <c r="F276">
        <v>0.25</v>
      </c>
    </row>
    <row r="277" spans="1:6" x14ac:dyDescent="0.25">
      <c r="A277" s="1">
        <v>42044</v>
      </c>
      <c r="B277">
        <v>4.3499999999999996</v>
      </c>
      <c r="C277" s="1">
        <v>42044</v>
      </c>
      <c r="D277">
        <v>2.88</v>
      </c>
      <c r="E277" s="1">
        <v>42026</v>
      </c>
      <c r="F277">
        <v>0.25</v>
      </c>
    </row>
    <row r="278" spans="1:6" x14ac:dyDescent="0.25">
      <c r="A278" s="1">
        <v>42045</v>
      </c>
      <c r="B278">
        <v>4.34</v>
      </c>
      <c r="C278" s="1">
        <v>42045</v>
      </c>
      <c r="D278">
        <v>3.1</v>
      </c>
      <c r="E278" s="1">
        <v>42027</v>
      </c>
      <c r="F278">
        <v>0.25</v>
      </c>
    </row>
    <row r="279" spans="1:6" x14ac:dyDescent="0.25">
      <c r="A279" s="1">
        <v>42046</v>
      </c>
      <c r="B279">
        <v>4.5</v>
      </c>
      <c r="C279" s="1">
        <v>42046</v>
      </c>
      <c r="D279">
        <v>3.22</v>
      </c>
      <c r="E279" s="1">
        <v>42030</v>
      </c>
      <c r="F279">
        <v>0.25</v>
      </c>
    </row>
    <row r="280" spans="1:6" x14ac:dyDescent="0.25">
      <c r="A280" s="1">
        <v>42047</v>
      </c>
      <c r="B280">
        <v>4.7</v>
      </c>
      <c r="C280" s="1">
        <v>42047</v>
      </c>
      <c r="D280">
        <v>3.22</v>
      </c>
      <c r="E280" s="1">
        <v>42031</v>
      </c>
      <c r="F280">
        <v>0.25</v>
      </c>
    </row>
    <row r="281" spans="1:6" x14ac:dyDescent="0.25">
      <c r="A281" s="1">
        <v>42048</v>
      </c>
      <c r="B281">
        <v>4.68</v>
      </c>
      <c r="C281" s="1">
        <v>42048</v>
      </c>
      <c r="D281">
        <v>3.25</v>
      </c>
      <c r="E281" s="1">
        <v>42032</v>
      </c>
      <c r="F281">
        <v>0.25</v>
      </c>
    </row>
    <row r="282" spans="1:6" x14ac:dyDescent="0.25">
      <c r="A282" s="1">
        <v>42050</v>
      </c>
      <c r="B282">
        <v>4.6900000000000004</v>
      </c>
      <c r="C282" s="1">
        <v>42050</v>
      </c>
      <c r="D282">
        <v>3.3</v>
      </c>
      <c r="E282" s="1">
        <v>42033</v>
      </c>
      <c r="F282">
        <v>0.25</v>
      </c>
    </row>
    <row r="283" spans="1:6" x14ac:dyDescent="0.25">
      <c r="A283" s="1">
        <v>42051</v>
      </c>
      <c r="B283">
        <v>4.8</v>
      </c>
      <c r="C283" s="1">
        <v>42051</v>
      </c>
      <c r="D283">
        <v>3.26</v>
      </c>
      <c r="E283" s="1">
        <v>42034</v>
      </c>
      <c r="F283">
        <v>0.25</v>
      </c>
    </row>
    <row r="284" spans="1:6" x14ac:dyDescent="0.25">
      <c r="A284" s="1">
        <v>42052</v>
      </c>
      <c r="B284">
        <v>4.79</v>
      </c>
      <c r="C284" s="1">
        <v>42052</v>
      </c>
      <c r="D284">
        <v>3.55</v>
      </c>
      <c r="E284" s="1">
        <v>42037</v>
      </c>
      <c r="F284">
        <v>0.25</v>
      </c>
    </row>
    <row r="285" spans="1:6" x14ac:dyDescent="0.25">
      <c r="A285" s="1">
        <v>42060</v>
      </c>
      <c r="B285">
        <v>4.83</v>
      </c>
      <c r="C285" s="1">
        <v>42060</v>
      </c>
      <c r="D285">
        <v>3.3279999999999998</v>
      </c>
      <c r="E285" s="1">
        <v>42038</v>
      </c>
      <c r="F285">
        <v>0.25</v>
      </c>
    </row>
    <row r="286" spans="1:6" x14ac:dyDescent="0.25">
      <c r="A286" s="1">
        <v>42061</v>
      </c>
      <c r="B286">
        <v>4.9000000000000004</v>
      </c>
      <c r="C286" s="1">
        <v>42061</v>
      </c>
      <c r="D286">
        <v>3.35</v>
      </c>
      <c r="E286" s="1">
        <v>42039</v>
      </c>
      <c r="F286">
        <v>0.25</v>
      </c>
    </row>
    <row r="287" spans="1:6" x14ac:dyDescent="0.25">
      <c r="A287" s="1">
        <v>42062</v>
      </c>
      <c r="B287">
        <v>4.75</v>
      </c>
      <c r="C287" s="1">
        <v>42062</v>
      </c>
      <c r="D287">
        <v>3.5</v>
      </c>
      <c r="E287" s="1">
        <v>42040</v>
      </c>
      <c r="F287">
        <v>0.25</v>
      </c>
    </row>
    <row r="288" spans="1:6" x14ac:dyDescent="0.25">
      <c r="A288" s="1">
        <v>42063</v>
      </c>
      <c r="B288">
        <v>4.99</v>
      </c>
      <c r="C288" s="1">
        <v>42063</v>
      </c>
      <c r="D288">
        <v>3.54</v>
      </c>
      <c r="E288" s="1">
        <v>42041</v>
      </c>
      <c r="F288">
        <v>0.25</v>
      </c>
    </row>
    <row r="289" spans="1:6" x14ac:dyDescent="0.25">
      <c r="A289" s="1">
        <v>42065</v>
      </c>
      <c r="B289">
        <v>4.96</v>
      </c>
      <c r="C289" s="1">
        <v>42065</v>
      </c>
      <c r="D289">
        <v>3.6</v>
      </c>
      <c r="E289" s="1">
        <v>42044</v>
      </c>
      <c r="F289">
        <v>0.25</v>
      </c>
    </row>
    <row r="290" spans="1:6" x14ac:dyDescent="0.25">
      <c r="A290" s="1">
        <v>42066</v>
      </c>
      <c r="B290">
        <v>4.7300000000000004</v>
      </c>
      <c r="C290" s="1">
        <v>42066</v>
      </c>
      <c r="D290">
        <v>3.56</v>
      </c>
      <c r="E290" s="1">
        <v>42045</v>
      </c>
      <c r="F290">
        <v>0.25</v>
      </c>
    </row>
    <row r="291" spans="1:6" x14ac:dyDescent="0.25">
      <c r="A291" s="1">
        <v>42067</v>
      </c>
      <c r="B291">
        <v>4.7300000000000004</v>
      </c>
      <c r="C291" s="1">
        <v>42067</v>
      </c>
      <c r="D291">
        <v>3.51</v>
      </c>
      <c r="E291" s="1">
        <v>42046</v>
      </c>
      <c r="F291">
        <v>0.25</v>
      </c>
    </row>
    <row r="292" spans="1:6" x14ac:dyDescent="0.25">
      <c r="A292" s="1">
        <v>42068</v>
      </c>
      <c r="B292">
        <v>4.74</v>
      </c>
      <c r="C292" s="1">
        <v>42068</v>
      </c>
      <c r="D292">
        <v>3.55</v>
      </c>
      <c r="E292" s="1">
        <v>42047</v>
      </c>
      <c r="F292">
        <v>0.25</v>
      </c>
    </row>
    <row r="293" spans="1:6" x14ac:dyDescent="0.25">
      <c r="A293" s="1">
        <v>42069</v>
      </c>
      <c r="B293">
        <v>4.8</v>
      </c>
      <c r="C293" s="1">
        <v>42069</v>
      </c>
      <c r="D293">
        <v>3.45</v>
      </c>
      <c r="E293" s="1">
        <v>42048</v>
      </c>
      <c r="F293">
        <v>0.25</v>
      </c>
    </row>
    <row r="294" spans="1:6" x14ac:dyDescent="0.25">
      <c r="A294" s="1">
        <v>42072</v>
      </c>
      <c r="B294">
        <v>4.8099999999999996</v>
      </c>
      <c r="C294" s="1">
        <v>42072</v>
      </c>
      <c r="D294">
        <v>3.43</v>
      </c>
      <c r="E294" s="1">
        <v>42051</v>
      </c>
      <c r="F294">
        <v>0.25</v>
      </c>
    </row>
    <row r="295" spans="1:6" x14ac:dyDescent="0.25">
      <c r="A295" s="1">
        <v>42073</v>
      </c>
      <c r="B295">
        <v>4.8</v>
      </c>
      <c r="C295" s="1">
        <v>42073</v>
      </c>
      <c r="D295">
        <v>3.45</v>
      </c>
      <c r="E295" s="1">
        <v>42052</v>
      </c>
      <c r="F295">
        <v>0.25</v>
      </c>
    </row>
    <row r="296" spans="1:6" x14ac:dyDescent="0.25">
      <c r="A296" s="1">
        <v>42074</v>
      </c>
      <c r="B296">
        <v>4.67</v>
      </c>
      <c r="C296" s="1">
        <v>42074</v>
      </c>
      <c r="D296">
        <v>3.5</v>
      </c>
      <c r="E296" s="1">
        <v>42053</v>
      </c>
      <c r="F296">
        <v>0.25</v>
      </c>
    </row>
    <row r="297" spans="1:6" x14ac:dyDescent="0.25">
      <c r="A297" s="1">
        <v>42075</v>
      </c>
      <c r="B297">
        <v>4.8499999999999996</v>
      </c>
      <c r="C297" s="1">
        <v>42075</v>
      </c>
      <c r="D297">
        <v>3.52</v>
      </c>
      <c r="E297" s="1">
        <v>42054</v>
      </c>
      <c r="F297">
        <v>0.25</v>
      </c>
    </row>
    <row r="298" spans="1:6" x14ac:dyDescent="0.25">
      <c r="A298" s="1">
        <v>42076</v>
      </c>
      <c r="B298">
        <v>4.8029999999999999</v>
      </c>
      <c r="C298" s="1">
        <v>42076</v>
      </c>
      <c r="D298">
        <v>3.5</v>
      </c>
      <c r="E298" s="1">
        <v>42055</v>
      </c>
      <c r="F298">
        <v>0.25</v>
      </c>
    </row>
    <row r="299" spans="1:6" x14ac:dyDescent="0.25">
      <c r="A299" s="1">
        <v>42079</v>
      </c>
      <c r="B299">
        <v>4.75</v>
      </c>
      <c r="C299" s="1">
        <v>42079</v>
      </c>
      <c r="D299">
        <v>3.5</v>
      </c>
      <c r="E299" s="1">
        <v>42058</v>
      </c>
      <c r="F299">
        <v>0.25</v>
      </c>
    </row>
    <row r="300" spans="1:6" x14ac:dyDescent="0.25">
      <c r="A300" s="1">
        <v>42080</v>
      </c>
      <c r="B300">
        <v>4.6500000000000004</v>
      </c>
      <c r="C300" s="1">
        <v>42080</v>
      </c>
      <c r="D300">
        <v>3.46</v>
      </c>
      <c r="E300" s="1">
        <v>42059</v>
      </c>
      <c r="F300">
        <v>0.25</v>
      </c>
    </row>
    <row r="301" spans="1:6" x14ac:dyDescent="0.25">
      <c r="A301" s="1">
        <v>42081</v>
      </c>
      <c r="B301">
        <v>4.62</v>
      </c>
      <c r="C301" s="1">
        <v>42081</v>
      </c>
      <c r="D301">
        <v>3.45</v>
      </c>
      <c r="E301" s="1">
        <v>42060</v>
      </c>
      <c r="F301">
        <v>0.25</v>
      </c>
    </row>
    <row r="302" spans="1:6" x14ac:dyDescent="0.25">
      <c r="A302" s="1">
        <v>42082</v>
      </c>
      <c r="B302">
        <v>4.4800000000000004</v>
      </c>
      <c r="C302" s="1">
        <v>42082</v>
      </c>
      <c r="D302">
        <v>3.39</v>
      </c>
      <c r="E302" s="1">
        <v>42061</v>
      </c>
      <c r="F302">
        <v>0.25</v>
      </c>
    </row>
    <row r="303" spans="1:6" x14ac:dyDescent="0.25">
      <c r="A303" s="1">
        <v>42083</v>
      </c>
      <c r="B303">
        <v>4.25</v>
      </c>
      <c r="C303" s="1">
        <v>42083</v>
      </c>
      <c r="D303">
        <v>3.34</v>
      </c>
      <c r="E303" s="1">
        <v>42062</v>
      </c>
      <c r="F303">
        <v>0.25</v>
      </c>
    </row>
    <row r="304" spans="1:6" x14ac:dyDescent="0.25">
      <c r="A304" s="1">
        <v>42086</v>
      </c>
      <c r="B304">
        <v>4.13</v>
      </c>
      <c r="C304" s="1">
        <v>42086</v>
      </c>
      <c r="D304">
        <v>3.3</v>
      </c>
      <c r="E304" s="1">
        <v>42065</v>
      </c>
      <c r="F304">
        <v>0.25</v>
      </c>
    </row>
    <row r="305" spans="1:6" x14ac:dyDescent="0.25">
      <c r="A305" s="1">
        <v>42087</v>
      </c>
      <c r="B305">
        <v>4</v>
      </c>
      <c r="C305" s="1">
        <v>42087</v>
      </c>
      <c r="D305">
        <v>3.3</v>
      </c>
      <c r="E305" s="1">
        <v>42066</v>
      </c>
      <c r="F305">
        <v>0.25</v>
      </c>
    </row>
    <row r="306" spans="1:6" x14ac:dyDescent="0.25">
      <c r="A306" s="1">
        <v>42088</v>
      </c>
      <c r="B306">
        <v>3.94</v>
      </c>
      <c r="C306" s="1">
        <v>42088</v>
      </c>
      <c r="D306">
        <v>3.3</v>
      </c>
      <c r="E306" s="1">
        <v>42067</v>
      </c>
      <c r="F306">
        <v>0.25</v>
      </c>
    </row>
    <row r="307" spans="1:6" x14ac:dyDescent="0.25">
      <c r="A307" s="1">
        <v>42089</v>
      </c>
      <c r="B307">
        <v>3.88</v>
      </c>
      <c r="C307" s="1">
        <v>42089</v>
      </c>
      <c r="D307">
        <v>3.25</v>
      </c>
      <c r="E307" s="1">
        <v>42068</v>
      </c>
      <c r="F307">
        <v>0.25</v>
      </c>
    </row>
    <row r="308" spans="1:6" x14ac:dyDescent="0.25">
      <c r="A308" s="1">
        <v>42090</v>
      </c>
      <c r="B308">
        <v>3.89</v>
      </c>
      <c r="C308" s="1">
        <v>42090</v>
      </c>
      <c r="D308">
        <v>3.25</v>
      </c>
      <c r="E308" s="1">
        <v>42069</v>
      </c>
      <c r="F308">
        <v>0.25</v>
      </c>
    </row>
    <row r="309" spans="1:6" x14ac:dyDescent="0.25">
      <c r="A309" s="1">
        <v>42093</v>
      </c>
      <c r="B309">
        <v>3.95</v>
      </c>
      <c r="C309" s="1">
        <v>42093</v>
      </c>
      <c r="D309">
        <v>3.29</v>
      </c>
      <c r="E309" s="1">
        <v>42072</v>
      </c>
      <c r="F309">
        <v>0.25</v>
      </c>
    </row>
    <row r="310" spans="1:6" x14ac:dyDescent="0.25">
      <c r="A310" s="1">
        <v>42094</v>
      </c>
      <c r="B310">
        <v>4</v>
      </c>
      <c r="C310" s="1">
        <v>42094</v>
      </c>
      <c r="D310">
        <v>3.3</v>
      </c>
      <c r="E310" s="1">
        <v>42073</v>
      </c>
      <c r="F310">
        <v>0.25</v>
      </c>
    </row>
    <row r="311" spans="1:6" x14ac:dyDescent="0.25">
      <c r="A311" s="1">
        <v>42095</v>
      </c>
      <c r="B311">
        <v>3.8</v>
      </c>
      <c r="C311" s="1">
        <v>42095</v>
      </c>
      <c r="D311">
        <v>3.21</v>
      </c>
      <c r="E311" s="1">
        <v>42074</v>
      </c>
      <c r="F311">
        <v>0.25</v>
      </c>
    </row>
    <row r="312" spans="1:6" x14ac:dyDescent="0.25">
      <c r="A312" s="1">
        <v>42096</v>
      </c>
      <c r="B312">
        <v>3.67</v>
      </c>
      <c r="C312" s="1">
        <v>42096</v>
      </c>
      <c r="D312">
        <v>3.05</v>
      </c>
      <c r="E312" s="1">
        <v>42075</v>
      </c>
      <c r="F312">
        <v>0.25</v>
      </c>
    </row>
    <row r="313" spans="1:6" x14ac:dyDescent="0.25">
      <c r="A313" s="1">
        <v>42097</v>
      </c>
      <c r="B313">
        <v>3.42</v>
      </c>
      <c r="C313" s="1">
        <v>42097</v>
      </c>
      <c r="D313">
        <v>2.98</v>
      </c>
      <c r="E313" s="1">
        <v>42076</v>
      </c>
      <c r="F313">
        <v>0.25</v>
      </c>
    </row>
    <row r="314" spans="1:6" x14ac:dyDescent="0.25">
      <c r="A314" s="1">
        <v>42101</v>
      </c>
      <c r="B314">
        <v>3.27</v>
      </c>
      <c r="C314" s="1">
        <v>42101</v>
      </c>
      <c r="D314">
        <v>2.82</v>
      </c>
      <c r="E314" s="1">
        <v>42079</v>
      </c>
      <c r="F314">
        <v>0.25</v>
      </c>
    </row>
    <row r="315" spans="1:6" x14ac:dyDescent="0.25">
      <c r="A315" s="1">
        <v>42102</v>
      </c>
      <c r="B315">
        <v>3.12</v>
      </c>
      <c r="C315" s="1">
        <v>42102</v>
      </c>
      <c r="D315">
        <v>2.72</v>
      </c>
      <c r="E315" s="1">
        <v>42080</v>
      </c>
      <c r="F315">
        <v>0.25</v>
      </c>
    </row>
    <row r="316" spans="1:6" x14ac:dyDescent="0.25">
      <c r="A316" s="1">
        <v>42103</v>
      </c>
      <c r="B316">
        <v>3.09</v>
      </c>
      <c r="C316" s="1">
        <v>42103</v>
      </c>
      <c r="D316">
        <v>2.6</v>
      </c>
      <c r="E316" s="1">
        <v>42081</v>
      </c>
      <c r="F316">
        <v>0.25</v>
      </c>
    </row>
    <row r="317" spans="1:6" x14ac:dyDescent="0.25">
      <c r="A317" s="1">
        <v>42104</v>
      </c>
      <c r="B317">
        <v>3</v>
      </c>
      <c r="C317" s="1">
        <v>42104</v>
      </c>
      <c r="D317">
        <v>2.5</v>
      </c>
      <c r="E317" s="1">
        <v>42082</v>
      </c>
      <c r="F317">
        <v>0.25</v>
      </c>
    </row>
    <row r="318" spans="1:6" x14ac:dyDescent="0.25">
      <c r="A318" s="1">
        <v>42107</v>
      </c>
      <c r="B318">
        <v>2.96</v>
      </c>
      <c r="C318" s="1">
        <v>42107</v>
      </c>
      <c r="D318">
        <v>2.4500000000000002</v>
      </c>
      <c r="E318" s="1">
        <v>42083</v>
      </c>
      <c r="F318">
        <v>0.25</v>
      </c>
    </row>
    <row r="319" spans="1:6" x14ac:dyDescent="0.25">
      <c r="A319" s="1">
        <v>42108</v>
      </c>
      <c r="B319">
        <v>3</v>
      </c>
      <c r="C319" s="1">
        <v>42108</v>
      </c>
      <c r="D319">
        <v>2.44</v>
      </c>
      <c r="E319" s="1">
        <v>42086</v>
      </c>
      <c r="F319">
        <v>0.25</v>
      </c>
    </row>
    <row r="320" spans="1:6" x14ac:dyDescent="0.25">
      <c r="A320" s="1">
        <v>42109</v>
      </c>
      <c r="B320">
        <v>3</v>
      </c>
      <c r="C320" s="1">
        <v>42109</v>
      </c>
      <c r="D320">
        <v>2.46</v>
      </c>
      <c r="E320" s="1">
        <v>42087</v>
      </c>
      <c r="F320">
        <v>0.25</v>
      </c>
    </row>
    <row r="321" spans="1:6" x14ac:dyDescent="0.25">
      <c r="A321" s="1">
        <v>42110</v>
      </c>
      <c r="B321">
        <v>3.03</v>
      </c>
      <c r="C321" s="1">
        <v>42110</v>
      </c>
      <c r="D321">
        <v>2.38</v>
      </c>
      <c r="E321" s="1">
        <v>42088</v>
      </c>
      <c r="F321">
        <v>0.25</v>
      </c>
    </row>
    <row r="322" spans="1:6" x14ac:dyDescent="0.25">
      <c r="A322" s="1">
        <v>42111</v>
      </c>
      <c r="B322">
        <v>2.93</v>
      </c>
      <c r="C322" s="1">
        <v>42111</v>
      </c>
      <c r="D322">
        <v>2.35</v>
      </c>
      <c r="E322" s="1">
        <v>42089</v>
      </c>
      <c r="F322">
        <v>0.25</v>
      </c>
    </row>
    <row r="323" spans="1:6" x14ac:dyDescent="0.25">
      <c r="A323" s="1">
        <v>42114</v>
      </c>
      <c r="B323">
        <v>2.81</v>
      </c>
      <c r="C323" s="1">
        <v>42114</v>
      </c>
      <c r="D323">
        <v>2.1</v>
      </c>
      <c r="E323" s="1">
        <v>42090</v>
      </c>
      <c r="F323">
        <v>0.25</v>
      </c>
    </row>
    <row r="324" spans="1:6" x14ac:dyDescent="0.25">
      <c r="A324" s="1">
        <v>42115</v>
      </c>
      <c r="B324">
        <v>2.64</v>
      </c>
      <c r="C324" s="1">
        <v>42115</v>
      </c>
      <c r="D324">
        <v>2.0699999999999998</v>
      </c>
      <c r="E324" s="1">
        <v>42093</v>
      </c>
      <c r="F324">
        <v>0.25</v>
      </c>
    </row>
    <row r="325" spans="1:6" x14ac:dyDescent="0.25">
      <c r="A325" s="1">
        <v>42116</v>
      </c>
      <c r="B325">
        <v>2.61</v>
      </c>
      <c r="C325" s="1">
        <v>42116</v>
      </c>
      <c r="D325">
        <v>1.99</v>
      </c>
      <c r="E325" s="1">
        <v>42094</v>
      </c>
      <c r="F325">
        <v>0.25</v>
      </c>
    </row>
    <row r="326" spans="1:6" x14ac:dyDescent="0.25">
      <c r="A326" s="1">
        <v>42117</v>
      </c>
      <c r="B326">
        <v>2.57</v>
      </c>
      <c r="C326" s="1">
        <v>42117</v>
      </c>
      <c r="D326">
        <v>1.97</v>
      </c>
      <c r="E326" s="1">
        <v>42095</v>
      </c>
      <c r="F326">
        <v>0.25</v>
      </c>
    </row>
    <row r="327" spans="1:6" x14ac:dyDescent="0.25">
      <c r="A327" s="1">
        <v>42118</v>
      </c>
      <c r="B327">
        <v>2.6</v>
      </c>
      <c r="C327" s="1">
        <v>42118</v>
      </c>
      <c r="D327">
        <v>1.89</v>
      </c>
      <c r="E327" s="1">
        <v>42096</v>
      </c>
      <c r="F327">
        <v>0.25</v>
      </c>
    </row>
    <row r="328" spans="1:6" x14ac:dyDescent="0.25">
      <c r="A328" s="1">
        <v>42121</v>
      </c>
      <c r="B328">
        <v>2.4700000000000002</v>
      </c>
      <c r="C328" s="1">
        <v>42121</v>
      </c>
      <c r="D328">
        <v>1.85</v>
      </c>
      <c r="E328" s="1">
        <v>42097</v>
      </c>
      <c r="F328">
        <v>0.25</v>
      </c>
    </row>
    <row r="329" spans="1:6" x14ac:dyDescent="0.25">
      <c r="A329" s="1">
        <v>42122</v>
      </c>
      <c r="B329">
        <v>2.48</v>
      </c>
      <c r="C329" s="1">
        <v>42122</v>
      </c>
      <c r="D329">
        <v>1.8</v>
      </c>
      <c r="E329" s="1">
        <v>42100</v>
      </c>
      <c r="F329">
        <v>0.25</v>
      </c>
    </row>
    <row r="330" spans="1:6" x14ac:dyDescent="0.25">
      <c r="A330" s="1">
        <v>42123</v>
      </c>
      <c r="B330">
        <v>2.5099999999999998</v>
      </c>
      <c r="C330" s="1">
        <v>42123</v>
      </c>
      <c r="D330">
        <v>1.77</v>
      </c>
      <c r="E330" s="1">
        <v>42101</v>
      </c>
      <c r="F330">
        <v>0.25</v>
      </c>
    </row>
    <row r="331" spans="1:6" x14ac:dyDescent="0.25">
      <c r="A331" s="1">
        <v>42124</v>
      </c>
      <c r="B331">
        <v>2.4500000000000002</v>
      </c>
      <c r="C331" s="1">
        <v>42124</v>
      </c>
      <c r="D331">
        <v>1.72</v>
      </c>
      <c r="E331" s="1">
        <v>42102</v>
      </c>
      <c r="F331">
        <v>0.25</v>
      </c>
    </row>
    <row r="332" spans="1:6" x14ac:dyDescent="0.25">
      <c r="A332" s="1">
        <v>42128</v>
      </c>
      <c r="B332">
        <v>2.4300000000000002</v>
      </c>
      <c r="C332" s="1">
        <v>42128</v>
      </c>
      <c r="D332">
        <v>1.63</v>
      </c>
      <c r="E332" s="1">
        <v>42103</v>
      </c>
      <c r="F332">
        <v>0.25</v>
      </c>
    </row>
    <row r="333" spans="1:6" x14ac:dyDescent="0.25">
      <c r="A333" s="1">
        <v>42129</v>
      </c>
      <c r="B333">
        <v>2.52</v>
      </c>
      <c r="C333" s="1">
        <v>42129</v>
      </c>
      <c r="D333">
        <v>1.65</v>
      </c>
      <c r="E333" s="1">
        <v>42104</v>
      </c>
      <c r="F333">
        <v>0.25</v>
      </c>
    </row>
    <row r="334" spans="1:6" x14ac:dyDescent="0.25">
      <c r="A334" s="1">
        <v>42130</v>
      </c>
      <c r="B334">
        <v>2.5</v>
      </c>
      <c r="C334" s="1">
        <v>42130</v>
      </c>
      <c r="D334">
        <v>1.65</v>
      </c>
      <c r="E334" s="1">
        <v>42107</v>
      </c>
      <c r="F334">
        <v>0.25</v>
      </c>
    </row>
    <row r="335" spans="1:6" x14ac:dyDescent="0.25">
      <c r="A335" s="1">
        <v>42131</v>
      </c>
      <c r="B335">
        <v>2.4</v>
      </c>
      <c r="C335" s="1">
        <v>42131</v>
      </c>
      <c r="D335">
        <v>1.6</v>
      </c>
      <c r="E335" s="1">
        <v>42108</v>
      </c>
      <c r="F335">
        <v>0.25</v>
      </c>
    </row>
    <row r="336" spans="1:6" x14ac:dyDescent="0.25">
      <c r="A336" s="1">
        <v>42132</v>
      </c>
      <c r="B336">
        <v>2.37</v>
      </c>
      <c r="C336" s="1">
        <v>42132</v>
      </c>
      <c r="D336">
        <v>1.51</v>
      </c>
      <c r="E336" s="1">
        <v>42109</v>
      </c>
      <c r="F336">
        <v>0.25</v>
      </c>
    </row>
    <row r="337" spans="1:6" x14ac:dyDescent="0.25">
      <c r="A337" s="1">
        <v>42135</v>
      </c>
      <c r="B337">
        <v>2.35</v>
      </c>
      <c r="C337" s="1">
        <v>42135</v>
      </c>
      <c r="D337">
        <v>1.42</v>
      </c>
      <c r="E337" s="1">
        <v>42110</v>
      </c>
      <c r="F337">
        <v>0.25</v>
      </c>
    </row>
    <row r="338" spans="1:6" x14ac:dyDescent="0.25">
      <c r="A338" s="1">
        <v>42136</v>
      </c>
      <c r="B338">
        <v>2.16</v>
      </c>
      <c r="C338" s="1">
        <v>42136</v>
      </c>
      <c r="D338">
        <v>1.36</v>
      </c>
      <c r="E338" s="1">
        <v>42111</v>
      </c>
      <c r="F338">
        <v>0.25</v>
      </c>
    </row>
    <row r="339" spans="1:6" x14ac:dyDescent="0.25">
      <c r="A339" s="1">
        <v>42137</v>
      </c>
      <c r="B339">
        <v>2.09</v>
      </c>
      <c r="C339" s="1">
        <v>42137</v>
      </c>
      <c r="D339">
        <v>1.31</v>
      </c>
      <c r="E339" s="1">
        <v>42114</v>
      </c>
      <c r="F339">
        <v>0.25</v>
      </c>
    </row>
    <row r="340" spans="1:6" x14ac:dyDescent="0.25">
      <c r="A340" s="1">
        <v>42138</v>
      </c>
      <c r="B340">
        <v>2</v>
      </c>
      <c r="C340" s="1">
        <v>42138</v>
      </c>
      <c r="D340">
        <v>1.28</v>
      </c>
      <c r="E340" s="1">
        <v>42115</v>
      </c>
      <c r="F340">
        <v>0.25</v>
      </c>
    </row>
    <row r="341" spans="1:6" x14ac:dyDescent="0.25">
      <c r="A341" s="1">
        <v>42139</v>
      </c>
      <c r="B341">
        <v>1.92</v>
      </c>
      <c r="C341" s="1">
        <v>42139</v>
      </c>
      <c r="D341">
        <v>1.1599999999999999</v>
      </c>
      <c r="E341" s="1">
        <v>42116</v>
      </c>
      <c r="F341">
        <v>0.25</v>
      </c>
    </row>
    <row r="342" spans="1:6" x14ac:dyDescent="0.25">
      <c r="A342" s="1">
        <v>42142</v>
      </c>
      <c r="B342">
        <v>2</v>
      </c>
      <c r="C342" s="1">
        <v>42142</v>
      </c>
      <c r="D342">
        <v>1.08</v>
      </c>
      <c r="E342" s="1">
        <v>42117</v>
      </c>
      <c r="F342">
        <v>0.25</v>
      </c>
    </row>
    <row r="343" spans="1:6" x14ac:dyDescent="0.25">
      <c r="A343" s="1">
        <v>42143</v>
      </c>
      <c r="B343">
        <v>1.91</v>
      </c>
      <c r="C343" s="1">
        <v>42143</v>
      </c>
      <c r="D343">
        <v>1.1599999999999999</v>
      </c>
      <c r="E343" s="1">
        <v>42118</v>
      </c>
      <c r="F343">
        <v>0.25</v>
      </c>
    </row>
    <row r="344" spans="1:6" x14ac:dyDescent="0.25">
      <c r="A344" s="1">
        <v>42144</v>
      </c>
      <c r="B344">
        <v>1.98</v>
      </c>
      <c r="C344" s="1">
        <v>42144</v>
      </c>
      <c r="D344">
        <v>1.18</v>
      </c>
      <c r="E344" s="1">
        <v>42121</v>
      </c>
      <c r="F344">
        <v>0.25</v>
      </c>
    </row>
    <row r="345" spans="1:6" x14ac:dyDescent="0.25">
      <c r="A345" s="1">
        <v>42145</v>
      </c>
      <c r="B345">
        <v>1.99</v>
      </c>
      <c r="C345" s="1">
        <v>42145</v>
      </c>
      <c r="D345">
        <v>1.21</v>
      </c>
      <c r="E345" s="1">
        <v>42122</v>
      </c>
      <c r="F345">
        <v>0.25</v>
      </c>
    </row>
    <row r="346" spans="1:6" x14ac:dyDescent="0.25">
      <c r="A346" s="1">
        <v>42146</v>
      </c>
      <c r="B346">
        <v>2.0099999999999998</v>
      </c>
      <c r="C346" s="1">
        <v>42146</v>
      </c>
      <c r="D346">
        <v>1.17</v>
      </c>
      <c r="E346" s="1">
        <v>42123</v>
      </c>
      <c r="F346">
        <v>0.25</v>
      </c>
    </row>
    <row r="347" spans="1:6" x14ac:dyDescent="0.25">
      <c r="A347" s="1">
        <v>42149</v>
      </c>
      <c r="B347">
        <v>2.0057999999999998</v>
      </c>
      <c r="C347" s="1">
        <v>42149</v>
      </c>
      <c r="D347">
        <v>1.1299999999999999</v>
      </c>
      <c r="E347" s="1">
        <v>42124</v>
      </c>
      <c r="F347">
        <v>0.25</v>
      </c>
    </row>
    <row r="348" spans="1:6" x14ac:dyDescent="0.25">
      <c r="A348" s="1">
        <v>42150</v>
      </c>
      <c r="B348">
        <v>1.97</v>
      </c>
      <c r="C348" s="1">
        <v>42150</v>
      </c>
      <c r="D348">
        <v>1.1299999999999999</v>
      </c>
      <c r="E348" s="1">
        <v>42125</v>
      </c>
      <c r="F348">
        <v>0.25</v>
      </c>
    </row>
    <row r="349" spans="1:6" x14ac:dyDescent="0.25">
      <c r="A349" s="1">
        <v>42151</v>
      </c>
      <c r="B349">
        <v>2</v>
      </c>
      <c r="C349" s="1">
        <v>42151</v>
      </c>
      <c r="D349">
        <v>1.18</v>
      </c>
      <c r="E349" s="1">
        <v>42128</v>
      </c>
      <c r="F349">
        <v>0.25</v>
      </c>
    </row>
    <row r="350" spans="1:6" x14ac:dyDescent="0.25">
      <c r="A350" s="1">
        <v>42152</v>
      </c>
      <c r="B350">
        <v>2.0299999999999998</v>
      </c>
      <c r="C350" s="1">
        <v>42152</v>
      </c>
      <c r="D350">
        <v>1.1100000000000001</v>
      </c>
      <c r="E350" s="1">
        <v>42129</v>
      </c>
      <c r="F350">
        <v>0.25</v>
      </c>
    </row>
    <row r="351" spans="1:6" x14ac:dyDescent="0.25">
      <c r="A351" s="1">
        <v>42153</v>
      </c>
      <c r="B351">
        <v>2.08</v>
      </c>
      <c r="C351" s="1">
        <v>42153</v>
      </c>
      <c r="D351">
        <v>1.1499999999999999</v>
      </c>
      <c r="E351" s="1">
        <v>42130</v>
      </c>
      <c r="F351">
        <v>0.25</v>
      </c>
    </row>
    <row r="352" spans="1:6" x14ac:dyDescent="0.25">
      <c r="A352" s="1">
        <v>42156</v>
      </c>
      <c r="B352">
        <v>2.0099999999999998</v>
      </c>
      <c r="C352" s="1">
        <v>42156</v>
      </c>
      <c r="D352">
        <v>1.1000000000000001</v>
      </c>
      <c r="E352" s="1">
        <v>42131</v>
      </c>
      <c r="F352">
        <v>0.25</v>
      </c>
    </row>
    <row r="353" spans="1:6" x14ac:dyDescent="0.25">
      <c r="A353" s="1">
        <v>42157</v>
      </c>
      <c r="B353">
        <v>2.25</v>
      </c>
      <c r="C353" s="1">
        <v>42157</v>
      </c>
      <c r="D353">
        <v>1.1200000000000001</v>
      </c>
      <c r="E353" s="1">
        <v>42132</v>
      </c>
      <c r="F353">
        <v>0.25</v>
      </c>
    </row>
    <row r="354" spans="1:6" x14ac:dyDescent="0.25">
      <c r="A354" s="1">
        <v>42158</v>
      </c>
      <c r="B354">
        <v>2.2200000000000002</v>
      </c>
      <c r="C354" s="1">
        <v>42158</v>
      </c>
      <c r="D354">
        <v>1.21</v>
      </c>
      <c r="E354" s="1">
        <v>42135</v>
      </c>
      <c r="F354">
        <v>0.25</v>
      </c>
    </row>
    <row r="355" spans="1:6" x14ac:dyDescent="0.25">
      <c r="A355" s="1">
        <v>42159</v>
      </c>
      <c r="B355">
        <v>2.23</v>
      </c>
      <c r="C355" s="1">
        <v>42159</v>
      </c>
      <c r="D355">
        <v>1.1499999999999999</v>
      </c>
      <c r="E355" s="1">
        <v>42136</v>
      </c>
      <c r="F355">
        <v>0.25</v>
      </c>
    </row>
    <row r="356" spans="1:6" x14ac:dyDescent="0.25">
      <c r="A356" s="1">
        <v>42160</v>
      </c>
      <c r="B356">
        <v>2.06</v>
      </c>
      <c r="C356" s="1">
        <v>42160</v>
      </c>
      <c r="D356">
        <v>1.2</v>
      </c>
      <c r="E356" s="1">
        <v>42137</v>
      </c>
      <c r="F356">
        <v>0.25</v>
      </c>
    </row>
    <row r="357" spans="1:6" x14ac:dyDescent="0.25">
      <c r="A357" s="1">
        <v>42163</v>
      </c>
      <c r="B357">
        <v>2.06</v>
      </c>
      <c r="C357" s="1">
        <v>42163</v>
      </c>
      <c r="D357">
        <v>1.1399999999999999</v>
      </c>
      <c r="E357" s="1">
        <v>42138</v>
      </c>
      <c r="F357">
        <v>0.25</v>
      </c>
    </row>
    <row r="358" spans="1:6" x14ac:dyDescent="0.25">
      <c r="A358" s="1">
        <v>42164</v>
      </c>
      <c r="B358">
        <v>2.08</v>
      </c>
      <c r="C358" s="1">
        <v>42164</v>
      </c>
      <c r="D358">
        <v>1.17</v>
      </c>
      <c r="E358" s="1">
        <v>42139</v>
      </c>
      <c r="F358">
        <v>0.25</v>
      </c>
    </row>
    <row r="359" spans="1:6" x14ac:dyDescent="0.25">
      <c r="A359" s="1">
        <v>42165</v>
      </c>
      <c r="B359">
        <v>2.12</v>
      </c>
      <c r="C359" s="1">
        <v>42165</v>
      </c>
      <c r="D359">
        <v>1.17</v>
      </c>
      <c r="E359" s="1">
        <v>42142</v>
      </c>
      <c r="F359">
        <v>0.25</v>
      </c>
    </row>
    <row r="360" spans="1:6" x14ac:dyDescent="0.25">
      <c r="A360" s="1">
        <v>42166</v>
      </c>
      <c r="B360">
        <v>2.1</v>
      </c>
      <c r="C360" s="1">
        <v>42166</v>
      </c>
      <c r="D360">
        <v>1.1399999999999999</v>
      </c>
      <c r="E360" s="1">
        <v>42143</v>
      </c>
      <c r="F360">
        <v>0.25</v>
      </c>
    </row>
    <row r="361" spans="1:6" x14ac:dyDescent="0.25">
      <c r="A361" s="1">
        <v>42167</v>
      </c>
      <c r="B361">
        <v>2.2200000000000002</v>
      </c>
      <c r="C361" s="1">
        <v>42167</v>
      </c>
      <c r="D361">
        <v>1.19</v>
      </c>
      <c r="E361" s="1">
        <v>42144</v>
      </c>
      <c r="F361">
        <v>0.25</v>
      </c>
    </row>
    <row r="362" spans="1:6" x14ac:dyDescent="0.25">
      <c r="A362" s="1">
        <v>42170</v>
      </c>
      <c r="B362">
        <v>2.2402000000000002</v>
      </c>
      <c r="C362" s="1">
        <v>42170</v>
      </c>
      <c r="D362">
        <v>1.17</v>
      </c>
      <c r="E362" s="1">
        <v>42145</v>
      </c>
      <c r="F362">
        <v>0.25</v>
      </c>
    </row>
    <row r="363" spans="1:6" x14ac:dyDescent="0.25">
      <c r="A363" s="1">
        <v>42171</v>
      </c>
      <c r="B363">
        <v>2.2999999999999998</v>
      </c>
      <c r="C363" s="1">
        <v>42171</v>
      </c>
      <c r="D363">
        <v>1.21</v>
      </c>
      <c r="E363" s="1">
        <v>42146</v>
      </c>
      <c r="F363">
        <v>0.25</v>
      </c>
    </row>
    <row r="364" spans="1:6" x14ac:dyDescent="0.25">
      <c r="A364" s="1">
        <v>42172</v>
      </c>
      <c r="B364">
        <v>2.41</v>
      </c>
      <c r="C364" s="1">
        <v>42172</v>
      </c>
      <c r="D364">
        <v>1.33</v>
      </c>
      <c r="E364" s="1">
        <v>42149</v>
      </c>
      <c r="F364">
        <v>0.25</v>
      </c>
    </row>
    <row r="365" spans="1:6" x14ac:dyDescent="0.25">
      <c r="A365" s="1">
        <v>42173</v>
      </c>
      <c r="B365">
        <v>2.7</v>
      </c>
      <c r="C365" s="1">
        <v>42173</v>
      </c>
      <c r="D365">
        <v>1.4</v>
      </c>
      <c r="E365" s="1">
        <v>42150</v>
      </c>
      <c r="F365">
        <v>0.25</v>
      </c>
    </row>
    <row r="366" spans="1:6" x14ac:dyDescent="0.25">
      <c r="A366" s="1">
        <v>42174</v>
      </c>
      <c r="B366">
        <v>2.73</v>
      </c>
      <c r="C366" s="1">
        <v>42174</v>
      </c>
      <c r="D366">
        <v>1.5</v>
      </c>
      <c r="E366" s="1">
        <v>42151</v>
      </c>
      <c r="F366">
        <v>0.25</v>
      </c>
    </row>
    <row r="367" spans="1:6" x14ac:dyDescent="0.25">
      <c r="A367" s="1">
        <v>42178</v>
      </c>
      <c r="B367">
        <v>2.86</v>
      </c>
      <c r="C367" s="1">
        <v>42178</v>
      </c>
      <c r="D367">
        <v>1.47</v>
      </c>
      <c r="E367" s="1">
        <v>42152</v>
      </c>
      <c r="F367">
        <v>0.25</v>
      </c>
    </row>
    <row r="368" spans="1:6" x14ac:dyDescent="0.25">
      <c r="A368" s="1">
        <v>42179</v>
      </c>
      <c r="B368">
        <v>2.87</v>
      </c>
      <c r="C368" s="1">
        <v>42179</v>
      </c>
      <c r="D368">
        <v>1.51</v>
      </c>
      <c r="E368" s="1">
        <v>42153</v>
      </c>
      <c r="F368">
        <v>0.25</v>
      </c>
    </row>
    <row r="369" spans="1:6" x14ac:dyDescent="0.25">
      <c r="A369" s="1">
        <v>42180</v>
      </c>
      <c r="B369">
        <v>3.02</v>
      </c>
      <c r="C369" s="1">
        <v>42180</v>
      </c>
      <c r="D369">
        <v>1.43</v>
      </c>
      <c r="E369" s="1">
        <v>42156</v>
      </c>
      <c r="F369">
        <v>0.25</v>
      </c>
    </row>
    <row r="370" spans="1:6" x14ac:dyDescent="0.25">
      <c r="A370" s="1">
        <v>42181</v>
      </c>
      <c r="B370">
        <v>3</v>
      </c>
      <c r="C370" s="1">
        <v>42181</v>
      </c>
      <c r="D370">
        <v>1.45</v>
      </c>
      <c r="E370" s="1">
        <v>42157</v>
      </c>
      <c r="F370">
        <v>0.25</v>
      </c>
    </row>
    <row r="371" spans="1:6" x14ac:dyDescent="0.25">
      <c r="A371" s="1">
        <v>42184</v>
      </c>
      <c r="B371">
        <v>2.75</v>
      </c>
      <c r="C371" s="1">
        <v>42184</v>
      </c>
      <c r="D371">
        <v>1.4</v>
      </c>
      <c r="E371" s="1">
        <v>42158</v>
      </c>
      <c r="F371">
        <v>0.25</v>
      </c>
    </row>
    <row r="372" spans="1:6" x14ac:dyDescent="0.25">
      <c r="A372" s="1">
        <v>42185</v>
      </c>
      <c r="B372">
        <v>2.56</v>
      </c>
      <c r="C372" s="1">
        <v>42185</v>
      </c>
      <c r="D372">
        <v>1.234</v>
      </c>
      <c r="E372" s="1">
        <v>42159</v>
      </c>
      <c r="F372">
        <v>0.25</v>
      </c>
    </row>
    <row r="373" spans="1:6" x14ac:dyDescent="0.25">
      <c r="A373" s="1">
        <v>42186</v>
      </c>
      <c r="B373">
        <v>2.75</v>
      </c>
      <c r="C373" s="1">
        <v>42186</v>
      </c>
      <c r="D373">
        <v>1.3</v>
      </c>
      <c r="E373" s="1">
        <v>42160</v>
      </c>
      <c r="F373">
        <v>0.25</v>
      </c>
    </row>
    <row r="374" spans="1:6" x14ac:dyDescent="0.25">
      <c r="A374" s="1">
        <v>42187</v>
      </c>
      <c r="B374">
        <v>2.87</v>
      </c>
      <c r="C374" s="1">
        <v>42187</v>
      </c>
      <c r="D374">
        <v>1.24</v>
      </c>
      <c r="E374" s="1">
        <v>42163</v>
      </c>
      <c r="F374">
        <v>0.25</v>
      </c>
    </row>
    <row r="375" spans="1:6" x14ac:dyDescent="0.25">
      <c r="A375" s="1">
        <v>42188</v>
      </c>
      <c r="B375">
        <v>2.9</v>
      </c>
      <c r="C375" s="1">
        <v>42188</v>
      </c>
      <c r="D375">
        <v>1.3</v>
      </c>
      <c r="E375" s="1">
        <v>42164</v>
      </c>
      <c r="F375">
        <v>0.25</v>
      </c>
    </row>
    <row r="376" spans="1:6" x14ac:dyDescent="0.25">
      <c r="A376" s="1">
        <v>42191</v>
      </c>
      <c r="B376">
        <v>2.78</v>
      </c>
      <c r="C376" s="1">
        <v>42191</v>
      </c>
      <c r="D376">
        <v>1.23</v>
      </c>
      <c r="E376" s="1">
        <v>42165</v>
      </c>
      <c r="F376">
        <v>0.25</v>
      </c>
    </row>
    <row r="377" spans="1:6" x14ac:dyDescent="0.25">
      <c r="A377" s="1">
        <v>42192</v>
      </c>
      <c r="B377">
        <v>2.6</v>
      </c>
      <c r="C377" s="1">
        <v>42192</v>
      </c>
      <c r="D377">
        <v>1.26</v>
      </c>
      <c r="E377" s="1">
        <v>42166</v>
      </c>
      <c r="F377">
        <v>0.25</v>
      </c>
    </row>
    <row r="378" spans="1:6" x14ac:dyDescent="0.25">
      <c r="A378" s="1">
        <v>42193</v>
      </c>
      <c r="B378">
        <v>2.61</v>
      </c>
      <c r="C378" s="1">
        <v>42193</v>
      </c>
      <c r="D378">
        <v>1.35</v>
      </c>
      <c r="E378" s="1">
        <v>42167</v>
      </c>
      <c r="F378">
        <v>0.25</v>
      </c>
    </row>
    <row r="379" spans="1:6" x14ac:dyDescent="0.25">
      <c r="A379" s="1">
        <v>42194</v>
      </c>
      <c r="B379">
        <v>2.57</v>
      </c>
      <c r="C379" s="1">
        <v>42194</v>
      </c>
      <c r="D379">
        <v>1.32</v>
      </c>
      <c r="E379" s="1">
        <v>42170</v>
      </c>
      <c r="F379">
        <v>0.25</v>
      </c>
    </row>
    <row r="380" spans="1:6" x14ac:dyDescent="0.25">
      <c r="A380" s="1">
        <v>42195</v>
      </c>
      <c r="B380">
        <v>2.58</v>
      </c>
      <c r="C380" s="1">
        <v>42195</v>
      </c>
      <c r="D380">
        <v>1.38</v>
      </c>
      <c r="E380" s="1">
        <v>42171</v>
      </c>
      <c r="F380">
        <v>0.25</v>
      </c>
    </row>
    <row r="381" spans="1:6" x14ac:dyDescent="0.25">
      <c r="A381" s="1">
        <v>42198</v>
      </c>
      <c r="B381">
        <v>2.58</v>
      </c>
      <c r="C381" s="1">
        <v>42198</v>
      </c>
      <c r="D381">
        <v>1.4</v>
      </c>
      <c r="E381" s="1">
        <v>42172</v>
      </c>
      <c r="F381">
        <v>0.25</v>
      </c>
    </row>
    <row r="382" spans="1:6" x14ac:dyDescent="0.25">
      <c r="A382" s="1">
        <v>42199</v>
      </c>
      <c r="B382">
        <v>2.5499999999999998</v>
      </c>
      <c r="C382" s="1">
        <v>42199</v>
      </c>
      <c r="D382">
        <v>1.41</v>
      </c>
      <c r="E382" s="1">
        <v>42173</v>
      </c>
      <c r="F382">
        <v>0.25</v>
      </c>
    </row>
    <row r="383" spans="1:6" x14ac:dyDescent="0.25">
      <c r="A383" s="1">
        <v>42200</v>
      </c>
      <c r="B383">
        <v>2.5</v>
      </c>
      <c r="C383" s="1">
        <v>42200</v>
      </c>
      <c r="D383">
        <v>1.4</v>
      </c>
      <c r="E383" s="1">
        <v>42174</v>
      </c>
      <c r="F383">
        <v>0.25</v>
      </c>
    </row>
    <row r="384" spans="1:6" x14ac:dyDescent="0.25">
      <c r="A384" s="1">
        <v>42201</v>
      </c>
      <c r="B384">
        <v>2.5</v>
      </c>
      <c r="C384" s="1">
        <v>42201</v>
      </c>
      <c r="D384">
        <v>1.35</v>
      </c>
      <c r="E384" s="1">
        <v>42177</v>
      </c>
      <c r="F384">
        <v>0.25</v>
      </c>
    </row>
    <row r="385" spans="1:6" x14ac:dyDescent="0.25">
      <c r="A385" s="1">
        <v>42202</v>
      </c>
      <c r="B385">
        <v>2.5299999999999998</v>
      </c>
      <c r="C385" s="1">
        <v>42202</v>
      </c>
      <c r="D385">
        <v>1.45</v>
      </c>
      <c r="E385" s="1">
        <v>42178</v>
      </c>
      <c r="F385">
        <v>0.25</v>
      </c>
    </row>
    <row r="386" spans="1:6" x14ac:dyDescent="0.25">
      <c r="A386" s="1">
        <v>42205</v>
      </c>
      <c r="B386">
        <v>2.4</v>
      </c>
      <c r="C386" s="1">
        <v>42205</v>
      </c>
      <c r="D386">
        <v>1.27</v>
      </c>
      <c r="E386" s="1">
        <v>42179</v>
      </c>
      <c r="F386">
        <v>0.25</v>
      </c>
    </row>
    <row r="387" spans="1:6" x14ac:dyDescent="0.25">
      <c r="A387" s="1">
        <v>42206</v>
      </c>
      <c r="B387">
        <v>2.4500000000000002</v>
      </c>
      <c r="C387" s="1">
        <v>42206</v>
      </c>
      <c r="D387">
        <v>1.29</v>
      </c>
      <c r="E387" s="1">
        <v>42180</v>
      </c>
      <c r="F387">
        <v>0.25</v>
      </c>
    </row>
    <row r="388" spans="1:6" x14ac:dyDescent="0.25">
      <c r="A388" s="1">
        <v>42207</v>
      </c>
      <c r="B388">
        <v>2.5</v>
      </c>
      <c r="C388" s="1">
        <v>42207</v>
      </c>
      <c r="D388">
        <v>1.3</v>
      </c>
      <c r="E388" s="1">
        <v>42181</v>
      </c>
      <c r="F388">
        <v>0.25</v>
      </c>
    </row>
    <row r="389" spans="1:6" x14ac:dyDescent="0.25">
      <c r="A389" s="1">
        <v>42208</v>
      </c>
      <c r="B389">
        <v>2.56</v>
      </c>
      <c r="C389" s="1">
        <v>42208</v>
      </c>
      <c r="D389">
        <v>1.31</v>
      </c>
      <c r="E389" s="1">
        <v>42184</v>
      </c>
      <c r="F389">
        <v>0.25</v>
      </c>
    </row>
    <row r="390" spans="1:6" x14ac:dyDescent="0.25">
      <c r="A390" s="1">
        <v>42209</v>
      </c>
      <c r="B390">
        <v>2.5299999999999998</v>
      </c>
      <c r="C390" s="1">
        <v>42209</v>
      </c>
      <c r="D390">
        <v>1.33</v>
      </c>
      <c r="E390" s="1">
        <v>42185</v>
      </c>
      <c r="F390">
        <v>0.25</v>
      </c>
    </row>
    <row r="391" spans="1:6" x14ac:dyDescent="0.25">
      <c r="A391" s="1">
        <v>42212</v>
      </c>
      <c r="B391">
        <v>2.52</v>
      </c>
      <c r="C391" s="1">
        <v>42212</v>
      </c>
      <c r="D391">
        <v>1.37</v>
      </c>
      <c r="E391" s="1">
        <v>42186</v>
      </c>
      <c r="F391">
        <v>0.25</v>
      </c>
    </row>
    <row r="392" spans="1:6" x14ac:dyDescent="0.25">
      <c r="A392" s="1">
        <v>42213</v>
      </c>
      <c r="B392">
        <v>2.44</v>
      </c>
      <c r="C392" s="1">
        <v>42213</v>
      </c>
      <c r="D392">
        <v>1.38</v>
      </c>
      <c r="E392" s="1">
        <v>42187</v>
      </c>
      <c r="F392">
        <v>0.25</v>
      </c>
    </row>
    <row r="393" spans="1:6" x14ac:dyDescent="0.25">
      <c r="A393" s="1">
        <v>42214</v>
      </c>
      <c r="B393">
        <v>2.46</v>
      </c>
      <c r="C393" s="1">
        <v>42214</v>
      </c>
      <c r="D393">
        <v>1.42</v>
      </c>
      <c r="E393" s="1">
        <v>42188</v>
      </c>
      <c r="F393">
        <v>0.25</v>
      </c>
    </row>
    <row r="394" spans="1:6" x14ac:dyDescent="0.25">
      <c r="A394" s="1">
        <v>42215</v>
      </c>
      <c r="B394">
        <v>2.48</v>
      </c>
      <c r="C394" s="1">
        <v>42215</v>
      </c>
      <c r="D394">
        <v>1.44</v>
      </c>
      <c r="E394" s="1">
        <v>42191</v>
      </c>
      <c r="F394">
        <v>0.25</v>
      </c>
    </row>
    <row r="395" spans="1:6" x14ac:dyDescent="0.25">
      <c r="A395" s="1">
        <v>42216</v>
      </c>
      <c r="B395">
        <v>2.4700000000000002</v>
      </c>
      <c r="C395" s="1">
        <v>42216</v>
      </c>
      <c r="D395">
        <v>1.46</v>
      </c>
      <c r="E395" s="1">
        <v>42192</v>
      </c>
      <c r="F395">
        <v>0.25</v>
      </c>
    </row>
    <row r="396" spans="1:6" x14ac:dyDescent="0.25">
      <c r="A396" s="1">
        <v>42219</v>
      </c>
      <c r="B396">
        <v>2.4500000000000002</v>
      </c>
      <c r="C396" s="1">
        <v>42219</v>
      </c>
      <c r="D396">
        <v>1.47</v>
      </c>
      <c r="E396" s="1">
        <v>42193</v>
      </c>
      <c r="F396">
        <v>0.25</v>
      </c>
    </row>
    <row r="397" spans="1:6" x14ac:dyDescent="0.25">
      <c r="A397" s="1">
        <v>42220</v>
      </c>
      <c r="B397">
        <v>2.4300000000000002</v>
      </c>
      <c r="C397" s="1">
        <v>42220</v>
      </c>
      <c r="D397">
        <v>1.48</v>
      </c>
      <c r="E397" s="1">
        <v>42194</v>
      </c>
      <c r="F397">
        <v>0.25</v>
      </c>
    </row>
    <row r="398" spans="1:6" x14ac:dyDescent="0.25">
      <c r="A398" s="1">
        <v>42221</v>
      </c>
      <c r="B398">
        <v>2.41</v>
      </c>
      <c r="C398" s="1">
        <v>42221</v>
      </c>
      <c r="D398">
        <v>1.49</v>
      </c>
      <c r="E398" s="1">
        <v>42195</v>
      </c>
      <c r="F398">
        <v>0.25</v>
      </c>
    </row>
    <row r="399" spans="1:6" x14ac:dyDescent="0.25">
      <c r="A399" s="1">
        <v>42222</v>
      </c>
      <c r="B399">
        <v>2.2999999999999998</v>
      </c>
      <c r="C399" s="1">
        <v>42222</v>
      </c>
      <c r="D399">
        <v>1.5</v>
      </c>
      <c r="E399" s="1">
        <v>42198</v>
      </c>
      <c r="F399">
        <v>0.25</v>
      </c>
    </row>
    <row r="400" spans="1:6" x14ac:dyDescent="0.25">
      <c r="A400" s="1">
        <v>42223</v>
      </c>
      <c r="B400">
        <v>2.44</v>
      </c>
      <c r="C400" s="1">
        <v>42223</v>
      </c>
      <c r="D400">
        <v>1.53</v>
      </c>
      <c r="E400" s="1">
        <v>42199</v>
      </c>
      <c r="F400">
        <v>0.25</v>
      </c>
    </row>
    <row r="401" spans="1:6" x14ac:dyDescent="0.25">
      <c r="A401" s="1">
        <v>42226</v>
      </c>
      <c r="B401">
        <v>2.42</v>
      </c>
      <c r="C401" s="1">
        <v>42226</v>
      </c>
      <c r="D401">
        <v>1.55</v>
      </c>
      <c r="E401" s="1">
        <v>42200</v>
      </c>
      <c r="F401">
        <v>0.25</v>
      </c>
    </row>
    <row r="402" spans="1:6" x14ac:dyDescent="0.25">
      <c r="A402" s="1">
        <v>42227</v>
      </c>
      <c r="B402">
        <v>2.4</v>
      </c>
      <c r="C402" s="1">
        <v>42227</v>
      </c>
      <c r="D402">
        <v>1.57</v>
      </c>
      <c r="E402" s="1">
        <v>42201</v>
      </c>
      <c r="F402">
        <v>0.25</v>
      </c>
    </row>
    <row r="403" spans="1:6" x14ac:dyDescent="0.25">
      <c r="A403" s="1">
        <v>42228</v>
      </c>
      <c r="B403">
        <v>2.44</v>
      </c>
      <c r="C403" s="1">
        <v>42228</v>
      </c>
      <c r="D403">
        <v>1.59</v>
      </c>
      <c r="E403" s="1">
        <v>42202</v>
      </c>
      <c r="F403">
        <v>0.25</v>
      </c>
    </row>
    <row r="404" spans="1:6" x14ac:dyDescent="0.25">
      <c r="A404" s="1">
        <v>42229</v>
      </c>
      <c r="B404">
        <v>2.4500000000000002</v>
      </c>
      <c r="C404" s="1">
        <v>42229</v>
      </c>
      <c r="D404">
        <v>1.62</v>
      </c>
      <c r="E404" s="1">
        <v>42205</v>
      </c>
      <c r="F404">
        <v>0.25</v>
      </c>
    </row>
    <row r="405" spans="1:6" x14ac:dyDescent="0.25">
      <c r="A405" s="1">
        <v>42230</v>
      </c>
      <c r="B405">
        <v>2.48</v>
      </c>
      <c r="C405" s="1">
        <v>42230</v>
      </c>
      <c r="D405">
        <v>1.65</v>
      </c>
      <c r="E405" s="1">
        <v>42206</v>
      </c>
      <c r="F405">
        <v>0.25</v>
      </c>
    </row>
    <row r="406" spans="1:6" x14ac:dyDescent="0.25">
      <c r="A406" s="1">
        <v>42233</v>
      </c>
      <c r="B406">
        <v>2.48</v>
      </c>
      <c r="C406" s="1">
        <v>42233</v>
      </c>
      <c r="D406">
        <v>1.68</v>
      </c>
      <c r="E406" s="1">
        <v>42207</v>
      </c>
      <c r="F406">
        <v>0.25</v>
      </c>
    </row>
    <row r="407" spans="1:6" x14ac:dyDescent="0.25">
      <c r="A407" s="1">
        <v>42234</v>
      </c>
      <c r="B407">
        <v>2.4900000000000002</v>
      </c>
      <c r="C407" s="1">
        <v>42234</v>
      </c>
      <c r="D407">
        <v>1.73</v>
      </c>
      <c r="E407" s="1">
        <v>42208</v>
      </c>
      <c r="F407">
        <v>0.25</v>
      </c>
    </row>
    <row r="408" spans="1:6" x14ac:dyDescent="0.25">
      <c r="A408" s="1">
        <v>42235</v>
      </c>
      <c r="B408">
        <v>2.52</v>
      </c>
      <c r="C408" s="1">
        <v>42235</v>
      </c>
      <c r="D408">
        <v>1.77</v>
      </c>
      <c r="E408" s="1">
        <v>42209</v>
      </c>
      <c r="F408">
        <v>0.25</v>
      </c>
    </row>
    <row r="409" spans="1:6" x14ac:dyDescent="0.25">
      <c r="A409" s="1">
        <v>42236</v>
      </c>
      <c r="B409">
        <v>2.59</v>
      </c>
      <c r="C409" s="1">
        <v>42236</v>
      </c>
      <c r="D409">
        <v>1.81</v>
      </c>
      <c r="E409" s="1">
        <v>42212</v>
      </c>
      <c r="F409">
        <v>0.25</v>
      </c>
    </row>
    <row r="410" spans="1:6" x14ac:dyDescent="0.25">
      <c r="A410" s="1">
        <v>42237</v>
      </c>
      <c r="B410">
        <v>2.56</v>
      </c>
      <c r="C410" s="1">
        <v>42237</v>
      </c>
      <c r="D410">
        <v>1.82</v>
      </c>
      <c r="E410" s="1">
        <v>42213</v>
      </c>
      <c r="F410">
        <v>0.25</v>
      </c>
    </row>
    <row r="411" spans="1:6" x14ac:dyDescent="0.25">
      <c r="A411" s="1">
        <v>42240</v>
      </c>
      <c r="B411">
        <v>2.5299999999999998</v>
      </c>
      <c r="C411" s="1">
        <v>42240</v>
      </c>
      <c r="D411">
        <v>1.84</v>
      </c>
      <c r="E411" s="1">
        <v>42214</v>
      </c>
      <c r="F411">
        <v>0.25</v>
      </c>
    </row>
    <row r="412" spans="1:6" x14ac:dyDescent="0.25">
      <c r="A412" s="1">
        <v>42241</v>
      </c>
      <c r="B412">
        <v>2.56</v>
      </c>
      <c r="C412" s="1">
        <v>42241</v>
      </c>
      <c r="D412">
        <v>1.85</v>
      </c>
      <c r="E412" s="1">
        <v>42215</v>
      </c>
      <c r="F412">
        <v>0.25</v>
      </c>
    </row>
    <row r="413" spans="1:6" x14ac:dyDescent="0.25">
      <c r="A413" s="1">
        <v>42242</v>
      </c>
      <c r="B413">
        <v>2.39</v>
      </c>
      <c r="C413" s="1">
        <v>42242</v>
      </c>
      <c r="D413">
        <v>1.74</v>
      </c>
      <c r="E413" s="1">
        <v>42216</v>
      </c>
      <c r="F413">
        <v>0.25</v>
      </c>
    </row>
    <row r="414" spans="1:6" x14ac:dyDescent="0.25">
      <c r="A414" s="1">
        <v>42243</v>
      </c>
      <c r="B414">
        <v>2.33</v>
      </c>
      <c r="C414" s="1">
        <v>42243</v>
      </c>
      <c r="D414">
        <v>1.72</v>
      </c>
      <c r="E414" s="1">
        <v>42219</v>
      </c>
      <c r="F414">
        <v>0.25</v>
      </c>
    </row>
    <row r="415" spans="1:6" x14ac:dyDescent="0.25">
      <c r="A415" s="1">
        <v>42244</v>
      </c>
      <c r="B415">
        <v>2.38</v>
      </c>
      <c r="C415" s="1">
        <v>42244</v>
      </c>
      <c r="D415">
        <v>1.75</v>
      </c>
      <c r="E415" s="1">
        <v>42220</v>
      </c>
      <c r="F415">
        <v>0.25</v>
      </c>
    </row>
    <row r="416" spans="1:6" x14ac:dyDescent="0.25">
      <c r="A416" s="1">
        <v>42247</v>
      </c>
      <c r="B416">
        <v>2.42</v>
      </c>
      <c r="C416" s="1">
        <v>42247</v>
      </c>
      <c r="D416">
        <v>1.77</v>
      </c>
      <c r="E416" s="1">
        <v>42221</v>
      </c>
      <c r="F416">
        <v>0.25</v>
      </c>
    </row>
    <row r="417" spans="1:6" x14ac:dyDescent="0.25">
      <c r="A417" s="1">
        <v>42248</v>
      </c>
      <c r="B417">
        <v>2.4</v>
      </c>
      <c r="C417" s="1">
        <v>42248</v>
      </c>
      <c r="D417">
        <v>1.8</v>
      </c>
      <c r="E417" s="1">
        <v>42222</v>
      </c>
      <c r="F417">
        <v>0.25</v>
      </c>
    </row>
    <row r="418" spans="1:6" x14ac:dyDescent="0.25">
      <c r="A418" s="1">
        <v>42249</v>
      </c>
      <c r="B418">
        <v>2.48</v>
      </c>
      <c r="C418" s="1">
        <v>42249</v>
      </c>
      <c r="D418">
        <v>2.0299999999999998</v>
      </c>
      <c r="E418" s="1">
        <v>42223</v>
      </c>
      <c r="F418">
        <v>0.25</v>
      </c>
    </row>
    <row r="419" spans="1:6" x14ac:dyDescent="0.25">
      <c r="A419" s="1">
        <v>42253</v>
      </c>
      <c r="B419">
        <v>2.37</v>
      </c>
      <c r="C419" s="1">
        <v>42253</v>
      </c>
      <c r="D419">
        <v>1.86</v>
      </c>
      <c r="E419" s="1">
        <v>42226</v>
      </c>
      <c r="F419">
        <v>0.25</v>
      </c>
    </row>
    <row r="420" spans="1:6" x14ac:dyDescent="0.25">
      <c r="A420" s="1">
        <v>42254</v>
      </c>
      <c r="B420">
        <v>2.4</v>
      </c>
      <c r="C420" s="1">
        <v>42254</v>
      </c>
      <c r="D420">
        <v>1.88</v>
      </c>
      <c r="E420" s="1">
        <v>42227</v>
      </c>
      <c r="F420">
        <v>0.25</v>
      </c>
    </row>
    <row r="421" spans="1:6" x14ac:dyDescent="0.25">
      <c r="A421" s="1">
        <v>42255</v>
      </c>
      <c r="B421">
        <v>2.41</v>
      </c>
      <c r="C421" s="1">
        <v>42255</v>
      </c>
      <c r="D421">
        <v>1.87</v>
      </c>
      <c r="E421" s="1">
        <v>42228</v>
      </c>
      <c r="F421">
        <v>0.25</v>
      </c>
    </row>
    <row r="422" spans="1:6" x14ac:dyDescent="0.25">
      <c r="A422" s="1">
        <v>42256</v>
      </c>
      <c r="B422">
        <v>2.38</v>
      </c>
      <c r="C422" s="1">
        <v>42256</v>
      </c>
      <c r="D422">
        <v>1.86</v>
      </c>
      <c r="E422" s="1">
        <v>42229</v>
      </c>
      <c r="F422">
        <v>0.25</v>
      </c>
    </row>
    <row r="423" spans="1:6" x14ac:dyDescent="0.25">
      <c r="A423" s="1">
        <v>42257</v>
      </c>
      <c r="B423">
        <v>2.4300000000000002</v>
      </c>
      <c r="C423" s="1">
        <v>42257</v>
      </c>
      <c r="D423">
        <v>1.87</v>
      </c>
      <c r="E423" s="1">
        <v>42230</v>
      </c>
      <c r="F423">
        <v>0.25</v>
      </c>
    </row>
    <row r="424" spans="1:6" x14ac:dyDescent="0.25">
      <c r="A424" s="1">
        <v>42258</v>
      </c>
      <c r="B424">
        <v>2.35</v>
      </c>
      <c r="C424" s="1">
        <v>42258</v>
      </c>
      <c r="D424">
        <v>1.87</v>
      </c>
      <c r="E424" s="1">
        <v>42233</v>
      </c>
      <c r="F424">
        <v>0.25</v>
      </c>
    </row>
    <row r="425" spans="1:6" x14ac:dyDescent="0.25">
      <c r="A425" s="1">
        <v>42261</v>
      </c>
      <c r="B425">
        <v>2.36</v>
      </c>
      <c r="C425" s="1">
        <v>42261</v>
      </c>
      <c r="D425">
        <v>1.87</v>
      </c>
      <c r="E425" s="1">
        <v>42234</v>
      </c>
      <c r="F425">
        <v>0.25</v>
      </c>
    </row>
    <row r="426" spans="1:6" x14ac:dyDescent="0.25">
      <c r="A426" s="1">
        <v>42262</v>
      </c>
      <c r="B426">
        <v>2.37</v>
      </c>
      <c r="C426" s="1">
        <v>42262</v>
      </c>
      <c r="D426">
        <v>1.88</v>
      </c>
      <c r="E426" s="1">
        <v>42235</v>
      </c>
      <c r="F426">
        <v>0.25</v>
      </c>
    </row>
    <row r="427" spans="1:6" x14ac:dyDescent="0.25">
      <c r="A427" s="1">
        <v>42263</v>
      </c>
      <c r="B427">
        <v>2.39</v>
      </c>
      <c r="C427" s="1">
        <v>42263</v>
      </c>
      <c r="D427">
        <v>1.88</v>
      </c>
      <c r="E427" s="1">
        <v>42236</v>
      </c>
      <c r="F427">
        <v>0.25</v>
      </c>
    </row>
    <row r="428" spans="1:6" x14ac:dyDescent="0.25">
      <c r="A428" s="1">
        <v>42264</v>
      </c>
      <c r="B428">
        <v>2.37</v>
      </c>
      <c r="C428" s="1">
        <v>42264</v>
      </c>
      <c r="D428">
        <v>1.87</v>
      </c>
      <c r="E428" s="1">
        <v>42237</v>
      </c>
      <c r="F428">
        <v>0.25</v>
      </c>
    </row>
    <row r="429" spans="1:6" x14ac:dyDescent="0.25">
      <c r="A429" s="1">
        <v>42265</v>
      </c>
      <c r="B429">
        <v>2.4</v>
      </c>
      <c r="C429" s="1">
        <v>42265</v>
      </c>
      <c r="D429">
        <v>1.88</v>
      </c>
      <c r="E429" s="1">
        <v>42240</v>
      </c>
      <c r="F429">
        <v>0.25</v>
      </c>
    </row>
    <row r="430" spans="1:6" x14ac:dyDescent="0.25">
      <c r="A430" s="1">
        <v>42268</v>
      </c>
      <c r="B430">
        <v>2.36</v>
      </c>
      <c r="C430" s="1">
        <v>42268</v>
      </c>
      <c r="D430">
        <v>1.88</v>
      </c>
      <c r="E430" s="1">
        <v>42241</v>
      </c>
      <c r="F430">
        <v>0.25</v>
      </c>
    </row>
    <row r="431" spans="1:6" x14ac:dyDescent="0.25">
      <c r="A431" s="1">
        <v>42269</v>
      </c>
      <c r="B431">
        <v>2.37</v>
      </c>
      <c r="C431" s="1">
        <v>42269</v>
      </c>
      <c r="D431">
        <v>1.88</v>
      </c>
      <c r="E431" s="1">
        <v>42242</v>
      </c>
      <c r="F431">
        <v>0.25</v>
      </c>
    </row>
    <row r="432" spans="1:6" x14ac:dyDescent="0.25">
      <c r="A432" s="1">
        <v>42270</v>
      </c>
      <c r="B432">
        <v>2.34</v>
      </c>
      <c r="C432" s="1">
        <v>42270</v>
      </c>
      <c r="D432">
        <v>1.88</v>
      </c>
      <c r="E432" s="1">
        <v>42243</v>
      </c>
      <c r="F432">
        <v>0.25</v>
      </c>
    </row>
    <row r="433" spans="1:6" x14ac:dyDescent="0.25">
      <c r="A433" s="1">
        <v>42271</v>
      </c>
      <c r="B433">
        <v>2.4500000000000002</v>
      </c>
      <c r="C433" s="1">
        <v>42271</v>
      </c>
      <c r="D433">
        <v>1.88</v>
      </c>
      <c r="E433" s="1">
        <v>42244</v>
      </c>
      <c r="F433">
        <v>0.25</v>
      </c>
    </row>
    <row r="434" spans="1:6" x14ac:dyDescent="0.25">
      <c r="A434" s="1">
        <v>42272</v>
      </c>
      <c r="B434">
        <v>2.37</v>
      </c>
      <c r="C434" s="1">
        <v>42272</v>
      </c>
      <c r="D434">
        <v>1.88</v>
      </c>
      <c r="E434" s="1">
        <v>42247</v>
      </c>
      <c r="F434">
        <v>0.25</v>
      </c>
    </row>
    <row r="435" spans="1:6" x14ac:dyDescent="0.25">
      <c r="A435" s="1">
        <v>42275</v>
      </c>
      <c r="B435">
        <v>2.35</v>
      </c>
      <c r="C435" s="1">
        <v>42275</v>
      </c>
      <c r="D435">
        <v>1.89</v>
      </c>
      <c r="E435" s="1">
        <v>42248</v>
      </c>
      <c r="F435">
        <v>0.25</v>
      </c>
    </row>
    <row r="436" spans="1:6" x14ac:dyDescent="0.25">
      <c r="A436" s="1">
        <v>42276</v>
      </c>
      <c r="B436">
        <v>2.5099999999999998</v>
      </c>
      <c r="C436" s="1">
        <v>42276</v>
      </c>
      <c r="D436">
        <v>1.89</v>
      </c>
      <c r="E436" s="1">
        <v>42249</v>
      </c>
      <c r="F436">
        <v>0.25</v>
      </c>
    </row>
    <row r="437" spans="1:6" x14ac:dyDescent="0.25">
      <c r="A437" s="1">
        <v>42277</v>
      </c>
      <c r="B437">
        <v>2.36</v>
      </c>
      <c r="C437" s="1">
        <v>42277</v>
      </c>
      <c r="D437">
        <v>1.98</v>
      </c>
      <c r="E437" s="1">
        <v>42250</v>
      </c>
      <c r="F437">
        <v>0.25</v>
      </c>
    </row>
    <row r="438" spans="1:6" x14ac:dyDescent="0.25">
      <c r="A438" s="1">
        <v>42285</v>
      </c>
      <c r="B438">
        <v>2.37</v>
      </c>
      <c r="C438" s="1">
        <v>42285</v>
      </c>
      <c r="D438">
        <v>1.87</v>
      </c>
      <c r="E438" s="1">
        <v>42251</v>
      </c>
      <c r="F438">
        <v>0.25</v>
      </c>
    </row>
    <row r="439" spans="1:6" x14ac:dyDescent="0.25">
      <c r="A439" s="1">
        <v>42286</v>
      </c>
      <c r="B439">
        <v>2.42</v>
      </c>
      <c r="C439" s="1">
        <v>42286</v>
      </c>
      <c r="D439">
        <v>1.87</v>
      </c>
      <c r="E439" s="1">
        <v>42254</v>
      </c>
      <c r="F439">
        <v>0.25</v>
      </c>
    </row>
    <row r="440" spans="1:6" x14ac:dyDescent="0.25">
      <c r="A440" s="1">
        <v>42287</v>
      </c>
      <c r="B440">
        <v>2.36</v>
      </c>
      <c r="C440" s="1">
        <v>42287</v>
      </c>
      <c r="D440">
        <v>1.88</v>
      </c>
      <c r="E440" s="1">
        <v>42255</v>
      </c>
      <c r="F440">
        <v>0.25</v>
      </c>
    </row>
    <row r="441" spans="1:6" x14ac:dyDescent="0.25">
      <c r="A441" s="1">
        <v>42289</v>
      </c>
      <c r="B441">
        <v>2.37</v>
      </c>
      <c r="C441" s="1">
        <v>42289</v>
      </c>
      <c r="D441">
        <v>1.88</v>
      </c>
      <c r="E441" s="1">
        <v>42256</v>
      </c>
      <c r="F441">
        <v>0.25</v>
      </c>
    </row>
    <row r="442" spans="1:6" x14ac:dyDescent="0.25">
      <c r="A442" s="1">
        <v>42290</v>
      </c>
      <c r="B442">
        <v>2.4</v>
      </c>
      <c r="C442" s="1">
        <v>42290</v>
      </c>
      <c r="D442">
        <v>1.88</v>
      </c>
      <c r="E442" s="1">
        <v>42257</v>
      </c>
      <c r="F442">
        <v>0.25</v>
      </c>
    </row>
    <row r="443" spans="1:6" x14ac:dyDescent="0.25">
      <c r="A443" s="1">
        <v>42291</v>
      </c>
      <c r="B443">
        <v>2.4300000000000002</v>
      </c>
      <c r="C443" s="1">
        <v>42291</v>
      </c>
      <c r="D443">
        <v>1.88</v>
      </c>
      <c r="E443" s="1">
        <v>42258</v>
      </c>
      <c r="F443">
        <v>0.25</v>
      </c>
    </row>
    <row r="444" spans="1:6" x14ac:dyDescent="0.25">
      <c r="A444" s="1">
        <v>42292</v>
      </c>
      <c r="B444">
        <v>2.41</v>
      </c>
      <c r="C444" s="1">
        <v>42292</v>
      </c>
      <c r="D444">
        <v>1.88</v>
      </c>
      <c r="E444" s="1">
        <v>42261</v>
      </c>
      <c r="F444">
        <v>0.25</v>
      </c>
    </row>
    <row r="445" spans="1:6" x14ac:dyDescent="0.25">
      <c r="A445" s="1">
        <v>42293</v>
      </c>
      <c r="B445">
        <v>2.4</v>
      </c>
      <c r="C445" s="1">
        <v>42293</v>
      </c>
      <c r="D445">
        <v>1.88</v>
      </c>
      <c r="E445" s="1">
        <v>42262</v>
      </c>
      <c r="F445">
        <v>0.25</v>
      </c>
    </row>
    <row r="446" spans="1:6" x14ac:dyDescent="0.25">
      <c r="A446" s="1">
        <v>42296</v>
      </c>
      <c r="B446">
        <v>2.4</v>
      </c>
      <c r="C446" s="1">
        <v>42296</v>
      </c>
      <c r="D446">
        <v>1.88</v>
      </c>
      <c r="E446" s="1">
        <v>42263</v>
      </c>
      <c r="F446">
        <v>0.25</v>
      </c>
    </row>
    <row r="447" spans="1:6" x14ac:dyDescent="0.25">
      <c r="A447" s="1">
        <v>42297</v>
      </c>
      <c r="B447">
        <v>2.4</v>
      </c>
      <c r="C447" s="1">
        <v>42297</v>
      </c>
      <c r="D447">
        <v>1.9</v>
      </c>
      <c r="E447" s="1">
        <v>42264</v>
      </c>
      <c r="F447">
        <v>0.25</v>
      </c>
    </row>
    <row r="448" spans="1:6" x14ac:dyDescent="0.25">
      <c r="A448" s="1">
        <v>42298</v>
      </c>
      <c r="B448">
        <v>2.39</v>
      </c>
      <c r="C448" s="1">
        <v>42298</v>
      </c>
      <c r="D448">
        <v>1.88</v>
      </c>
      <c r="E448" s="1">
        <v>42265</v>
      </c>
      <c r="F448">
        <v>0.25</v>
      </c>
    </row>
    <row r="449" spans="1:6" x14ac:dyDescent="0.25">
      <c r="A449" s="1">
        <v>42299</v>
      </c>
      <c r="B449">
        <v>2.39</v>
      </c>
      <c r="C449" s="1">
        <v>42299</v>
      </c>
      <c r="D449">
        <v>1.88</v>
      </c>
      <c r="E449" s="1">
        <v>42268</v>
      </c>
      <c r="F449">
        <v>0.25</v>
      </c>
    </row>
    <row r="450" spans="1:6" x14ac:dyDescent="0.25">
      <c r="A450" s="1">
        <v>42300</v>
      </c>
      <c r="B450">
        <v>2.4</v>
      </c>
      <c r="C450" s="1">
        <v>42300</v>
      </c>
      <c r="D450">
        <v>1.89</v>
      </c>
      <c r="E450" s="1">
        <v>42269</v>
      </c>
      <c r="F450">
        <v>0.25</v>
      </c>
    </row>
    <row r="451" spans="1:6" x14ac:dyDescent="0.25">
      <c r="A451" s="1">
        <v>42303</v>
      </c>
      <c r="B451">
        <v>2.37</v>
      </c>
      <c r="C451" s="1">
        <v>42303</v>
      </c>
      <c r="D451">
        <v>1.81</v>
      </c>
      <c r="E451" s="1">
        <v>42270</v>
      </c>
      <c r="F451">
        <v>0.25</v>
      </c>
    </row>
    <row r="452" spans="1:6" x14ac:dyDescent="0.25">
      <c r="A452" s="1">
        <v>42304</v>
      </c>
      <c r="B452">
        <v>2.2799999999999998</v>
      </c>
      <c r="C452" s="1">
        <v>42304</v>
      </c>
      <c r="D452">
        <v>1.76</v>
      </c>
      <c r="E452" s="1">
        <v>42271</v>
      </c>
      <c r="F452">
        <v>0.25</v>
      </c>
    </row>
    <row r="453" spans="1:6" x14ac:dyDescent="0.25">
      <c r="A453" s="1">
        <v>42305</v>
      </c>
      <c r="B453">
        <v>2.2999999999999998</v>
      </c>
      <c r="C453" s="1">
        <v>42305</v>
      </c>
      <c r="D453">
        <v>1.76</v>
      </c>
      <c r="E453" s="1">
        <v>42272</v>
      </c>
      <c r="F453">
        <v>0.25</v>
      </c>
    </row>
    <row r="454" spans="1:6" x14ac:dyDescent="0.25">
      <c r="A454" s="1">
        <v>42306</v>
      </c>
      <c r="B454">
        <v>2.34</v>
      </c>
      <c r="C454" s="1">
        <v>42306</v>
      </c>
      <c r="D454">
        <v>1.76</v>
      </c>
      <c r="E454" s="1">
        <v>42275</v>
      </c>
      <c r="F454">
        <v>0.25</v>
      </c>
    </row>
    <row r="455" spans="1:6" x14ac:dyDescent="0.25">
      <c r="A455" s="1">
        <v>42307</v>
      </c>
      <c r="B455">
        <v>2.34</v>
      </c>
      <c r="C455" s="1">
        <v>42307</v>
      </c>
      <c r="D455">
        <v>1.76</v>
      </c>
      <c r="E455" s="1">
        <v>42276</v>
      </c>
      <c r="F455">
        <v>0.25</v>
      </c>
    </row>
    <row r="456" spans="1:6" x14ac:dyDescent="0.25">
      <c r="A456" s="1">
        <v>42310</v>
      </c>
      <c r="B456">
        <v>2.33</v>
      </c>
      <c r="C456" s="1">
        <v>42310</v>
      </c>
      <c r="D456">
        <v>1.76</v>
      </c>
      <c r="E456" s="1">
        <v>42277</v>
      </c>
      <c r="F456">
        <v>0.25</v>
      </c>
    </row>
    <row r="457" spans="1:6" x14ac:dyDescent="0.25">
      <c r="A457" s="1">
        <v>42311</v>
      </c>
      <c r="B457">
        <v>2.35</v>
      </c>
      <c r="C457" s="1">
        <v>42311</v>
      </c>
      <c r="D457">
        <v>1.76</v>
      </c>
      <c r="E457" s="1">
        <v>42278</v>
      </c>
      <c r="F457">
        <v>0.25</v>
      </c>
    </row>
    <row r="458" spans="1:6" x14ac:dyDescent="0.25">
      <c r="A458" s="1">
        <v>42312</v>
      </c>
      <c r="B458">
        <v>2.35</v>
      </c>
      <c r="C458" s="1">
        <v>42312</v>
      </c>
      <c r="D458">
        <v>1.76</v>
      </c>
      <c r="E458" s="1">
        <v>42279</v>
      </c>
      <c r="F458">
        <v>0.25</v>
      </c>
    </row>
    <row r="459" spans="1:6" x14ac:dyDescent="0.25">
      <c r="A459" s="1">
        <v>42313</v>
      </c>
      <c r="B459">
        <v>2.31</v>
      </c>
      <c r="C459" s="1">
        <v>42313</v>
      </c>
      <c r="D459">
        <v>1.76</v>
      </c>
      <c r="E459" s="1">
        <v>42282</v>
      </c>
      <c r="F459">
        <v>0.25</v>
      </c>
    </row>
    <row r="460" spans="1:6" x14ac:dyDescent="0.25">
      <c r="A460" s="1">
        <v>42314</v>
      </c>
      <c r="B460">
        <v>2.3199999999999998</v>
      </c>
      <c r="C460" s="1">
        <v>42314</v>
      </c>
      <c r="D460">
        <v>1.76</v>
      </c>
      <c r="E460" s="1">
        <v>42283</v>
      </c>
      <c r="F460">
        <v>0.25</v>
      </c>
    </row>
    <row r="461" spans="1:6" x14ac:dyDescent="0.25">
      <c r="A461" s="1">
        <v>42317</v>
      </c>
      <c r="B461">
        <v>2.2999999999999998</v>
      </c>
      <c r="C461" s="1">
        <v>42317</v>
      </c>
      <c r="D461">
        <v>1.76</v>
      </c>
      <c r="E461" s="1">
        <v>42284</v>
      </c>
      <c r="F461">
        <v>0.25</v>
      </c>
    </row>
    <row r="462" spans="1:6" x14ac:dyDescent="0.25">
      <c r="A462" s="1">
        <v>42318</v>
      </c>
      <c r="B462">
        <v>2.31</v>
      </c>
      <c r="C462" s="1">
        <v>42318</v>
      </c>
      <c r="D462">
        <v>1.76</v>
      </c>
      <c r="E462" s="1">
        <v>42285</v>
      </c>
      <c r="F462">
        <v>0.25</v>
      </c>
    </row>
    <row r="463" spans="1:6" x14ac:dyDescent="0.25">
      <c r="A463" s="1">
        <v>42319</v>
      </c>
      <c r="B463">
        <v>2.2999999999999998</v>
      </c>
      <c r="C463" s="1">
        <v>42319</v>
      </c>
      <c r="D463">
        <v>1.77</v>
      </c>
      <c r="E463" s="1">
        <v>42286</v>
      </c>
      <c r="F463">
        <v>0.25</v>
      </c>
    </row>
    <row r="464" spans="1:6" x14ac:dyDescent="0.25">
      <c r="A464" s="1">
        <v>42320</v>
      </c>
      <c r="B464">
        <v>2.3199999999999998</v>
      </c>
      <c r="C464" s="1">
        <v>42320</v>
      </c>
      <c r="D464">
        <v>1.77</v>
      </c>
      <c r="E464" s="1">
        <v>42289</v>
      </c>
      <c r="F464">
        <v>0.25</v>
      </c>
    </row>
    <row r="465" spans="1:6" x14ac:dyDescent="0.25">
      <c r="A465" s="1">
        <v>42321</v>
      </c>
      <c r="B465">
        <v>2.2999999999999998</v>
      </c>
      <c r="C465" s="1">
        <v>42321</v>
      </c>
      <c r="D465">
        <v>1.77</v>
      </c>
      <c r="E465" s="1">
        <v>42290</v>
      </c>
      <c r="F465">
        <v>0.25</v>
      </c>
    </row>
    <row r="466" spans="1:6" x14ac:dyDescent="0.25">
      <c r="A466" s="1">
        <v>42324</v>
      </c>
      <c r="B466">
        <v>2.2999999999999998</v>
      </c>
      <c r="C466" s="1">
        <v>42324</v>
      </c>
      <c r="D466">
        <v>1.76</v>
      </c>
      <c r="E466" s="1">
        <v>42291</v>
      </c>
      <c r="F466">
        <v>0.25</v>
      </c>
    </row>
    <row r="467" spans="1:6" x14ac:dyDescent="0.25">
      <c r="A467" s="1">
        <v>42325</v>
      </c>
      <c r="B467">
        <v>2.33</v>
      </c>
      <c r="C467" s="1">
        <v>42325</v>
      </c>
      <c r="D467">
        <v>1.78</v>
      </c>
      <c r="E467" s="1">
        <v>42292</v>
      </c>
      <c r="F467">
        <v>0.25</v>
      </c>
    </row>
    <row r="468" spans="1:6" x14ac:dyDescent="0.25">
      <c r="A468" s="1">
        <v>42326</v>
      </c>
      <c r="B468">
        <v>2.2999999999999998</v>
      </c>
      <c r="C468" s="1">
        <v>42326</v>
      </c>
      <c r="D468">
        <v>1.78</v>
      </c>
      <c r="E468" s="1">
        <v>42293</v>
      </c>
      <c r="F468">
        <v>0.25</v>
      </c>
    </row>
    <row r="469" spans="1:6" x14ac:dyDescent="0.25">
      <c r="A469" s="1">
        <v>42327</v>
      </c>
      <c r="B469">
        <v>2.3199999999999998</v>
      </c>
      <c r="C469" s="1">
        <v>42327</v>
      </c>
      <c r="D469">
        <v>1.78</v>
      </c>
      <c r="E469" s="1">
        <v>42296</v>
      </c>
      <c r="F469">
        <v>0.25</v>
      </c>
    </row>
    <row r="470" spans="1:6" x14ac:dyDescent="0.25">
      <c r="A470" s="1">
        <v>42328</v>
      </c>
      <c r="B470">
        <v>2.29</v>
      </c>
      <c r="C470" s="1">
        <v>42328</v>
      </c>
      <c r="D470">
        <v>1.78</v>
      </c>
      <c r="E470" s="1">
        <v>42297</v>
      </c>
      <c r="F470">
        <v>0.25</v>
      </c>
    </row>
    <row r="471" spans="1:6" x14ac:dyDescent="0.25">
      <c r="A471" s="1">
        <v>42331</v>
      </c>
      <c r="B471">
        <v>2.2999999999999998</v>
      </c>
      <c r="C471" s="1">
        <v>42331</v>
      </c>
      <c r="D471">
        <v>1.77</v>
      </c>
      <c r="E471" s="1">
        <v>42298</v>
      </c>
      <c r="F471">
        <v>0.25</v>
      </c>
    </row>
    <row r="472" spans="1:6" x14ac:dyDescent="0.25">
      <c r="A472" s="1">
        <v>42332</v>
      </c>
      <c r="B472">
        <v>2.2999999999999998</v>
      </c>
      <c r="C472" s="1">
        <v>42332</v>
      </c>
      <c r="D472">
        <v>1.77</v>
      </c>
      <c r="E472" s="1">
        <v>42299</v>
      </c>
      <c r="F472">
        <v>0.25</v>
      </c>
    </row>
    <row r="473" spans="1:6" x14ac:dyDescent="0.25">
      <c r="A473" s="1">
        <v>42333</v>
      </c>
      <c r="B473">
        <v>2.33</v>
      </c>
      <c r="C473" s="1">
        <v>42333</v>
      </c>
      <c r="D473">
        <v>1.78</v>
      </c>
      <c r="E473" s="1">
        <v>42300</v>
      </c>
      <c r="F473">
        <v>0.25</v>
      </c>
    </row>
    <row r="474" spans="1:6" x14ac:dyDescent="0.25">
      <c r="A474" s="1">
        <v>42334</v>
      </c>
      <c r="B474">
        <v>2.38</v>
      </c>
      <c r="C474" s="1">
        <v>42334</v>
      </c>
      <c r="D474">
        <v>1.78</v>
      </c>
      <c r="E474" s="1">
        <v>42303</v>
      </c>
      <c r="F474">
        <v>0.25</v>
      </c>
    </row>
    <row r="475" spans="1:6" x14ac:dyDescent="0.25">
      <c r="A475" s="1">
        <v>42335</v>
      </c>
      <c r="B475">
        <v>2.37</v>
      </c>
      <c r="C475" s="1">
        <v>42335</v>
      </c>
      <c r="D475">
        <v>1.77</v>
      </c>
      <c r="E475" s="1">
        <v>42304</v>
      </c>
      <c r="F475">
        <v>0.25</v>
      </c>
    </row>
    <row r="476" spans="1:6" x14ac:dyDescent="0.25">
      <c r="A476" s="1">
        <v>42338</v>
      </c>
      <c r="B476">
        <v>2.3199999999999998</v>
      </c>
      <c r="C476" s="1">
        <v>42338</v>
      </c>
      <c r="D476">
        <v>1.77</v>
      </c>
      <c r="E476" s="1">
        <v>42305</v>
      </c>
      <c r="F476">
        <v>0.25</v>
      </c>
    </row>
    <row r="477" spans="1:6" x14ac:dyDescent="0.25">
      <c r="A477" s="1">
        <v>42339</v>
      </c>
      <c r="B477">
        <v>2.38</v>
      </c>
      <c r="C477" s="1">
        <v>42339</v>
      </c>
      <c r="D477">
        <v>1.77</v>
      </c>
      <c r="E477" s="1">
        <v>42306</v>
      </c>
      <c r="F477">
        <v>0.25</v>
      </c>
    </row>
    <row r="478" spans="1:6" x14ac:dyDescent="0.25">
      <c r="A478" s="1">
        <v>42340</v>
      </c>
      <c r="B478">
        <v>2.38</v>
      </c>
      <c r="C478" s="1">
        <v>42340</v>
      </c>
      <c r="D478">
        <v>1.77</v>
      </c>
      <c r="E478" s="1">
        <v>42307</v>
      </c>
      <c r="F478">
        <v>0.25</v>
      </c>
    </row>
    <row r="479" spans="1:6" x14ac:dyDescent="0.25">
      <c r="A479" s="1">
        <v>42341</v>
      </c>
      <c r="B479">
        <v>2.35</v>
      </c>
      <c r="C479" s="1">
        <v>42341</v>
      </c>
      <c r="D479">
        <v>1.78</v>
      </c>
      <c r="E479" s="1">
        <v>42310</v>
      </c>
      <c r="F479">
        <v>0.25</v>
      </c>
    </row>
    <row r="480" spans="1:6" x14ac:dyDescent="0.25">
      <c r="A480" s="1">
        <v>42342</v>
      </c>
      <c r="B480">
        <v>2.36</v>
      </c>
      <c r="C480" s="1">
        <v>42342</v>
      </c>
      <c r="D480">
        <v>1.78</v>
      </c>
      <c r="E480" s="1">
        <v>42311</v>
      </c>
      <c r="F480">
        <v>0.25</v>
      </c>
    </row>
    <row r="481" spans="1:6" x14ac:dyDescent="0.25">
      <c r="A481" s="1">
        <v>42345</v>
      </c>
      <c r="B481">
        <v>2.35</v>
      </c>
      <c r="C481" s="1">
        <v>42345</v>
      </c>
      <c r="D481">
        <v>1.77</v>
      </c>
      <c r="E481" s="1">
        <v>42312</v>
      </c>
      <c r="F481">
        <v>0.25</v>
      </c>
    </row>
    <row r="482" spans="1:6" x14ac:dyDescent="0.25">
      <c r="A482" s="1">
        <v>42346</v>
      </c>
      <c r="B482">
        <v>2.36</v>
      </c>
      <c r="C482" s="1">
        <v>42346</v>
      </c>
      <c r="D482">
        <v>1.78</v>
      </c>
      <c r="E482" s="1">
        <v>42313</v>
      </c>
      <c r="F482">
        <v>0.25</v>
      </c>
    </row>
    <row r="483" spans="1:6" x14ac:dyDescent="0.25">
      <c r="A483" s="1">
        <v>42347</v>
      </c>
      <c r="B483">
        <v>2.35</v>
      </c>
      <c r="C483" s="1">
        <v>42347</v>
      </c>
      <c r="D483">
        <v>1.78</v>
      </c>
      <c r="E483" s="1">
        <v>42314</v>
      </c>
      <c r="F483">
        <v>0.25</v>
      </c>
    </row>
    <row r="484" spans="1:6" x14ac:dyDescent="0.25">
      <c r="A484" s="1">
        <v>42348</v>
      </c>
      <c r="B484">
        <v>2.4</v>
      </c>
      <c r="C484" s="1">
        <v>42348</v>
      </c>
      <c r="D484">
        <v>1.78</v>
      </c>
      <c r="E484" s="1">
        <v>42317</v>
      </c>
      <c r="F484">
        <v>0.25</v>
      </c>
    </row>
    <row r="485" spans="1:6" x14ac:dyDescent="0.25">
      <c r="A485" s="1">
        <v>42349</v>
      </c>
      <c r="B485">
        <v>2.37</v>
      </c>
      <c r="C485" s="1">
        <v>42349</v>
      </c>
      <c r="D485">
        <v>1.78</v>
      </c>
      <c r="E485" s="1">
        <v>42318</v>
      </c>
      <c r="F485">
        <v>0.25</v>
      </c>
    </row>
    <row r="486" spans="1:6" x14ac:dyDescent="0.25">
      <c r="A486" s="1">
        <v>42352</v>
      </c>
      <c r="B486">
        <v>2.4</v>
      </c>
      <c r="C486" s="1">
        <v>42352</v>
      </c>
      <c r="D486">
        <v>1.78</v>
      </c>
      <c r="E486" s="1">
        <v>42319</v>
      </c>
      <c r="F486">
        <v>0.25</v>
      </c>
    </row>
    <row r="487" spans="1:6" x14ac:dyDescent="0.25">
      <c r="A487" s="1">
        <v>42353</v>
      </c>
      <c r="B487">
        <v>2.41</v>
      </c>
      <c r="C487" s="1">
        <v>42353</v>
      </c>
      <c r="D487">
        <v>1.78</v>
      </c>
      <c r="E487" s="1">
        <v>42320</v>
      </c>
      <c r="F487">
        <v>0.25</v>
      </c>
    </row>
    <row r="488" spans="1:6" x14ac:dyDescent="0.25">
      <c r="A488" s="1">
        <v>42354</v>
      </c>
      <c r="B488">
        <v>2.4</v>
      </c>
      <c r="C488" s="1">
        <v>42354</v>
      </c>
      <c r="D488">
        <v>1.78</v>
      </c>
      <c r="E488" s="1">
        <v>42321</v>
      </c>
      <c r="F488">
        <v>0.25</v>
      </c>
    </row>
    <row r="489" spans="1:6" x14ac:dyDescent="0.25">
      <c r="A489" s="1">
        <v>42355</v>
      </c>
      <c r="B489">
        <v>2.4300000000000002</v>
      </c>
      <c r="C489" s="1">
        <v>42355</v>
      </c>
      <c r="D489">
        <v>1.78</v>
      </c>
      <c r="E489" s="1">
        <v>42324</v>
      </c>
      <c r="F489">
        <v>0.25</v>
      </c>
    </row>
    <row r="490" spans="1:6" x14ac:dyDescent="0.25">
      <c r="A490" s="1">
        <v>42356</v>
      </c>
      <c r="B490">
        <v>2.4500000000000002</v>
      </c>
      <c r="C490" s="1">
        <v>42356</v>
      </c>
      <c r="D490">
        <v>1.82</v>
      </c>
      <c r="E490" s="1">
        <v>42325</v>
      </c>
      <c r="F490">
        <v>0.25</v>
      </c>
    </row>
    <row r="491" spans="1:6" x14ac:dyDescent="0.25">
      <c r="A491" s="1">
        <v>42359</v>
      </c>
      <c r="B491">
        <v>2.4900000000000002</v>
      </c>
      <c r="C491" s="1">
        <v>42359</v>
      </c>
      <c r="D491">
        <v>1.84</v>
      </c>
      <c r="E491" s="1">
        <v>42326</v>
      </c>
      <c r="F491">
        <v>0.25</v>
      </c>
    </row>
    <row r="492" spans="1:6" x14ac:dyDescent="0.25">
      <c r="A492" s="1">
        <v>42360</v>
      </c>
      <c r="B492">
        <v>2.41</v>
      </c>
      <c r="C492" s="1">
        <v>42360</v>
      </c>
      <c r="D492">
        <v>1.88</v>
      </c>
      <c r="E492" s="1">
        <v>42327</v>
      </c>
      <c r="F492">
        <v>0.25</v>
      </c>
    </row>
    <row r="493" spans="1:6" x14ac:dyDescent="0.25">
      <c r="A493" s="1">
        <v>42361</v>
      </c>
      <c r="B493">
        <v>2.4</v>
      </c>
      <c r="C493" s="1">
        <v>42361</v>
      </c>
      <c r="D493">
        <v>1.9</v>
      </c>
      <c r="E493" s="1">
        <v>42328</v>
      </c>
      <c r="F493">
        <v>0.25</v>
      </c>
    </row>
    <row r="494" spans="1:6" x14ac:dyDescent="0.25">
      <c r="A494" s="1">
        <v>42362</v>
      </c>
      <c r="B494">
        <v>2.35</v>
      </c>
      <c r="C494" s="1">
        <v>42362</v>
      </c>
      <c r="D494">
        <v>1.92</v>
      </c>
      <c r="E494" s="1">
        <v>42331</v>
      </c>
      <c r="F494">
        <v>0.25</v>
      </c>
    </row>
    <row r="495" spans="1:6" x14ac:dyDescent="0.25">
      <c r="A495" s="1">
        <v>42363</v>
      </c>
      <c r="B495">
        <v>2.35</v>
      </c>
      <c r="C495" s="1">
        <v>42363</v>
      </c>
      <c r="D495">
        <v>1.92</v>
      </c>
      <c r="E495" s="1">
        <v>42332</v>
      </c>
      <c r="F495">
        <v>0.25</v>
      </c>
    </row>
    <row r="496" spans="1:6" x14ac:dyDescent="0.25">
      <c r="A496" s="1">
        <v>42366</v>
      </c>
      <c r="B496">
        <v>2.4</v>
      </c>
      <c r="C496" s="1">
        <v>42366</v>
      </c>
      <c r="D496">
        <v>1.92</v>
      </c>
      <c r="E496" s="1">
        <v>42333</v>
      </c>
      <c r="F496">
        <v>0.25</v>
      </c>
    </row>
    <row r="497" spans="1:6" x14ac:dyDescent="0.25">
      <c r="A497" s="1">
        <v>42367</v>
      </c>
      <c r="B497">
        <v>2.5</v>
      </c>
      <c r="C497" s="1">
        <v>42367</v>
      </c>
      <c r="D497">
        <v>1.92</v>
      </c>
      <c r="E497" s="1">
        <v>42334</v>
      </c>
      <c r="F497">
        <v>0.25</v>
      </c>
    </row>
    <row r="498" spans="1:6" x14ac:dyDescent="0.25">
      <c r="A498" s="1">
        <v>42368</v>
      </c>
      <c r="B498">
        <v>2.5</v>
      </c>
      <c r="C498" s="1">
        <v>42368</v>
      </c>
      <c r="D498">
        <v>1.92</v>
      </c>
      <c r="E498" s="1">
        <v>42335</v>
      </c>
      <c r="F498">
        <v>0.25</v>
      </c>
    </row>
    <row r="499" spans="1:6" x14ac:dyDescent="0.25">
      <c r="A499" s="1">
        <v>42369</v>
      </c>
      <c r="B499">
        <v>2.4</v>
      </c>
      <c r="C499" s="1">
        <v>42369</v>
      </c>
      <c r="D499">
        <v>2.1</v>
      </c>
      <c r="E499" s="1">
        <v>42338</v>
      </c>
      <c r="F499">
        <v>0.25</v>
      </c>
    </row>
    <row r="500" spans="1:6" x14ac:dyDescent="0.25">
      <c r="A500" s="1">
        <v>42373</v>
      </c>
      <c r="B500">
        <v>2.4</v>
      </c>
      <c r="C500" s="1">
        <v>42373</v>
      </c>
      <c r="D500">
        <v>2</v>
      </c>
      <c r="E500" s="1">
        <v>42339</v>
      </c>
      <c r="F500">
        <v>0.25</v>
      </c>
    </row>
    <row r="501" spans="1:6" x14ac:dyDescent="0.25">
      <c r="A501" s="1">
        <v>42374</v>
      </c>
      <c r="B501">
        <v>2.4500000000000002</v>
      </c>
      <c r="C501" s="1">
        <v>42374</v>
      </c>
      <c r="D501">
        <v>2.0299999999999998</v>
      </c>
      <c r="E501" s="1">
        <v>42340</v>
      </c>
      <c r="F501">
        <v>0.25</v>
      </c>
    </row>
    <row r="502" spans="1:6" x14ac:dyDescent="0.25">
      <c r="A502" s="1">
        <v>42375</v>
      </c>
      <c r="B502">
        <v>2.5</v>
      </c>
      <c r="C502" s="1">
        <v>42375</v>
      </c>
      <c r="D502">
        <v>1.98</v>
      </c>
      <c r="E502" s="1">
        <v>42341</v>
      </c>
      <c r="F502">
        <v>0.25</v>
      </c>
    </row>
    <row r="503" spans="1:6" x14ac:dyDescent="0.25">
      <c r="A503" s="1">
        <v>42376</v>
      </c>
      <c r="B503">
        <v>2.4</v>
      </c>
      <c r="C503" s="1">
        <v>42376</v>
      </c>
      <c r="D503">
        <v>1.97</v>
      </c>
      <c r="E503" s="1">
        <v>42342</v>
      </c>
      <c r="F503">
        <v>0.25</v>
      </c>
    </row>
    <row r="504" spans="1:6" x14ac:dyDescent="0.25">
      <c r="A504" s="1">
        <v>42377</v>
      </c>
      <c r="B504">
        <v>2.35</v>
      </c>
      <c r="C504" s="1">
        <v>42377</v>
      </c>
      <c r="D504">
        <v>1.95</v>
      </c>
      <c r="E504" s="1">
        <v>42345</v>
      </c>
      <c r="F504">
        <v>0.25</v>
      </c>
    </row>
    <row r="505" spans="1:6" x14ac:dyDescent="0.25">
      <c r="A505" s="1">
        <v>42380</v>
      </c>
      <c r="B505">
        <v>2.4</v>
      </c>
      <c r="C505" s="1">
        <v>42380</v>
      </c>
      <c r="D505">
        <v>1.95</v>
      </c>
      <c r="E505" s="1">
        <v>42346</v>
      </c>
      <c r="F505">
        <v>0.25</v>
      </c>
    </row>
    <row r="506" spans="1:6" x14ac:dyDescent="0.25">
      <c r="A506" s="1">
        <v>42381</v>
      </c>
      <c r="B506">
        <v>2.36</v>
      </c>
      <c r="C506" s="1">
        <v>42381</v>
      </c>
      <c r="D506">
        <v>1.94</v>
      </c>
      <c r="E506" s="1">
        <v>42347</v>
      </c>
      <c r="F506">
        <v>0.25</v>
      </c>
    </row>
    <row r="507" spans="1:6" x14ac:dyDescent="0.25">
      <c r="A507" s="1">
        <v>42382</v>
      </c>
      <c r="B507">
        <v>2.39</v>
      </c>
      <c r="C507" s="1">
        <v>42382</v>
      </c>
      <c r="D507">
        <v>1.94</v>
      </c>
      <c r="E507" s="1">
        <v>42348</v>
      </c>
      <c r="F507">
        <v>0.25</v>
      </c>
    </row>
    <row r="508" spans="1:6" x14ac:dyDescent="0.25">
      <c r="A508" s="1">
        <v>42383</v>
      </c>
      <c r="B508">
        <v>2.4</v>
      </c>
      <c r="C508" s="1">
        <v>42383</v>
      </c>
      <c r="D508">
        <v>1.95</v>
      </c>
      <c r="E508" s="1">
        <v>42349</v>
      </c>
      <c r="F508">
        <v>0.25</v>
      </c>
    </row>
    <row r="509" spans="1:6" x14ac:dyDescent="0.25">
      <c r="A509" s="1">
        <v>42384</v>
      </c>
      <c r="B509">
        <v>2.4</v>
      </c>
      <c r="C509" s="1">
        <v>42384</v>
      </c>
      <c r="D509">
        <v>1.95</v>
      </c>
      <c r="E509" s="1">
        <v>42352</v>
      </c>
      <c r="F509">
        <v>0.25</v>
      </c>
    </row>
    <row r="510" spans="1:6" x14ac:dyDescent="0.25">
      <c r="A510" s="1">
        <v>42387</v>
      </c>
      <c r="B510">
        <v>2.35</v>
      </c>
      <c r="C510" s="1">
        <v>42387</v>
      </c>
      <c r="D510">
        <v>1.94</v>
      </c>
      <c r="E510" s="1">
        <v>42353</v>
      </c>
      <c r="F510">
        <v>0.25</v>
      </c>
    </row>
    <row r="511" spans="1:6" x14ac:dyDescent="0.25">
      <c r="A511" s="1">
        <v>42388</v>
      </c>
      <c r="B511">
        <v>2.44</v>
      </c>
      <c r="C511" s="1">
        <v>42388</v>
      </c>
      <c r="D511">
        <v>1.96</v>
      </c>
      <c r="E511" s="1">
        <v>42354</v>
      </c>
      <c r="F511">
        <v>0.5</v>
      </c>
    </row>
    <row r="512" spans="1:6" x14ac:dyDescent="0.25">
      <c r="A512" s="1">
        <v>42389</v>
      </c>
      <c r="B512">
        <v>2.4500000000000002</v>
      </c>
      <c r="C512" s="1">
        <v>42389</v>
      </c>
      <c r="D512">
        <v>2.02</v>
      </c>
      <c r="E512" s="1">
        <v>42355</v>
      </c>
      <c r="F512">
        <v>0.5</v>
      </c>
    </row>
    <row r="513" spans="1:6" x14ac:dyDescent="0.25">
      <c r="A513" s="1">
        <v>42390</v>
      </c>
      <c r="B513">
        <v>2.5</v>
      </c>
      <c r="C513" s="1">
        <v>42390</v>
      </c>
      <c r="D513">
        <v>2</v>
      </c>
      <c r="E513" s="1">
        <v>42356</v>
      </c>
      <c r="F513">
        <v>0.5</v>
      </c>
    </row>
    <row r="514" spans="1:6" x14ac:dyDescent="0.25">
      <c r="A514" s="1">
        <v>42391</v>
      </c>
      <c r="B514">
        <v>2.48</v>
      </c>
      <c r="C514" s="1">
        <v>42391</v>
      </c>
      <c r="D514">
        <v>2.0499999999999998</v>
      </c>
      <c r="E514" s="1">
        <v>42359</v>
      </c>
      <c r="F514">
        <v>0.5</v>
      </c>
    </row>
    <row r="515" spans="1:6" x14ac:dyDescent="0.25">
      <c r="A515" s="1">
        <v>42394</v>
      </c>
      <c r="B515">
        <v>2.38</v>
      </c>
      <c r="C515" s="1">
        <v>42394</v>
      </c>
      <c r="D515">
        <v>1.97</v>
      </c>
      <c r="E515" s="1">
        <v>42360</v>
      </c>
      <c r="F515">
        <v>0.5</v>
      </c>
    </row>
    <row r="516" spans="1:6" x14ac:dyDescent="0.25">
      <c r="A516" s="1">
        <v>42395</v>
      </c>
      <c r="B516">
        <v>2.4500000000000002</v>
      </c>
      <c r="C516" s="1">
        <v>42395</v>
      </c>
      <c r="D516">
        <v>1.98</v>
      </c>
      <c r="E516" s="1">
        <v>42361</v>
      </c>
      <c r="F516">
        <v>0.5</v>
      </c>
    </row>
    <row r="517" spans="1:6" x14ac:dyDescent="0.25">
      <c r="A517" s="1">
        <v>42396</v>
      </c>
      <c r="B517">
        <v>2.4</v>
      </c>
      <c r="C517" s="1">
        <v>42396</v>
      </c>
      <c r="D517">
        <v>2</v>
      </c>
      <c r="E517" s="1">
        <v>42362</v>
      </c>
      <c r="F517">
        <v>0.5</v>
      </c>
    </row>
    <row r="518" spans="1:6" x14ac:dyDescent="0.25">
      <c r="A518" s="1">
        <v>42397</v>
      </c>
      <c r="B518">
        <v>2.4</v>
      </c>
      <c r="C518" s="1">
        <v>42397</v>
      </c>
      <c r="D518">
        <v>1.98</v>
      </c>
      <c r="E518" s="1">
        <v>42363</v>
      </c>
      <c r="F518">
        <v>0.5</v>
      </c>
    </row>
    <row r="519" spans="1:6" x14ac:dyDescent="0.25">
      <c r="A519" s="1">
        <v>42398</v>
      </c>
      <c r="B519">
        <v>2.2999999999999998</v>
      </c>
      <c r="C519" s="1">
        <v>42398</v>
      </c>
      <c r="D519">
        <v>1.97</v>
      </c>
      <c r="E519" s="1">
        <v>42366</v>
      </c>
      <c r="F519">
        <v>0.5</v>
      </c>
    </row>
    <row r="520" spans="1:6" x14ac:dyDescent="0.25">
      <c r="A520" s="1">
        <v>42401</v>
      </c>
      <c r="B520">
        <v>2.42</v>
      </c>
      <c r="C520" s="1">
        <v>42401</v>
      </c>
      <c r="D520">
        <v>1.97</v>
      </c>
      <c r="E520" s="1">
        <v>42367</v>
      </c>
      <c r="F520">
        <v>0.5</v>
      </c>
    </row>
    <row r="521" spans="1:6" x14ac:dyDescent="0.25">
      <c r="A521" s="1">
        <v>42402</v>
      </c>
      <c r="B521">
        <v>2.42</v>
      </c>
      <c r="C521" s="1">
        <v>42402</v>
      </c>
      <c r="D521">
        <v>1.98</v>
      </c>
      <c r="E521" s="1">
        <v>42368</v>
      </c>
      <c r="F521">
        <v>0.5</v>
      </c>
    </row>
    <row r="522" spans="1:6" x14ac:dyDescent="0.25">
      <c r="A522" s="1">
        <v>42403</v>
      </c>
      <c r="B522">
        <v>2.39</v>
      </c>
      <c r="C522" s="1">
        <v>42403</v>
      </c>
      <c r="D522">
        <v>1.97</v>
      </c>
      <c r="E522" s="1">
        <v>42369</v>
      </c>
      <c r="F522">
        <v>0.5</v>
      </c>
    </row>
    <row r="523" spans="1:6" x14ac:dyDescent="0.25">
      <c r="A523" s="1">
        <v>42404</v>
      </c>
      <c r="B523">
        <v>2.44</v>
      </c>
      <c r="C523" s="1">
        <v>42404</v>
      </c>
      <c r="D523">
        <v>1.98</v>
      </c>
      <c r="E523" s="1">
        <v>42370</v>
      </c>
      <c r="F523">
        <v>0.5</v>
      </c>
    </row>
    <row r="524" spans="1:6" x14ac:dyDescent="0.25">
      <c r="A524" s="1">
        <v>42405</v>
      </c>
      <c r="B524">
        <v>2.36</v>
      </c>
      <c r="C524" s="1">
        <v>42405</v>
      </c>
      <c r="D524">
        <v>1.95</v>
      </c>
      <c r="E524" s="1">
        <v>42373</v>
      </c>
      <c r="F524">
        <v>0.5</v>
      </c>
    </row>
    <row r="525" spans="1:6" x14ac:dyDescent="0.25">
      <c r="A525" s="1">
        <v>42406</v>
      </c>
      <c r="B525">
        <v>2.2599999999999998</v>
      </c>
      <c r="C525" s="1">
        <v>42406</v>
      </c>
      <c r="D525">
        <v>2.2599999999999998</v>
      </c>
      <c r="E525" s="1">
        <v>42374</v>
      </c>
      <c r="F525">
        <v>0.5</v>
      </c>
    </row>
    <row r="526" spans="1:6" x14ac:dyDescent="0.25">
      <c r="A526" s="1">
        <v>42414</v>
      </c>
      <c r="B526">
        <v>2.27</v>
      </c>
      <c r="C526" s="1">
        <v>42414</v>
      </c>
      <c r="D526">
        <v>1.95</v>
      </c>
      <c r="E526" s="1">
        <v>42375</v>
      </c>
      <c r="F526">
        <v>0.5</v>
      </c>
    </row>
    <row r="527" spans="1:6" x14ac:dyDescent="0.25">
      <c r="A527" s="1">
        <v>42415</v>
      </c>
      <c r="B527">
        <v>2.36</v>
      </c>
      <c r="C527" s="1">
        <v>42415</v>
      </c>
      <c r="D527">
        <v>1.97</v>
      </c>
      <c r="E527" s="1">
        <v>42376</v>
      </c>
      <c r="F527">
        <v>0.5</v>
      </c>
    </row>
    <row r="528" spans="1:6" x14ac:dyDescent="0.25">
      <c r="A528" s="1">
        <v>42416</v>
      </c>
      <c r="B528">
        <v>2.42</v>
      </c>
      <c r="C528" s="1">
        <v>42416</v>
      </c>
      <c r="D528">
        <v>1.966</v>
      </c>
      <c r="E528" s="1">
        <v>42377</v>
      </c>
      <c r="F528">
        <v>0.5</v>
      </c>
    </row>
    <row r="529" spans="1:6" x14ac:dyDescent="0.25">
      <c r="A529" s="1">
        <v>42417</v>
      </c>
      <c r="B529">
        <v>2.37</v>
      </c>
      <c r="C529" s="1">
        <v>42417</v>
      </c>
      <c r="D529">
        <v>1.96</v>
      </c>
      <c r="E529" s="1">
        <v>42380</v>
      </c>
      <c r="F529">
        <v>0.5</v>
      </c>
    </row>
    <row r="530" spans="1:6" x14ac:dyDescent="0.25">
      <c r="A530" s="1">
        <v>42418</v>
      </c>
      <c r="B530">
        <v>2.35</v>
      </c>
      <c r="C530" s="1">
        <v>42418</v>
      </c>
      <c r="D530">
        <v>1.93</v>
      </c>
      <c r="E530" s="1">
        <v>42381</v>
      </c>
      <c r="F530">
        <v>0.5</v>
      </c>
    </row>
    <row r="531" spans="1:6" x14ac:dyDescent="0.25">
      <c r="A531" s="1">
        <v>42419</v>
      </c>
      <c r="B531">
        <v>2.3199999999999998</v>
      </c>
      <c r="C531" s="1">
        <v>42419</v>
      </c>
      <c r="D531">
        <v>1.92</v>
      </c>
      <c r="E531" s="1">
        <v>42382</v>
      </c>
      <c r="F531">
        <v>0.5</v>
      </c>
    </row>
    <row r="532" spans="1:6" x14ac:dyDescent="0.25">
      <c r="A532" s="1">
        <v>42422</v>
      </c>
      <c r="B532">
        <v>2.31</v>
      </c>
      <c r="C532" s="1">
        <v>42422</v>
      </c>
      <c r="D532">
        <v>1.93</v>
      </c>
      <c r="E532" s="1">
        <v>42383</v>
      </c>
      <c r="F532">
        <v>0.5</v>
      </c>
    </row>
    <row r="533" spans="1:6" x14ac:dyDescent="0.25">
      <c r="A533" s="1">
        <v>42423</v>
      </c>
      <c r="B533">
        <v>2.3199999999999998</v>
      </c>
      <c r="C533" s="1">
        <v>42423</v>
      </c>
      <c r="D533">
        <v>1.94</v>
      </c>
      <c r="E533" s="1">
        <v>42384</v>
      </c>
      <c r="F533">
        <v>0.5</v>
      </c>
    </row>
    <row r="534" spans="1:6" x14ac:dyDescent="0.25">
      <c r="A534" s="1">
        <v>42424</v>
      </c>
      <c r="B534">
        <v>2.41</v>
      </c>
      <c r="C534" s="1">
        <v>42424</v>
      </c>
      <c r="D534">
        <v>1.97</v>
      </c>
      <c r="E534" s="1">
        <v>42387</v>
      </c>
      <c r="F534">
        <v>0.5</v>
      </c>
    </row>
    <row r="535" spans="1:6" x14ac:dyDescent="0.25">
      <c r="A535" s="1">
        <v>42425</v>
      </c>
      <c r="B535">
        <v>2.2999999999999998</v>
      </c>
      <c r="C535" s="1">
        <v>42425</v>
      </c>
      <c r="D535">
        <v>2.1</v>
      </c>
      <c r="E535" s="1">
        <v>42388</v>
      </c>
      <c r="F535">
        <v>0.5</v>
      </c>
    </row>
    <row r="536" spans="1:6" x14ac:dyDescent="0.25">
      <c r="A536" s="1">
        <v>42426</v>
      </c>
      <c r="B536">
        <v>2.3199999999999998</v>
      </c>
      <c r="C536" s="1">
        <v>42426</v>
      </c>
      <c r="D536">
        <v>2</v>
      </c>
      <c r="E536" s="1">
        <v>42389</v>
      </c>
      <c r="F536">
        <v>0.5</v>
      </c>
    </row>
    <row r="537" spans="1:6" x14ac:dyDescent="0.25">
      <c r="A537" s="1">
        <v>42429</v>
      </c>
      <c r="B537">
        <v>2.4</v>
      </c>
      <c r="C537" s="1">
        <v>42429</v>
      </c>
      <c r="D537">
        <v>1.97</v>
      </c>
      <c r="E537" s="1">
        <v>42390</v>
      </c>
      <c r="F537">
        <v>0.5</v>
      </c>
    </row>
    <row r="538" spans="1:6" x14ac:dyDescent="0.25">
      <c r="A538" s="1">
        <v>42430</v>
      </c>
      <c r="B538">
        <v>2.4</v>
      </c>
      <c r="C538" s="1">
        <v>42430</v>
      </c>
      <c r="D538">
        <v>1.96</v>
      </c>
      <c r="E538" s="1">
        <v>42391</v>
      </c>
      <c r="F538">
        <v>0.5</v>
      </c>
    </row>
    <row r="539" spans="1:6" x14ac:dyDescent="0.25">
      <c r="A539" s="1">
        <v>42431</v>
      </c>
      <c r="B539">
        <v>2.34</v>
      </c>
      <c r="C539" s="1">
        <v>42431</v>
      </c>
      <c r="D539">
        <v>1.96</v>
      </c>
      <c r="E539" s="1">
        <v>42394</v>
      </c>
      <c r="F539">
        <v>0.5</v>
      </c>
    </row>
    <row r="540" spans="1:6" x14ac:dyDescent="0.25">
      <c r="A540" s="1">
        <v>42432</v>
      </c>
      <c r="B540">
        <v>2.2999999999999998</v>
      </c>
      <c r="C540" s="1">
        <v>42432</v>
      </c>
      <c r="D540">
        <v>1.95</v>
      </c>
      <c r="E540" s="1">
        <v>42395</v>
      </c>
      <c r="F540">
        <v>0.5</v>
      </c>
    </row>
    <row r="541" spans="1:6" x14ac:dyDescent="0.25">
      <c r="A541" s="1">
        <v>42433</v>
      </c>
      <c r="B541">
        <v>2.2999999999999998</v>
      </c>
      <c r="C541" s="1">
        <v>42433</v>
      </c>
      <c r="D541">
        <v>1.95</v>
      </c>
      <c r="E541" s="1">
        <v>42396</v>
      </c>
      <c r="F541">
        <v>0.5</v>
      </c>
    </row>
    <row r="542" spans="1:6" x14ac:dyDescent="0.25">
      <c r="A542" s="1">
        <v>42436</v>
      </c>
      <c r="B542">
        <v>2.33</v>
      </c>
      <c r="C542" s="1">
        <v>42436</v>
      </c>
      <c r="D542">
        <v>1.95</v>
      </c>
      <c r="E542" s="1">
        <v>42397</v>
      </c>
      <c r="F542">
        <v>0.5</v>
      </c>
    </row>
    <row r="543" spans="1:6" x14ac:dyDescent="0.25">
      <c r="A543" s="1">
        <v>42437</v>
      </c>
      <c r="B543">
        <v>2.33</v>
      </c>
      <c r="C543" s="1">
        <v>42437</v>
      </c>
      <c r="D543">
        <v>1.95</v>
      </c>
      <c r="E543" s="1">
        <v>42398</v>
      </c>
      <c r="F543">
        <v>0.5</v>
      </c>
    </row>
    <row r="544" spans="1:6" x14ac:dyDescent="0.25">
      <c r="A544" s="1">
        <v>42438</v>
      </c>
      <c r="B544">
        <v>2.31</v>
      </c>
      <c r="C544" s="1">
        <v>42438</v>
      </c>
      <c r="D544">
        <v>1.96</v>
      </c>
      <c r="E544" s="1">
        <v>42401</v>
      </c>
      <c r="F544">
        <v>0.5</v>
      </c>
    </row>
    <row r="545" spans="1:6" x14ac:dyDescent="0.25">
      <c r="A545" s="1">
        <v>42439</v>
      </c>
      <c r="B545">
        <v>2.3199999999999998</v>
      </c>
      <c r="C545" s="1">
        <v>42439</v>
      </c>
      <c r="D545">
        <v>1.95</v>
      </c>
      <c r="E545" s="1">
        <v>42402</v>
      </c>
      <c r="F545">
        <v>0.5</v>
      </c>
    </row>
    <row r="546" spans="1:6" x14ac:dyDescent="0.25">
      <c r="A546" s="1">
        <v>42440</v>
      </c>
      <c r="B546">
        <v>2.2999999999999998</v>
      </c>
      <c r="C546" s="1">
        <v>42440</v>
      </c>
      <c r="D546">
        <v>1.95</v>
      </c>
      <c r="E546" s="1">
        <v>42403</v>
      </c>
      <c r="F546">
        <v>0.5</v>
      </c>
    </row>
    <row r="547" spans="1:6" x14ac:dyDescent="0.25">
      <c r="A547" s="1">
        <v>42443</v>
      </c>
      <c r="B547">
        <v>2.31</v>
      </c>
      <c r="C547" s="1">
        <v>42443</v>
      </c>
      <c r="D547">
        <v>1.96</v>
      </c>
      <c r="E547" s="1">
        <v>42404</v>
      </c>
      <c r="F547">
        <v>0.5</v>
      </c>
    </row>
    <row r="548" spans="1:6" x14ac:dyDescent="0.25">
      <c r="A548" s="1">
        <v>42444</v>
      </c>
      <c r="B548">
        <v>2.33</v>
      </c>
      <c r="C548" s="1">
        <v>42444</v>
      </c>
      <c r="D548">
        <v>1.96</v>
      </c>
      <c r="E548" s="1">
        <v>42405</v>
      </c>
      <c r="F548">
        <v>0.5</v>
      </c>
    </row>
    <row r="549" spans="1:6" x14ac:dyDescent="0.25">
      <c r="A549" s="1">
        <v>42445</v>
      </c>
      <c r="B549">
        <v>2.34</v>
      </c>
      <c r="C549" s="1">
        <v>42445</v>
      </c>
      <c r="D549">
        <v>1.96</v>
      </c>
      <c r="E549" s="1">
        <v>42408</v>
      </c>
      <c r="F549">
        <v>0.5</v>
      </c>
    </row>
    <row r="550" spans="1:6" x14ac:dyDescent="0.25">
      <c r="A550" s="1">
        <v>42446</v>
      </c>
      <c r="B550">
        <v>2.3199999999999998</v>
      </c>
      <c r="C550" s="1">
        <v>42446</v>
      </c>
      <c r="D550">
        <v>1.98</v>
      </c>
      <c r="E550" s="1">
        <v>42409</v>
      </c>
      <c r="F550">
        <v>0.5</v>
      </c>
    </row>
    <row r="551" spans="1:6" x14ac:dyDescent="0.25">
      <c r="A551" s="1">
        <v>42447</v>
      </c>
      <c r="B551">
        <v>2.31</v>
      </c>
      <c r="C551" s="1">
        <v>42447</v>
      </c>
      <c r="D551">
        <v>2</v>
      </c>
      <c r="E551" s="1">
        <v>42410</v>
      </c>
      <c r="F551">
        <v>0.5</v>
      </c>
    </row>
    <row r="552" spans="1:6" x14ac:dyDescent="0.25">
      <c r="A552" s="1">
        <v>42450</v>
      </c>
      <c r="B552">
        <v>2.38</v>
      </c>
      <c r="C552" s="1">
        <v>42450</v>
      </c>
      <c r="D552">
        <v>1.98</v>
      </c>
      <c r="E552" s="1">
        <v>42411</v>
      </c>
      <c r="F552">
        <v>0.5</v>
      </c>
    </row>
    <row r="553" spans="1:6" x14ac:dyDescent="0.25">
      <c r="A553" s="1">
        <v>42451</v>
      </c>
      <c r="B553">
        <v>2.38</v>
      </c>
      <c r="C553" s="1">
        <v>42451</v>
      </c>
      <c r="D553">
        <v>2.0299999999999998</v>
      </c>
      <c r="E553" s="1">
        <v>42412</v>
      </c>
      <c r="F553">
        <v>0.5</v>
      </c>
    </row>
    <row r="554" spans="1:6" x14ac:dyDescent="0.25">
      <c r="A554" s="1">
        <v>42452</v>
      </c>
      <c r="B554">
        <v>2.4900000000000002</v>
      </c>
      <c r="C554" s="1">
        <v>42452</v>
      </c>
      <c r="D554">
        <v>2</v>
      </c>
      <c r="E554" s="1">
        <v>42415</v>
      </c>
      <c r="F554">
        <v>0.5</v>
      </c>
    </row>
    <row r="555" spans="1:6" x14ac:dyDescent="0.25">
      <c r="A555" s="1">
        <v>42453</v>
      </c>
      <c r="B555">
        <v>2.38</v>
      </c>
      <c r="C555" s="1">
        <v>42453</v>
      </c>
      <c r="D555">
        <v>2</v>
      </c>
      <c r="E555" s="1">
        <v>42416</v>
      </c>
      <c r="F555">
        <v>0.5</v>
      </c>
    </row>
    <row r="556" spans="1:6" x14ac:dyDescent="0.25">
      <c r="A556" s="1">
        <v>42454</v>
      </c>
      <c r="B556">
        <v>2.35</v>
      </c>
      <c r="C556" s="1">
        <v>42454</v>
      </c>
      <c r="D556">
        <v>1.98</v>
      </c>
      <c r="E556" s="1">
        <v>42417</v>
      </c>
      <c r="F556">
        <v>0.5</v>
      </c>
    </row>
    <row r="557" spans="1:6" x14ac:dyDescent="0.25">
      <c r="A557" s="1">
        <v>42457</v>
      </c>
      <c r="B557">
        <v>2.4</v>
      </c>
      <c r="C557" s="1">
        <v>42457</v>
      </c>
      <c r="D557">
        <v>1.99</v>
      </c>
      <c r="E557" s="1">
        <v>42418</v>
      </c>
      <c r="F557">
        <v>0.5</v>
      </c>
    </row>
    <row r="558" spans="1:6" x14ac:dyDescent="0.25">
      <c r="A558" s="1">
        <v>42458</v>
      </c>
      <c r="B558">
        <v>2.2799999999999998</v>
      </c>
      <c r="C558" s="1">
        <v>42458</v>
      </c>
      <c r="D558">
        <v>2</v>
      </c>
      <c r="E558" s="1">
        <v>42419</v>
      </c>
      <c r="F558">
        <v>0.5</v>
      </c>
    </row>
    <row r="559" spans="1:6" x14ac:dyDescent="0.25">
      <c r="A559" s="1">
        <v>42459</v>
      </c>
      <c r="B559">
        <v>2.4</v>
      </c>
      <c r="C559" s="1">
        <v>42459</v>
      </c>
      <c r="D559">
        <v>2.0099999999999998</v>
      </c>
      <c r="E559" s="1">
        <v>42422</v>
      </c>
      <c r="F559">
        <v>0.5</v>
      </c>
    </row>
    <row r="560" spans="1:6" x14ac:dyDescent="0.25">
      <c r="A560" s="1">
        <v>42460</v>
      </c>
      <c r="B560">
        <v>2.2999999999999998</v>
      </c>
      <c r="C560" s="1">
        <v>42460</v>
      </c>
      <c r="D560">
        <v>2.02</v>
      </c>
      <c r="E560" s="1">
        <v>42423</v>
      </c>
      <c r="F560">
        <v>0.5</v>
      </c>
    </row>
    <row r="561" spans="1:6" x14ac:dyDescent="0.25">
      <c r="A561" s="1">
        <v>42461</v>
      </c>
      <c r="B561">
        <v>2.4500000000000002</v>
      </c>
      <c r="C561" s="1">
        <v>42461</v>
      </c>
      <c r="D561">
        <v>2</v>
      </c>
      <c r="E561" s="1">
        <v>42424</v>
      </c>
      <c r="F561">
        <v>0.5</v>
      </c>
    </row>
    <row r="562" spans="1:6" x14ac:dyDescent="0.25">
      <c r="A562" s="1">
        <v>42465</v>
      </c>
      <c r="B562">
        <v>2.36</v>
      </c>
      <c r="C562" s="1">
        <v>42465</v>
      </c>
      <c r="D562">
        <v>1.98</v>
      </c>
      <c r="E562" s="1">
        <v>42425</v>
      </c>
      <c r="F562">
        <v>0.5</v>
      </c>
    </row>
    <row r="563" spans="1:6" x14ac:dyDescent="0.25">
      <c r="A563" s="1">
        <v>42466</v>
      </c>
      <c r="B563">
        <v>2.35</v>
      </c>
      <c r="C563" s="1">
        <v>42466</v>
      </c>
      <c r="D563">
        <v>1.98</v>
      </c>
      <c r="E563" s="1">
        <v>42426</v>
      </c>
      <c r="F563">
        <v>0.5</v>
      </c>
    </row>
    <row r="564" spans="1:6" x14ac:dyDescent="0.25">
      <c r="A564" s="1">
        <v>42467</v>
      </c>
      <c r="B564">
        <v>2.36</v>
      </c>
      <c r="C564" s="1">
        <v>42467</v>
      </c>
      <c r="D564">
        <v>1.98</v>
      </c>
      <c r="E564" s="1">
        <v>42429</v>
      </c>
      <c r="F564">
        <v>0.5</v>
      </c>
    </row>
    <row r="565" spans="1:6" x14ac:dyDescent="0.25">
      <c r="A565" s="1">
        <v>42468</v>
      </c>
      <c r="B565">
        <v>2.35</v>
      </c>
      <c r="C565" s="1">
        <v>42468</v>
      </c>
      <c r="D565">
        <v>1.98</v>
      </c>
      <c r="E565" s="1">
        <v>42430</v>
      </c>
      <c r="F565">
        <v>0.5</v>
      </c>
    </row>
    <row r="566" spans="1:6" x14ac:dyDescent="0.25">
      <c r="A566" s="1">
        <v>42471</v>
      </c>
      <c r="B566">
        <v>2.35</v>
      </c>
      <c r="C566" s="1">
        <v>42471</v>
      </c>
      <c r="D566">
        <v>1.98</v>
      </c>
      <c r="E566" s="1">
        <v>42431</v>
      </c>
      <c r="F566">
        <v>0.5</v>
      </c>
    </row>
    <row r="567" spans="1:6" x14ac:dyDescent="0.25">
      <c r="A567" s="1">
        <v>42472</v>
      </c>
      <c r="B567">
        <v>2.38</v>
      </c>
      <c r="C567" s="1">
        <v>42472</v>
      </c>
      <c r="D567">
        <v>1.99</v>
      </c>
      <c r="E567" s="1">
        <v>42432</v>
      </c>
      <c r="F567">
        <v>0.5</v>
      </c>
    </row>
    <row r="568" spans="1:6" x14ac:dyDescent="0.25">
      <c r="A568" s="1">
        <v>42473</v>
      </c>
      <c r="B568">
        <v>2.5</v>
      </c>
      <c r="C568" s="1">
        <v>42473</v>
      </c>
      <c r="D568">
        <v>2</v>
      </c>
      <c r="E568" s="1">
        <v>42433</v>
      </c>
      <c r="F568">
        <v>0.5</v>
      </c>
    </row>
    <row r="569" spans="1:6" x14ac:dyDescent="0.25">
      <c r="A569" s="1">
        <v>42474</v>
      </c>
      <c r="B569">
        <v>2.44</v>
      </c>
      <c r="C569" s="1">
        <v>42474</v>
      </c>
      <c r="D569">
        <v>2</v>
      </c>
      <c r="E569" s="1">
        <v>42436</v>
      </c>
      <c r="F569">
        <v>0.5</v>
      </c>
    </row>
    <row r="570" spans="1:6" x14ac:dyDescent="0.25">
      <c r="A570" s="1">
        <v>42475</v>
      </c>
      <c r="B570">
        <v>2.41</v>
      </c>
      <c r="C570" s="1">
        <v>42475</v>
      </c>
      <c r="D570">
        <v>1.99</v>
      </c>
      <c r="E570" s="1">
        <v>42437</v>
      </c>
      <c r="F570">
        <v>0.5</v>
      </c>
    </row>
    <row r="571" spans="1:6" x14ac:dyDescent="0.25">
      <c r="A571" s="1">
        <v>42478</v>
      </c>
      <c r="B571">
        <v>2.35</v>
      </c>
      <c r="C571" s="1">
        <v>42478</v>
      </c>
      <c r="D571">
        <v>1.99</v>
      </c>
      <c r="E571" s="1">
        <v>42438</v>
      </c>
      <c r="F571">
        <v>0.5</v>
      </c>
    </row>
    <row r="572" spans="1:6" x14ac:dyDescent="0.25">
      <c r="A572" s="1">
        <v>42479</v>
      </c>
      <c r="B572">
        <v>2.3532999999999999</v>
      </c>
      <c r="C572" s="1">
        <v>42479</v>
      </c>
      <c r="D572">
        <v>2</v>
      </c>
      <c r="E572" s="1">
        <v>42439</v>
      </c>
      <c r="F572">
        <v>0.5</v>
      </c>
    </row>
    <row r="573" spans="1:6" x14ac:dyDescent="0.25">
      <c r="A573" s="1">
        <v>42480</v>
      </c>
      <c r="B573">
        <v>2.4</v>
      </c>
      <c r="C573" s="1">
        <v>42480</v>
      </c>
      <c r="D573">
        <v>2</v>
      </c>
      <c r="E573" s="1">
        <v>42440</v>
      </c>
      <c r="F573">
        <v>0.5</v>
      </c>
    </row>
    <row r="574" spans="1:6" x14ac:dyDescent="0.25">
      <c r="A574" s="1">
        <v>42481</v>
      </c>
      <c r="B574">
        <v>2.4</v>
      </c>
      <c r="C574" s="1">
        <v>42481</v>
      </c>
      <c r="D574">
        <v>2.0099999999999998</v>
      </c>
      <c r="E574" s="1">
        <v>42443</v>
      </c>
      <c r="F574">
        <v>0.5</v>
      </c>
    </row>
    <row r="575" spans="1:6" x14ac:dyDescent="0.25">
      <c r="A575" s="1">
        <v>42482</v>
      </c>
      <c r="B575">
        <v>2.5499999999999998</v>
      </c>
      <c r="C575" s="1">
        <v>42482</v>
      </c>
      <c r="D575">
        <v>2.06</v>
      </c>
      <c r="E575" s="1">
        <v>42444</v>
      </c>
      <c r="F575">
        <v>0.5</v>
      </c>
    </row>
    <row r="576" spans="1:6" x14ac:dyDescent="0.25">
      <c r="A576" s="1">
        <v>42485</v>
      </c>
      <c r="B576">
        <v>2.4500000000000002</v>
      </c>
      <c r="C576" s="1">
        <v>42485</v>
      </c>
      <c r="D576">
        <v>2.06</v>
      </c>
      <c r="E576" s="1">
        <v>42445</v>
      </c>
      <c r="F576">
        <v>0.5</v>
      </c>
    </row>
    <row r="577" spans="1:6" x14ac:dyDescent="0.25">
      <c r="A577" s="1">
        <v>42486</v>
      </c>
      <c r="B577">
        <v>2.4</v>
      </c>
      <c r="C577" s="1">
        <v>42486</v>
      </c>
      <c r="D577">
        <v>2.02</v>
      </c>
      <c r="E577" s="1">
        <v>42446</v>
      </c>
      <c r="F577">
        <v>0.5</v>
      </c>
    </row>
    <row r="578" spans="1:6" x14ac:dyDescent="0.25">
      <c r="A578" s="1">
        <v>42487</v>
      </c>
      <c r="B578">
        <v>2.7</v>
      </c>
      <c r="C578" s="1">
        <v>42487</v>
      </c>
      <c r="D578">
        <v>2.0099999999999998</v>
      </c>
      <c r="E578" s="1">
        <v>42447</v>
      </c>
      <c r="F578">
        <v>0.5</v>
      </c>
    </row>
    <row r="579" spans="1:6" x14ac:dyDescent="0.25">
      <c r="A579" s="1">
        <v>42488</v>
      </c>
      <c r="B579">
        <v>2.6</v>
      </c>
      <c r="C579" s="1">
        <v>42488</v>
      </c>
      <c r="D579">
        <v>2.0099999999999998</v>
      </c>
      <c r="E579" s="1">
        <v>42450</v>
      </c>
      <c r="F579">
        <v>0.5</v>
      </c>
    </row>
    <row r="580" spans="1:6" x14ac:dyDescent="0.25">
      <c r="A580" s="1">
        <v>42489</v>
      </c>
      <c r="B580">
        <v>2.5</v>
      </c>
      <c r="C580" s="1">
        <v>42489</v>
      </c>
      <c r="D580">
        <v>2.0699999999999998</v>
      </c>
      <c r="E580" s="1">
        <v>42451</v>
      </c>
      <c r="F580">
        <v>0.5</v>
      </c>
    </row>
    <row r="581" spans="1:6" x14ac:dyDescent="0.25">
      <c r="A581" s="1">
        <v>42493</v>
      </c>
      <c r="B581">
        <v>2.37</v>
      </c>
      <c r="C581" s="1">
        <v>42493</v>
      </c>
      <c r="D581">
        <v>2</v>
      </c>
      <c r="E581" s="1">
        <v>42452</v>
      </c>
      <c r="F581">
        <v>0.5</v>
      </c>
    </row>
    <row r="582" spans="1:6" x14ac:dyDescent="0.25">
      <c r="A582" s="1">
        <v>42494</v>
      </c>
      <c r="B582">
        <v>2.4500000000000002</v>
      </c>
      <c r="C582" s="1">
        <v>42494</v>
      </c>
      <c r="D582">
        <v>2</v>
      </c>
      <c r="E582" s="1">
        <v>42453</v>
      </c>
      <c r="F582">
        <v>0.5</v>
      </c>
    </row>
    <row r="583" spans="1:6" x14ac:dyDescent="0.25">
      <c r="A583" s="1">
        <v>42495</v>
      </c>
      <c r="B583">
        <v>2.4</v>
      </c>
      <c r="C583" s="1">
        <v>42495</v>
      </c>
      <c r="D583">
        <v>2</v>
      </c>
      <c r="E583" s="1">
        <v>42454</v>
      </c>
      <c r="F583">
        <v>0.5</v>
      </c>
    </row>
    <row r="584" spans="1:6" x14ac:dyDescent="0.25">
      <c r="A584" s="1">
        <v>42496</v>
      </c>
      <c r="B584">
        <v>2.4</v>
      </c>
      <c r="C584" s="1">
        <v>42496</v>
      </c>
      <c r="D584">
        <v>2</v>
      </c>
      <c r="E584" s="1">
        <v>42457</v>
      </c>
      <c r="F584">
        <v>0.5</v>
      </c>
    </row>
    <row r="585" spans="1:6" x14ac:dyDescent="0.25">
      <c r="A585" s="1">
        <v>42499</v>
      </c>
      <c r="B585">
        <v>2.4</v>
      </c>
      <c r="C585" s="1">
        <v>42499</v>
      </c>
      <c r="D585">
        <v>2</v>
      </c>
      <c r="E585" s="1">
        <v>42458</v>
      </c>
      <c r="F585">
        <v>0.5</v>
      </c>
    </row>
    <row r="586" spans="1:6" x14ac:dyDescent="0.25">
      <c r="A586" s="1">
        <v>42500</v>
      </c>
      <c r="B586">
        <v>2.4</v>
      </c>
      <c r="C586" s="1">
        <v>42500</v>
      </c>
      <c r="D586">
        <v>2</v>
      </c>
      <c r="E586" s="1">
        <v>42459</v>
      </c>
      <c r="F586">
        <v>0.5</v>
      </c>
    </row>
    <row r="587" spans="1:6" x14ac:dyDescent="0.25">
      <c r="A587" s="1">
        <v>42501</v>
      </c>
      <c r="B587">
        <v>2.4</v>
      </c>
      <c r="C587" s="1">
        <v>42501</v>
      </c>
      <c r="D587">
        <v>2</v>
      </c>
      <c r="E587" s="1">
        <v>42460</v>
      </c>
      <c r="F587">
        <v>0.5</v>
      </c>
    </row>
    <row r="588" spans="1:6" x14ac:dyDescent="0.25">
      <c r="A588" s="1">
        <v>42502</v>
      </c>
      <c r="B588">
        <v>2.4500000000000002</v>
      </c>
      <c r="C588" s="1">
        <v>42502</v>
      </c>
      <c r="D588">
        <v>2</v>
      </c>
      <c r="E588" s="1">
        <v>42461</v>
      </c>
      <c r="F588">
        <v>0.5</v>
      </c>
    </row>
    <row r="589" spans="1:6" x14ac:dyDescent="0.25">
      <c r="A589" s="1">
        <v>42503</v>
      </c>
      <c r="B589">
        <v>2.41</v>
      </c>
      <c r="C589" s="1">
        <v>42503</v>
      </c>
      <c r="D589">
        <v>2</v>
      </c>
      <c r="E589" s="1">
        <v>42464</v>
      </c>
      <c r="F589">
        <v>0.5</v>
      </c>
    </row>
    <row r="590" spans="1:6" x14ac:dyDescent="0.25">
      <c r="A590" s="1">
        <v>42506</v>
      </c>
      <c r="B590">
        <v>2.4</v>
      </c>
      <c r="C590" s="1">
        <v>42506</v>
      </c>
      <c r="D590">
        <v>2</v>
      </c>
      <c r="E590" s="1">
        <v>42465</v>
      </c>
      <c r="F590">
        <v>0.5</v>
      </c>
    </row>
    <row r="591" spans="1:6" x14ac:dyDescent="0.25">
      <c r="A591" s="1">
        <v>42507</v>
      </c>
      <c r="B591">
        <v>2.35</v>
      </c>
      <c r="C591" s="1">
        <v>42507</v>
      </c>
      <c r="D591">
        <v>2.02</v>
      </c>
      <c r="E591" s="1">
        <v>42466</v>
      </c>
      <c r="F591">
        <v>0.5</v>
      </c>
    </row>
    <row r="592" spans="1:6" x14ac:dyDescent="0.25">
      <c r="A592" s="1">
        <v>42508</v>
      </c>
      <c r="B592">
        <v>2.41</v>
      </c>
      <c r="C592" s="1">
        <v>42508</v>
      </c>
      <c r="D592">
        <v>2.02</v>
      </c>
      <c r="E592" s="1">
        <v>42467</v>
      </c>
      <c r="F592">
        <v>0.5</v>
      </c>
    </row>
    <row r="593" spans="1:6" x14ac:dyDescent="0.25">
      <c r="A593" s="1">
        <v>42509</v>
      </c>
      <c r="B593">
        <v>2.4</v>
      </c>
      <c r="C593" s="1">
        <v>42509</v>
      </c>
      <c r="D593">
        <v>2</v>
      </c>
      <c r="E593" s="1">
        <v>42468</v>
      </c>
      <c r="F593">
        <v>0.5</v>
      </c>
    </row>
    <row r="594" spans="1:6" x14ac:dyDescent="0.25">
      <c r="A594" s="1">
        <v>42510</v>
      </c>
      <c r="B594">
        <v>2.35</v>
      </c>
      <c r="C594" s="1">
        <v>42510</v>
      </c>
      <c r="D594">
        <v>2</v>
      </c>
      <c r="E594" s="1">
        <v>42471</v>
      </c>
      <c r="F594">
        <v>0.5</v>
      </c>
    </row>
    <row r="595" spans="1:6" x14ac:dyDescent="0.25">
      <c r="A595" s="1">
        <v>42513</v>
      </c>
      <c r="B595">
        <v>2.33</v>
      </c>
      <c r="C595" s="1">
        <v>42513</v>
      </c>
      <c r="D595">
        <v>2</v>
      </c>
      <c r="E595" s="1">
        <v>42472</v>
      </c>
      <c r="F595">
        <v>0.5</v>
      </c>
    </row>
    <row r="596" spans="1:6" x14ac:dyDescent="0.25">
      <c r="A596" s="1">
        <v>42514</v>
      </c>
      <c r="B596">
        <v>2.2999999999999998</v>
      </c>
      <c r="C596" s="1">
        <v>42514</v>
      </c>
      <c r="D596">
        <v>2</v>
      </c>
      <c r="E596" s="1">
        <v>42473</v>
      </c>
      <c r="F596">
        <v>0.5</v>
      </c>
    </row>
    <row r="597" spans="1:6" x14ac:dyDescent="0.25">
      <c r="A597" s="1">
        <v>42515</v>
      </c>
      <c r="B597">
        <v>2.42</v>
      </c>
      <c r="C597" s="1">
        <v>42515</v>
      </c>
      <c r="D597">
        <v>2</v>
      </c>
      <c r="E597" s="1">
        <v>42474</v>
      </c>
      <c r="F597">
        <v>0.5</v>
      </c>
    </row>
    <row r="598" spans="1:6" x14ac:dyDescent="0.25">
      <c r="A598" s="1">
        <v>42516</v>
      </c>
      <c r="B598">
        <v>2.5</v>
      </c>
      <c r="C598" s="1">
        <v>42516</v>
      </c>
      <c r="D598">
        <v>2</v>
      </c>
      <c r="E598" s="1">
        <v>42475</v>
      </c>
      <c r="F598">
        <v>0.5</v>
      </c>
    </row>
    <row r="599" spans="1:6" x14ac:dyDescent="0.25">
      <c r="A599" s="1">
        <v>42517</v>
      </c>
      <c r="B599">
        <v>2.5</v>
      </c>
      <c r="C599" s="1">
        <v>42517</v>
      </c>
      <c r="D599">
        <v>2.0099999999999998</v>
      </c>
      <c r="E599" s="1">
        <v>42478</v>
      </c>
      <c r="F599">
        <v>0.5</v>
      </c>
    </row>
    <row r="600" spans="1:6" x14ac:dyDescent="0.25">
      <c r="A600" s="1">
        <v>42520</v>
      </c>
      <c r="B600">
        <v>2.5</v>
      </c>
      <c r="C600" s="1">
        <v>42520</v>
      </c>
      <c r="D600">
        <v>2</v>
      </c>
      <c r="E600" s="1">
        <v>42479</v>
      </c>
      <c r="F600">
        <v>0.5</v>
      </c>
    </row>
    <row r="601" spans="1:6" x14ac:dyDescent="0.25">
      <c r="A601" s="1">
        <v>42521</v>
      </c>
      <c r="B601">
        <v>2.4</v>
      </c>
      <c r="C601" s="1">
        <v>42521</v>
      </c>
      <c r="D601">
        <v>2.0099999999999998</v>
      </c>
      <c r="E601" s="1">
        <v>42480</v>
      </c>
      <c r="F601">
        <v>0.5</v>
      </c>
    </row>
    <row r="602" spans="1:6" x14ac:dyDescent="0.25">
      <c r="A602" s="1">
        <v>42522</v>
      </c>
      <c r="B602">
        <v>2.4500000000000002</v>
      </c>
      <c r="C602" s="1">
        <v>42522</v>
      </c>
      <c r="D602">
        <v>2</v>
      </c>
      <c r="E602" s="1">
        <v>42481</v>
      </c>
      <c r="F602">
        <v>0.5</v>
      </c>
    </row>
    <row r="603" spans="1:6" x14ac:dyDescent="0.25">
      <c r="A603" s="1">
        <v>42523</v>
      </c>
      <c r="B603">
        <v>2.34</v>
      </c>
      <c r="C603" s="1">
        <v>42523</v>
      </c>
      <c r="D603">
        <v>2</v>
      </c>
      <c r="E603" s="1">
        <v>42482</v>
      </c>
      <c r="F603">
        <v>0.5</v>
      </c>
    </row>
    <row r="604" spans="1:6" x14ac:dyDescent="0.25">
      <c r="A604" s="1">
        <v>42524</v>
      </c>
      <c r="B604">
        <v>2.35</v>
      </c>
      <c r="C604" s="1">
        <v>42524</v>
      </c>
      <c r="D604">
        <v>2</v>
      </c>
      <c r="E604" s="1">
        <v>42485</v>
      </c>
      <c r="F604">
        <v>0.5</v>
      </c>
    </row>
    <row r="605" spans="1:6" x14ac:dyDescent="0.25">
      <c r="A605" s="1">
        <v>42527</v>
      </c>
      <c r="B605">
        <v>2.4</v>
      </c>
      <c r="C605" s="1">
        <v>42527</v>
      </c>
      <c r="D605">
        <v>2</v>
      </c>
      <c r="E605" s="1">
        <v>42486</v>
      </c>
      <c r="F605">
        <v>0.5</v>
      </c>
    </row>
    <row r="606" spans="1:6" x14ac:dyDescent="0.25">
      <c r="A606" s="1">
        <v>42528</v>
      </c>
      <c r="B606">
        <v>2.4</v>
      </c>
      <c r="C606" s="1">
        <v>42528</v>
      </c>
      <c r="D606">
        <v>2</v>
      </c>
      <c r="E606" s="1">
        <v>42487</v>
      </c>
      <c r="F606">
        <v>0.5</v>
      </c>
    </row>
    <row r="607" spans="1:6" x14ac:dyDescent="0.25">
      <c r="A607" s="1">
        <v>42529</v>
      </c>
      <c r="B607">
        <v>2.4500000000000002</v>
      </c>
      <c r="C607" s="1">
        <v>42529</v>
      </c>
      <c r="D607">
        <v>2</v>
      </c>
      <c r="E607" s="1">
        <v>42488</v>
      </c>
      <c r="F607">
        <v>0.5</v>
      </c>
    </row>
    <row r="608" spans="1:6" x14ac:dyDescent="0.25">
      <c r="A608" s="1">
        <v>42533</v>
      </c>
      <c r="B608">
        <v>2.2999999999999998</v>
      </c>
      <c r="C608" s="1">
        <v>42533</v>
      </c>
      <c r="D608">
        <v>1.99</v>
      </c>
      <c r="E608" s="1">
        <v>42489</v>
      </c>
      <c r="F608">
        <v>0.5</v>
      </c>
    </row>
    <row r="609" spans="1:6" x14ac:dyDescent="0.25">
      <c r="A609" s="1">
        <v>42534</v>
      </c>
      <c r="B609">
        <v>2.35</v>
      </c>
      <c r="C609" s="1">
        <v>42534</v>
      </c>
      <c r="D609">
        <v>2</v>
      </c>
      <c r="E609" s="1">
        <v>42492</v>
      </c>
      <c r="F609">
        <v>0.5</v>
      </c>
    </row>
    <row r="610" spans="1:6" x14ac:dyDescent="0.25">
      <c r="A610" s="1">
        <v>42535</v>
      </c>
      <c r="B610">
        <v>2.3199999999999998</v>
      </c>
      <c r="C610" s="1">
        <v>42535</v>
      </c>
      <c r="D610">
        <v>2</v>
      </c>
      <c r="E610" s="1">
        <v>42493</v>
      </c>
      <c r="F610">
        <v>0.5</v>
      </c>
    </row>
    <row r="611" spans="1:6" x14ac:dyDescent="0.25">
      <c r="A611" s="1">
        <v>42536</v>
      </c>
      <c r="B611">
        <v>2.35</v>
      </c>
      <c r="C611" s="1">
        <v>42536</v>
      </c>
      <c r="D611">
        <v>2</v>
      </c>
      <c r="E611" s="1">
        <v>42494</v>
      </c>
      <c r="F611">
        <v>0.5</v>
      </c>
    </row>
    <row r="612" spans="1:6" x14ac:dyDescent="0.25">
      <c r="A612" s="1">
        <v>42537</v>
      </c>
      <c r="B612">
        <v>2.35</v>
      </c>
      <c r="C612" s="1">
        <v>42537</v>
      </c>
      <c r="D612">
        <v>2</v>
      </c>
      <c r="E612" s="1">
        <v>42495</v>
      </c>
      <c r="F612">
        <v>0.5</v>
      </c>
    </row>
    <row r="613" spans="1:6" x14ac:dyDescent="0.25">
      <c r="A613" s="1">
        <v>42538</v>
      </c>
      <c r="B613">
        <v>2.35</v>
      </c>
      <c r="C613" s="1">
        <v>42538</v>
      </c>
      <c r="D613">
        <v>2</v>
      </c>
      <c r="E613" s="1">
        <v>42496</v>
      </c>
      <c r="F613">
        <v>0.5</v>
      </c>
    </row>
    <row r="614" spans="1:6" x14ac:dyDescent="0.25">
      <c r="A614" s="1">
        <v>42541</v>
      </c>
      <c r="B614">
        <v>2.31</v>
      </c>
      <c r="C614" s="1">
        <v>42541</v>
      </c>
      <c r="D614">
        <v>2</v>
      </c>
      <c r="E614" s="1">
        <v>42499</v>
      </c>
      <c r="F614">
        <v>0.5</v>
      </c>
    </row>
    <row r="615" spans="1:6" x14ac:dyDescent="0.25">
      <c r="A615" s="1">
        <v>42542</v>
      </c>
      <c r="B615">
        <v>2.31</v>
      </c>
      <c r="C615" s="1">
        <v>42542</v>
      </c>
      <c r="D615">
        <v>2.0099999999999998</v>
      </c>
      <c r="E615" s="1">
        <v>42500</v>
      </c>
      <c r="F615">
        <v>0.5</v>
      </c>
    </row>
    <row r="616" spans="1:6" x14ac:dyDescent="0.25">
      <c r="A616" s="1">
        <v>42543</v>
      </c>
      <c r="B616">
        <v>2.37</v>
      </c>
      <c r="C616" s="1">
        <v>42543</v>
      </c>
      <c r="D616">
        <v>2.02</v>
      </c>
      <c r="E616" s="1">
        <v>42501</v>
      </c>
      <c r="F616">
        <v>0.5</v>
      </c>
    </row>
    <row r="617" spans="1:6" x14ac:dyDescent="0.25">
      <c r="A617" s="1">
        <v>42544</v>
      </c>
      <c r="B617">
        <v>2.4</v>
      </c>
      <c r="C617" s="1">
        <v>42544</v>
      </c>
      <c r="D617">
        <v>2.02</v>
      </c>
      <c r="E617" s="1">
        <v>42502</v>
      </c>
      <c r="F617">
        <v>0.5</v>
      </c>
    </row>
    <row r="618" spans="1:6" x14ac:dyDescent="0.25">
      <c r="A618" s="1">
        <v>42545</v>
      </c>
      <c r="B618">
        <v>2.37</v>
      </c>
      <c r="C618" s="1">
        <v>42545</v>
      </c>
      <c r="D618">
        <v>2.02</v>
      </c>
      <c r="E618" s="1">
        <v>42503</v>
      </c>
      <c r="F618">
        <v>0.5</v>
      </c>
    </row>
    <row r="619" spans="1:6" x14ac:dyDescent="0.25">
      <c r="A619" s="1">
        <v>42548</v>
      </c>
      <c r="B619">
        <v>2.39</v>
      </c>
      <c r="C619" s="1">
        <v>42548</v>
      </c>
      <c r="D619">
        <v>2.02</v>
      </c>
      <c r="E619" s="1">
        <v>42506</v>
      </c>
      <c r="F619">
        <v>0.5</v>
      </c>
    </row>
    <row r="620" spans="1:6" x14ac:dyDescent="0.25">
      <c r="A620" s="1">
        <v>42549</v>
      </c>
      <c r="B620">
        <v>2.4300000000000002</v>
      </c>
      <c r="C620" s="1">
        <v>42549</v>
      </c>
      <c r="D620">
        <v>2.02</v>
      </c>
      <c r="E620" s="1">
        <v>42507</v>
      </c>
      <c r="F620">
        <v>0.5</v>
      </c>
    </row>
    <row r="621" spans="1:6" x14ac:dyDescent="0.25">
      <c r="A621" s="1">
        <v>42550</v>
      </c>
      <c r="B621">
        <v>2.57</v>
      </c>
      <c r="C621" s="1">
        <v>42550</v>
      </c>
      <c r="D621">
        <v>2.02</v>
      </c>
      <c r="E621" s="1">
        <v>42508</v>
      </c>
      <c r="F621">
        <v>0.5</v>
      </c>
    </row>
    <row r="622" spans="1:6" x14ac:dyDescent="0.25">
      <c r="A622" s="1">
        <v>42551</v>
      </c>
      <c r="B622">
        <v>2.7</v>
      </c>
      <c r="C622" s="1">
        <v>42551</v>
      </c>
      <c r="D622">
        <v>2.04</v>
      </c>
      <c r="E622" s="1">
        <v>42509</v>
      </c>
      <c r="F622">
        <v>0.5</v>
      </c>
    </row>
    <row r="623" spans="1:6" x14ac:dyDescent="0.25">
      <c r="A623" s="1">
        <v>42552</v>
      </c>
      <c r="B623">
        <v>2.4</v>
      </c>
      <c r="C623" s="1">
        <v>42552</v>
      </c>
      <c r="D623">
        <v>2.0099999999999998</v>
      </c>
      <c r="E623" s="1">
        <v>42510</v>
      </c>
      <c r="F623">
        <v>0.5</v>
      </c>
    </row>
    <row r="624" spans="1:6" x14ac:dyDescent="0.25">
      <c r="A624" s="1">
        <v>42555</v>
      </c>
      <c r="B624">
        <v>2.38</v>
      </c>
      <c r="C624" s="1">
        <v>42555</v>
      </c>
      <c r="D624">
        <v>2</v>
      </c>
      <c r="E624" s="1">
        <v>42513</v>
      </c>
      <c r="F624">
        <v>0.5</v>
      </c>
    </row>
    <row r="625" spans="1:6" x14ac:dyDescent="0.25">
      <c r="A625" s="1">
        <v>42556</v>
      </c>
      <c r="B625">
        <v>2.35</v>
      </c>
      <c r="C625" s="1">
        <v>42556</v>
      </c>
      <c r="D625">
        <v>2</v>
      </c>
      <c r="E625" s="1">
        <v>42514</v>
      </c>
      <c r="F625">
        <v>0.5</v>
      </c>
    </row>
    <row r="626" spans="1:6" x14ac:dyDescent="0.25">
      <c r="A626" s="1">
        <v>42557</v>
      </c>
      <c r="B626">
        <v>2.35</v>
      </c>
      <c r="C626" s="1">
        <v>42557</v>
      </c>
      <c r="D626">
        <v>2</v>
      </c>
      <c r="E626" s="1">
        <v>42515</v>
      </c>
      <c r="F626">
        <v>0.5</v>
      </c>
    </row>
    <row r="627" spans="1:6" x14ac:dyDescent="0.25">
      <c r="A627" s="1">
        <v>42558</v>
      </c>
      <c r="B627">
        <v>2.42</v>
      </c>
      <c r="C627" s="1">
        <v>42558</v>
      </c>
      <c r="D627">
        <v>2</v>
      </c>
      <c r="E627" s="1">
        <v>42516</v>
      </c>
      <c r="F627">
        <v>0.5</v>
      </c>
    </row>
    <row r="628" spans="1:6" x14ac:dyDescent="0.25">
      <c r="A628" s="1">
        <v>42559</v>
      </c>
      <c r="B628">
        <v>2.4</v>
      </c>
      <c r="C628" s="1">
        <v>42559</v>
      </c>
      <c r="D628">
        <v>2</v>
      </c>
      <c r="E628" s="1">
        <v>42517</v>
      </c>
      <c r="F628">
        <v>0.5</v>
      </c>
    </row>
    <row r="629" spans="1:6" x14ac:dyDescent="0.25">
      <c r="A629" s="1">
        <v>42562</v>
      </c>
      <c r="B629">
        <v>2.4500000000000002</v>
      </c>
      <c r="C629" s="1">
        <v>42562</v>
      </c>
      <c r="D629">
        <v>2</v>
      </c>
      <c r="E629" s="1">
        <v>42520</v>
      </c>
      <c r="F629">
        <v>0.5</v>
      </c>
    </row>
    <row r="630" spans="1:6" x14ac:dyDescent="0.25">
      <c r="A630" s="1">
        <v>42563</v>
      </c>
      <c r="B630">
        <v>2.35</v>
      </c>
      <c r="C630" s="1">
        <v>42563</v>
      </c>
      <c r="D630">
        <v>2</v>
      </c>
      <c r="E630" s="1">
        <v>42521</v>
      </c>
      <c r="F630">
        <v>0.5</v>
      </c>
    </row>
    <row r="631" spans="1:6" x14ac:dyDescent="0.25">
      <c r="A631" s="1">
        <v>42564</v>
      </c>
      <c r="B631">
        <v>2.44</v>
      </c>
      <c r="C631" s="1">
        <v>42564</v>
      </c>
      <c r="D631">
        <v>2</v>
      </c>
      <c r="E631" s="1">
        <v>42522</v>
      </c>
      <c r="F631">
        <v>0.5</v>
      </c>
    </row>
    <row r="632" spans="1:6" x14ac:dyDescent="0.25">
      <c r="A632" s="1">
        <v>42565</v>
      </c>
      <c r="B632">
        <v>2.4</v>
      </c>
      <c r="C632" s="1">
        <v>42565</v>
      </c>
      <c r="D632">
        <v>2</v>
      </c>
      <c r="E632" s="1">
        <v>42523</v>
      </c>
      <c r="F632">
        <v>0.5</v>
      </c>
    </row>
    <row r="633" spans="1:6" x14ac:dyDescent="0.25">
      <c r="A633" s="1">
        <v>42566</v>
      </c>
      <c r="B633">
        <v>2.42</v>
      </c>
      <c r="C633" s="1">
        <v>42566</v>
      </c>
      <c r="D633">
        <v>2</v>
      </c>
      <c r="E633" s="1">
        <v>42524</v>
      </c>
      <c r="F633">
        <v>0.5</v>
      </c>
    </row>
    <row r="634" spans="1:6" x14ac:dyDescent="0.25">
      <c r="A634" s="1">
        <v>42569</v>
      </c>
      <c r="B634">
        <v>2.35</v>
      </c>
      <c r="C634" s="1">
        <v>42569</v>
      </c>
      <c r="D634">
        <v>2</v>
      </c>
      <c r="E634" s="1">
        <v>42527</v>
      </c>
      <c r="F634">
        <v>0.5</v>
      </c>
    </row>
    <row r="635" spans="1:6" x14ac:dyDescent="0.25">
      <c r="A635" s="1">
        <v>42570</v>
      </c>
      <c r="B635">
        <v>2.37</v>
      </c>
      <c r="C635" s="1">
        <v>42570</v>
      </c>
      <c r="D635">
        <v>2.0099999999999998</v>
      </c>
      <c r="E635" s="1">
        <v>42528</v>
      </c>
      <c r="F635">
        <v>0.5</v>
      </c>
    </row>
    <row r="636" spans="1:6" x14ac:dyDescent="0.25">
      <c r="A636" s="1">
        <v>42571</v>
      </c>
      <c r="B636">
        <v>2.4</v>
      </c>
      <c r="C636" s="1">
        <v>42571</v>
      </c>
      <c r="D636">
        <v>2.0099999999999998</v>
      </c>
      <c r="E636" s="1">
        <v>42529</v>
      </c>
      <c r="F636">
        <v>0.5</v>
      </c>
    </row>
    <row r="637" spans="1:6" x14ac:dyDescent="0.25">
      <c r="A637" s="1">
        <v>42572</v>
      </c>
      <c r="B637">
        <v>2.4</v>
      </c>
      <c r="C637" s="1">
        <v>42572</v>
      </c>
      <c r="D637">
        <v>2.02</v>
      </c>
      <c r="E637" s="1">
        <v>42530</v>
      </c>
      <c r="F637">
        <v>0.5</v>
      </c>
    </row>
    <row r="638" spans="1:6" x14ac:dyDescent="0.25">
      <c r="A638" s="1">
        <v>42573</v>
      </c>
      <c r="B638">
        <v>2.4</v>
      </c>
      <c r="C638" s="1">
        <v>42573</v>
      </c>
      <c r="D638">
        <v>2.0299999999999998</v>
      </c>
      <c r="E638" s="1">
        <v>42531</v>
      </c>
      <c r="F638">
        <v>0.5</v>
      </c>
    </row>
    <row r="639" spans="1:6" x14ac:dyDescent="0.25">
      <c r="A639" s="1">
        <v>42576</v>
      </c>
      <c r="B639">
        <v>2.4</v>
      </c>
      <c r="C639" s="1">
        <v>42576</v>
      </c>
      <c r="D639">
        <v>2.02</v>
      </c>
      <c r="E639" s="1">
        <v>42534</v>
      </c>
      <c r="F639">
        <v>0.5</v>
      </c>
    </row>
    <row r="640" spans="1:6" x14ac:dyDescent="0.25">
      <c r="A640" s="1">
        <v>42577</v>
      </c>
      <c r="B640">
        <v>2.6</v>
      </c>
      <c r="C640" s="1">
        <v>42577</v>
      </c>
      <c r="D640">
        <v>2.0499999999999998</v>
      </c>
      <c r="E640" s="1">
        <v>42535</v>
      </c>
      <c r="F640">
        <v>0.5</v>
      </c>
    </row>
    <row r="641" spans="1:6" x14ac:dyDescent="0.25">
      <c r="A641" s="1">
        <v>42578</v>
      </c>
      <c r="B641">
        <v>2.62</v>
      </c>
      <c r="C641" s="1">
        <v>42578</v>
      </c>
      <c r="D641">
        <v>2.0299999999999998</v>
      </c>
      <c r="E641" s="1">
        <v>42536</v>
      </c>
      <c r="F641">
        <v>0.5</v>
      </c>
    </row>
    <row r="642" spans="1:6" x14ac:dyDescent="0.25">
      <c r="A642" s="1">
        <v>42579</v>
      </c>
      <c r="B642">
        <v>2.6</v>
      </c>
      <c r="C642" s="1">
        <v>42579</v>
      </c>
      <c r="D642">
        <v>2</v>
      </c>
      <c r="E642" s="1">
        <v>42537</v>
      </c>
      <c r="F642">
        <v>0.5</v>
      </c>
    </row>
    <row r="643" spans="1:6" x14ac:dyDescent="0.25">
      <c r="A643" s="1">
        <v>42580</v>
      </c>
      <c r="B643">
        <v>2.5</v>
      </c>
      <c r="C643" s="1">
        <v>42580</v>
      </c>
      <c r="D643">
        <v>2.0099999999999998</v>
      </c>
      <c r="E643" s="1">
        <v>42538</v>
      </c>
      <c r="F643">
        <v>0.5</v>
      </c>
    </row>
    <row r="644" spans="1:6" x14ac:dyDescent="0.25">
      <c r="A644" s="1">
        <v>42583</v>
      </c>
      <c r="B644">
        <v>2.4</v>
      </c>
      <c r="C644" s="1">
        <v>42583</v>
      </c>
      <c r="D644">
        <v>2</v>
      </c>
      <c r="E644" s="1">
        <v>42541</v>
      </c>
      <c r="F644">
        <v>0.5</v>
      </c>
    </row>
    <row r="645" spans="1:6" x14ac:dyDescent="0.25">
      <c r="A645" s="1">
        <v>42584</v>
      </c>
      <c r="B645">
        <v>2.37</v>
      </c>
      <c r="C645" s="1">
        <v>42584</v>
      </c>
      <c r="D645">
        <v>2.008</v>
      </c>
      <c r="E645" s="1">
        <v>42542</v>
      </c>
      <c r="F645">
        <v>0.5</v>
      </c>
    </row>
    <row r="646" spans="1:6" x14ac:dyDescent="0.25">
      <c r="A646" s="1">
        <v>42585</v>
      </c>
      <c r="B646">
        <v>2.35</v>
      </c>
      <c r="C646" s="1">
        <v>42585</v>
      </c>
      <c r="D646">
        <v>2</v>
      </c>
      <c r="E646" s="1">
        <v>42543</v>
      </c>
      <c r="F646">
        <v>0.5</v>
      </c>
    </row>
    <row r="647" spans="1:6" x14ac:dyDescent="0.25">
      <c r="A647" s="1">
        <v>42586</v>
      </c>
      <c r="B647">
        <v>2.4</v>
      </c>
      <c r="C647" s="1">
        <v>42586</v>
      </c>
      <c r="D647">
        <v>2</v>
      </c>
      <c r="E647" s="1">
        <v>42544</v>
      </c>
      <c r="F647">
        <v>0.5</v>
      </c>
    </row>
    <row r="648" spans="1:6" x14ac:dyDescent="0.25">
      <c r="A648" s="1">
        <v>42587</v>
      </c>
      <c r="B648">
        <v>2.4</v>
      </c>
      <c r="C648" s="1">
        <v>42587</v>
      </c>
      <c r="D648">
        <v>2</v>
      </c>
      <c r="E648" s="1">
        <v>42545</v>
      </c>
      <c r="F648">
        <v>0.5</v>
      </c>
    </row>
    <row r="649" spans="1:6" x14ac:dyDescent="0.25">
      <c r="A649" s="1">
        <v>42590</v>
      </c>
      <c r="B649">
        <v>2.4</v>
      </c>
      <c r="C649" s="1">
        <v>42590</v>
      </c>
      <c r="D649">
        <v>2</v>
      </c>
      <c r="E649" s="1">
        <v>42548</v>
      </c>
      <c r="F649">
        <v>0.5</v>
      </c>
    </row>
    <row r="650" spans="1:6" x14ac:dyDescent="0.25">
      <c r="A650" s="1">
        <v>42591</v>
      </c>
      <c r="B650">
        <v>2.4</v>
      </c>
      <c r="C650" s="1">
        <v>42591</v>
      </c>
      <c r="D650">
        <v>2.02</v>
      </c>
      <c r="E650" s="1">
        <v>42549</v>
      </c>
      <c r="F650">
        <v>0.5</v>
      </c>
    </row>
    <row r="651" spans="1:6" x14ac:dyDescent="0.25">
      <c r="A651" s="1">
        <v>42592</v>
      </c>
      <c r="B651">
        <v>2.5</v>
      </c>
      <c r="C651" s="1">
        <v>42592</v>
      </c>
      <c r="D651">
        <v>2.02</v>
      </c>
      <c r="E651" s="1">
        <v>42550</v>
      </c>
      <c r="F651">
        <v>0.5</v>
      </c>
    </row>
    <row r="652" spans="1:6" x14ac:dyDescent="0.25">
      <c r="A652" s="1">
        <v>42593</v>
      </c>
      <c r="B652">
        <v>2.6</v>
      </c>
      <c r="C652" s="1">
        <v>42593</v>
      </c>
      <c r="D652">
        <v>2.0299999999999998</v>
      </c>
      <c r="E652" s="1">
        <v>42551</v>
      </c>
      <c r="F652">
        <v>0.5</v>
      </c>
    </row>
    <row r="653" spans="1:6" x14ac:dyDescent="0.25">
      <c r="A653" s="1">
        <v>42594</v>
      </c>
      <c r="B653">
        <v>2.5</v>
      </c>
      <c r="C653" s="1">
        <v>42594</v>
      </c>
      <c r="D653">
        <v>2.0299999999999998</v>
      </c>
      <c r="E653" s="1">
        <v>42552</v>
      </c>
      <c r="F653">
        <v>0.5</v>
      </c>
    </row>
    <row r="654" spans="1:6" x14ac:dyDescent="0.25">
      <c r="A654" s="1">
        <v>42597</v>
      </c>
      <c r="B654">
        <v>2.5</v>
      </c>
      <c r="C654" s="1">
        <v>42597</v>
      </c>
      <c r="D654">
        <v>2.02</v>
      </c>
      <c r="E654" s="1">
        <v>42555</v>
      </c>
      <c r="F654">
        <v>0.5</v>
      </c>
    </row>
    <row r="655" spans="1:6" x14ac:dyDescent="0.25">
      <c r="A655" s="1">
        <v>42598</v>
      </c>
      <c r="B655">
        <v>2.4500000000000002</v>
      </c>
      <c r="C655" s="1">
        <v>42598</v>
      </c>
      <c r="D655">
        <v>2.02</v>
      </c>
      <c r="E655" s="1">
        <v>42556</v>
      </c>
      <c r="F655">
        <v>0.5</v>
      </c>
    </row>
    <row r="656" spans="1:6" x14ac:dyDescent="0.25">
      <c r="A656" s="1">
        <v>42599</v>
      </c>
      <c r="B656">
        <v>2.5</v>
      </c>
      <c r="C656" s="1">
        <v>42599</v>
      </c>
      <c r="D656">
        <v>2.02</v>
      </c>
      <c r="E656" s="1">
        <v>42557</v>
      </c>
      <c r="F656">
        <v>0.5</v>
      </c>
    </row>
    <row r="657" spans="1:6" x14ac:dyDescent="0.25">
      <c r="A657" s="1">
        <v>42600</v>
      </c>
      <c r="B657">
        <v>2.5</v>
      </c>
      <c r="C657" s="1">
        <v>42600</v>
      </c>
      <c r="D657">
        <v>2.02</v>
      </c>
      <c r="E657" s="1">
        <v>42558</v>
      </c>
      <c r="F657">
        <v>0.5</v>
      </c>
    </row>
    <row r="658" spans="1:6" x14ac:dyDescent="0.25">
      <c r="A658" s="1">
        <v>42601</v>
      </c>
      <c r="B658">
        <v>2.5</v>
      </c>
      <c r="C658" s="1">
        <v>42601</v>
      </c>
      <c r="D658">
        <v>2.0299999999999998</v>
      </c>
      <c r="E658" s="1">
        <v>42559</v>
      </c>
      <c r="F658">
        <v>0.5</v>
      </c>
    </row>
    <row r="659" spans="1:6" x14ac:dyDescent="0.25">
      <c r="A659" s="1">
        <v>42604</v>
      </c>
      <c r="B659">
        <v>2.48</v>
      </c>
      <c r="C659" s="1">
        <v>42604</v>
      </c>
      <c r="D659">
        <v>2.02</v>
      </c>
      <c r="E659" s="1">
        <v>42562</v>
      </c>
      <c r="F659">
        <v>0.5</v>
      </c>
    </row>
    <row r="660" spans="1:6" x14ac:dyDescent="0.25">
      <c r="A660" s="1">
        <v>42605</v>
      </c>
      <c r="B660">
        <v>2.4</v>
      </c>
      <c r="C660" s="1">
        <v>42605</v>
      </c>
      <c r="D660">
        <v>2.0299999999999998</v>
      </c>
      <c r="E660" s="1">
        <v>42563</v>
      </c>
      <c r="F660">
        <v>0.5</v>
      </c>
    </row>
    <row r="661" spans="1:6" x14ac:dyDescent="0.25">
      <c r="A661" s="1">
        <v>42606</v>
      </c>
      <c r="B661">
        <v>2.6</v>
      </c>
      <c r="C661" s="1">
        <v>42606</v>
      </c>
      <c r="D661">
        <v>2.0499999999999998</v>
      </c>
      <c r="E661" s="1">
        <v>42564</v>
      </c>
      <c r="F661">
        <v>0.5</v>
      </c>
    </row>
    <row r="662" spans="1:6" x14ac:dyDescent="0.25">
      <c r="A662" s="1">
        <v>42607</v>
      </c>
      <c r="B662">
        <v>2.6</v>
      </c>
      <c r="C662" s="1">
        <v>42607</v>
      </c>
      <c r="D662">
        <v>2.0299999999999998</v>
      </c>
      <c r="E662" s="1">
        <v>42565</v>
      </c>
      <c r="F662">
        <v>0.5</v>
      </c>
    </row>
    <row r="663" spans="1:6" x14ac:dyDescent="0.25">
      <c r="A663" s="1">
        <v>42608</v>
      </c>
      <c r="B663">
        <v>2.6</v>
      </c>
      <c r="C663" s="1">
        <v>42608</v>
      </c>
      <c r="D663">
        <v>2.0499999999999998</v>
      </c>
      <c r="E663" s="1">
        <v>42566</v>
      </c>
      <c r="F663">
        <v>0.5</v>
      </c>
    </row>
    <row r="664" spans="1:6" x14ac:dyDescent="0.25">
      <c r="A664" s="1">
        <v>42611</v>
      </c>
      <c r="B664">
        <v>2.44</v>
      </c>
      <c r="C664" s="1">
        <v>42611</v>
      </c>
      <c r="D664">
        <v>2.09</v>
      </c>
      <c r="E664" s="1">
        <v>42569</v>
      </c>
      <c r="F664">
        <v>0.5</v>
      </c>
    </row>
    <row r="665" spans="1:6" x14ac:dyDescent="0.25">
      <c r="A665" s="1">
        <v>42612</v>
      </c>
      <c r="B665">
        <v>2.35</v>
      </c>
      <c r="C665" s="1">
        <v>42612</v>
      </c>
      <c r="D665">
        <v>2.1</v>
      </c>
      <c r="E665" s="1">
        <v>42570</v>
      </c>
      <c r="F665">
        <v>0.5</v>
      </c>
    </row>
    <row r="666" spans="1:6" x14ac:dyDescent="0.25">
      <c r="A666" s="1">
        <v>42613</v>
      </c>
      <c r="B666">
        <v>2.35</v>
      </c>
      <c r="C666" s="1">
        <v>42613</v>
      </c>
      <c r="D666">
        <v>2.0699999999999998</v>
      </c>
      <c r="E666" s="1">
        <v>42571</v>
      </c>
      <c r="F666">
        <v>0.5</v>
      </c>
    </row>
    <row r="667" spans="1:6" x14ac:dyDescent="0.25">
      <c r="A667" s="1">
        <v>42614</v>
      </c>
      <c r="B667">
        <v>2.4</v>
      </c>
      <c r="C667" s="1">
        <v>42614</v>
      </c>
      <c r="D667">
        <v>2.0699999999999998</v>
      </c>
      <c r="E667" s="1">
        <v>42572</v>
      </c>
      <c r="F667">
        <v>0.5</v>
      </c>
    </row>
    <row r="668" spans="1:6" x14ac:dyDescent="0.25">
      <c r="A668" s="1">
        <v>42615</v>
      </c>
      <c r="B668">
        <v>2.4</v>
      </c>
      <c r="C668" s="1">
        <v>42615</v>
      </c>
      <c r="D668">
        <v>2.08</v>
      </c>
      <c r="E668" s="1">
        <v>42573</v>
      </c>
      <c r="F668">
        <v>0.5</v>
      </c>
    </row>
    <row r="669" spans="1:6" x14ac:dyDescent="0.25">
      <c r="A669" s="1">
        <v>42618</v>
      </c>
      <c r="B669">
        <v>2.4</v>
      </c>
      <c r="C669" s="1">
        <v>42618</v>
      </c>
      <c r="D669">
        <v>2.08</v>
      </c>
      <c r="E669" s="1">
        <v>42576</v>
      </c>
      <c r="F669">
        <v>0.5</v>
      </c>
    </row>
    <row r="670" spans="1:6" x14ac:dyDescent="0.25">
      <c r="A670" s="1">
        <v>42619</v>
      </c>
      <c r="B670">
        <v>2.36</v>
      </c>
      <c r="C670" s="1">
        <v>42619</v>
      </c>
      <c r="D670">
        <v>2.08</v>
      </c>
      <c r="E670" s="1">
        <v>42577</v>
      </c>
      <c r="F670">
        <v>0.5</v>
      </c>
    </row>
    <row r="671" spans="1:6" x14ac:dyDescent="0.25">
      <c r="A671" s="1">
        <v>42620</v>
      </c>
      <c r="B671">
        <v>2.38</v>
      </c>
      <c r="C671" s="1">
        <v>42620</v>
      </c>
      <c r="D671">
        <v>2.09</v>
      </c>
      <c r="E671" s="1">
        <v>42578</v>
      </c>
      <c r="F671">
        <v>0.5</v>
      </c>
    </row>
    <row r="672" spans="1:6" x14ac:dyDescent="0.25">
      <c r="A672" s="1">
        <v>42621</v>
      </c>
      <c r="B672">
        <v>2.3199999999999998</v>
      </c>
      <c r="C672" s="1">
        <v>42621</v>
      </c>
      <c r="D672">
        <v>2.1</v>
      </c>
      <c r="E672" s="1">
        <v>42579</v>
      </c>
      <c r="F672">
        <v>0.5</v>
      </c>
    </row>
    <row r="673" spans="1:6" x14ac:dyDescent="0.25">
      <c r="A673" s="1">
        <v>42622</v>
      </c>
      <c r="B673">
        <v>2.2999999999999998</v>
      </c>
      <c r="C673" s="1">
        <v>42622</v>
      </c>
      <c r="D673">
        <v>2.1</v>
      </c>
      <c r="E673" s="1">
        <v>42580</v>
      </c>
      <c r="F673">
        <v>0.5</v>
      </c>
    </row>
    <row r="674" spans="1:6" x14ac:dyDescent="0.25">
      <c r="A674" s="1">
        <v>42625</v>
      </c>
      <c r="B674">
        <v>2.35</v>
      </c>
      <c r="C674" s="1">
        <v>42625</v>
      </c>
      <c r="D674">
        <v>2.13</v>
      </c>
      <c r="E674" s="1">
        <v>42583</v>
      </c>
      <c r="F674">
        <v>0.5</v>
      </c>
    </row>
    <row r="675" spans="1:6" x14ac:dyDescent="0.25">
      <c r="A675" s="1">
        <v>42626</v>
      </c>
      <c r="B675">
        <v>2.5</v>
      </c>
      <c r="C675" s="1">
        <v>42626</v>
      </c>
      <c r="D675">
        <v>2.15</v>
      </c>
      <c r="E675" s="1">
        <v>42584</v>
      </c>
      <c r="F675">
        <v>0.5</v>
      </c>
    </row>
    <row r="676" spans="1:6" x14ac:dyDescent="0.25">
      <c r="A676" s="1">
        <v>42627</v>
      </c>
      <c r="B676">
        <v>2.65</v>
      </c>
      <c r="C676" s="1">
        <v>42627</v>
      </c>
      <c r="D676">
        <v>2.15</v>
      </c>
      <c r="E676" s="1">
        <v>42585</v>
      </c>
      <c r="F676">
        <v>0.5</v>
      </c>
    </row>
    <row r="677" spans="1:6" x14ac:dyDescent="0.25">
      <c r="A677" s="1">
        <v>42631</v>
      </c>
      <c r="B677">
        <v>2.4</v>
      </c>
      <c r="C677" s="1">
        <v>42631</v>
      </c>
      <c r="D677">
        <v>2.2000000000000002</v>
      </c>
      <c r="E677" s="1">
        <v>42586</v>
      </c>
      <c r="F677">
        <v>0.5</v>
      </c>
    </row>
    <row r="678" spans="1:6" x14ac:dyDescent="0.25">
      <c r="A678" s="1">
        <v>42632</v>
      </c>
      <c r="B678">
        <v>2.56</v>
      </c>
      <c r="C678" s="1">
        <v>42632</v>
      </c>
      <c r="D678">
        <v>2.23</v>
      </c>
      <c r="E678" s="1">
        <v>42587</v>
      </c>
      <c r="F678">
        <v>0.5</v>
      </c>
    </row>
    <row r="679" spans="1:6" x14ac:dyDescent="0.25">
      <c r="A679" s="1">
        <v>42633</v>
      </c>
      <c r="B679">
        <v>2.7</v>
      </c>
      <c r="C679" s="1">
        <v>42633</v>
      </c>
      <c r="D679">
        <v>2.2000000000000002</v>
      </c>
      <c r="E679" s="1">
        <v>42590</v>
      </c>
      <c r="F679">
        <v>0.5</v>
      </c>
    </row>
    <row r="680" spans="1:6" x14ac:dyDescent="0.25">
      <c r="A680" s="1">
        <v>42634</v>
      </c>
      <c r="B680">
        <v>2.74</v>
      </c>
      <c r="C680" s="1">
        <v>42634</v>
      </c>
      <c r="D680">
        <v>2.2000000000000002</v>
      </c>
      <c r="E680" s="1">
        <v>42591</v>
      </c>
      <c r="F680">
        <v>0.5</v>
      </c>
    </row>
    <row r="681" spans="1:6" x14ac:dyDescent="0.25">
      <c r="A681" s="1">
        <v>42635</v>
      </c>
      <c r="B681">
        <v>2.68</v>
      </c>
      <c r="C681" s="1">
        <v>42635</v>
      </c>
      <c r="D681">
        <v>2.16</v>
      </c>
      <c r="E681" s="1">
        <v>42592</v>
      </c>
      <c r="F681">
        <v>0.5</v>
      </c>
    </row>
    <row r="682" spans="1:6" x14ac:dyDescent="0.25">
      <c r="A682" s="1">
        <v>42636</v>
      </c>
      <c r="B682">
        <v>2.4</v>
      </c>
      <c r="C682" s="1">
        <v>42636</v>
      </c>
      <c r="D682">
        <v>2.15</v>
      </c>
      <c r="E682" s="1">
        <v>42593</v>
      </c>
      <c r="F682">
        <v>0.5</v>
      </c>
    </row>
    <row r="683" spans="1:6" x14ac:dyDescent="0.25">
      <c r="A683" s="1">
        <v>42639</v>
      </c>
      <c r="B683">
        <v>2.44</v>
      </c>
      <c r="C683" s="1">
        <v>42639</v>
      </c>
      <c r="D683">
        <v>2.17</v>
      </c>
      <c r="E683" s="1">
        <v>42594</v>
      </c>
      <c r="F683">
        <v>0.5</v>
      </c>
    </row>
    <row r="684" spans="1:6" x14ac:dyDescent="0.25">
      <c r="A684" s="1">
        <v>42640</v>
      </c>
      <c r="B684">
        <v>2.4900000000000002</v>
      </c>
      <c r="C684" s="1">
        <v>42640</v>
      </c>
      <c r="D684">
        <v>2.2000000000000002</v>
      </c>
      <c r="E684" s="1">
        <v>42597</v>
      </c>
      <c r="F684">
        <v>0.5</v>
      </c>
    </row>
    <row r="685" spans="1:6" x14ac:dyDescent="0.25">
      <c r="A685" s="1">
        <v>42641</v>
      </c>
      <c r="B685">
        <v>2.6</v>
      </c>
      <c r="C685" s="1">
        <v>42641</v>
      </c>
      <c r="D685">
        <v>2.2999999999999998</v>
      </c>
      <c r="E685" s="1">
        <v>42598</v>
      </c>
      <c r="F685">
        <v>0.5</v>
      </c>
    </row>
    <row r="686" spans="1:6" x14ac:dyDescent="0.25">
      <c r="A686" s="1">
        <v>42642</v>
      </c>
      <c r="B686">
        <v>2.85</v>
      </c>
      <c r="C686" s="1">
        <v>42642</v>
      </c>
      <c r="D686">
        <v>2.2999999999999998</v>
      </c>
      <c r="E686" s="1">
        <v>42599</v>
      </c>
      <c r="F686">
        <v>0.5</v>
      </c>
    </row>
    <row r="687" spans="1:6" x14ac:dyDescent="0.25">
      <c r="A687" s="1">
        <v>42643</v>
      </c>
      <c r="B687">
        <v>2.5499999999999998</v>
      </c>
      <c r="C687" s="1">
        <v>42643</v>
      </c>
      <c r="D687">
        <v>2.31</v>
      </c>
      <c r="E687" s="1">
        <v>42600</v>
      </c>
      <c r="F687">
        <v>0.5</v>
      </c>
    </row>
    <row r="688" spans="1:6" x14ac:dyDescent="0.25">
      <c r="A688" s="1">
        <v>42651</v>
      </c>
      <c r="B688">
        <v>2.35</v>
      </c>
      <c r="C688" s="1">
        <v>42651</v>
      </c>
      <c r="D688">
        <v>2.15</v>
      </c>
      <c r="E688" s="1">
        <v>42601</v>
      </c>
      <c r="F688">
        <v>0.5</v>
      </c>
    </row>
    <row r="689" spans="1:6" x14ac:dyDescent="0.25">
      <c r="A689" s="1">
        <v>42652</v>
      </c>
      <c r="B689">
        <v>2.2999999999999998</v>
      </c>
      <c r="C689" s="1">
        <v>42652</v>
      </c>
      <c r="D689">
        <v>2.1</v>
      </c>
      <c r="E689" s="1">
        <v>42604</v>
      </c>
      <c r="F689">
        <v>0.5</v>
      </c>
    </row>
    <row r="690" spans="1:6" x14ac:dyDescent="0.25">
      <c r="A690" s="1">
        <v>42653</v>
      </c>
      <c r="B690">
        <v>2.4500000000000002</v>
      </c>
      <c r="C690" s="1">
        <v>42653</v>
      </c>
      <c r="D690">
        <v>2.1</v>
      </c>
      <c r="E690" s="1">
        <v>42605</v>
      </c>
      <c r="F690">
        <v>0.5</v>
      </c>
    </row>
    <row r="691" spans="1:6" x14ac:dyDescent="0.25">
      <c r="A691" s="1">
        <v>42654</v>
      </c>
      <c r="B691">
        <v>2.36</v>
      </c>
      <c r="C691" s="1">
        <v>42654</v>
      </c>
      <c r="D691">
        <v>2.1</v>
      </c>
      <c r="E691" s="1">
        <v>42606</v>
      </c>
      <c r="F691">
        <v>0.5</v>
      </c>
    </row>
    <row r="692" spans="1:6" x14ac:dyDescent="0.25">
      <c r="A692" s="1">
        <v>42655</v>
      </c>
      <c r="B692">
        <v>2.39</v>
      </c>
      <c r="C692" s="1">
        <v>42655</v>
      </c>
      <c r="D692">
        <v>2.11</v>
      </c>
      <c r="E692" s="1">
        <v>42607</v>
      </c>
      <c r="F692">
        <v>0.5</v>
      </c>
    </row>
    <row r="693" spans="1:6" x14ac:dyDescent="0.25">
      <c r="A693" s="1">
        <v>42656</v>
      </c>
      <c r="B693">
        <v>2.41</v>
      </c>
      <c r="C693" s="1">
        <v>42656</v>
      </c>
      <c r="D693">
        <v>2.12</v>
      </c>
      <c r="E693" s="1">
        <v>42608</v>
      </c>
      <c r="F693">
        <v>0.5</v>
      </c>
    </row>
    <row r="694" spans="1:6" x14ac:dyDescent="0.25">
      <c r="A694" s="1">
        <v>42657</v>
      </c>
      <c r="B694">
        <v>2.4</v>
      </c>
      <c r="C694" s="1">
        <v>42657</v>
      </c>
      <c r="D694">
        <v>2.14</v>
      </c>
      <c r="E694" s="1">
        <v>42611</v>
      </c>
      <c r="F694">
        <v>0.5</v>
      </c>
    </row>
    <row r="695" spans="1:6" x14ac:dyDescent="0.25">
      <c r="A695" s="1">
        <v>42660</v>
      </c>
      <c r="B695">
        <v>2.4500000000000002</v>
      </c>
      <c r="C695" s="1">
        <v>42660</v>
      </c>
      <c r="D695">
        <v>2.15</v>
      </c>
      <c r="E695" s="1">
        <v>42612</v>
      </c>
      <c r="F695">
        <v>0.5</v>
      </c>
    </row>
    <row r="696" spans="1:6" x14ac:dyDescent="0.25">
      <c r="A696" s="1">
        <v>42661</v>
      </c>
      <c r="B696">
        <v>2.5</v>
      </c>
      <c r="C696" s="1">
        <v>42661</v>
      </c>
      <c r="D696">
        <v>2.25</v>
      </c>
      <c r="E696" s="1">
        <v>42613</v>
      </c>
      <c r="F696">
        <v>0.5</v>
      </c>
    </row>
    <row r="697" spans="1:6" x14ac:dyDescent="0.25">
      <c r="A697" s="1">
        <v>42662</v>
      </c>
      <c r="B697">
        <v>2.75</v>
      </c>
      <c r="C697" s="1">
        <v>42662</v>
      </c>
      <c r="D697">
        <v>2.25</v>
      </c>
      <c r="E697" s="1">
        <v>42614</v>
      </c>
      <c r="F697">
        <v>0.5</v>
      </c>
    </row>
    <row r="698" spans="1:6" x14ac:dyDescent="0.25">
      <c r="A698" s="1">
        <v>42663</v>
      </c>
      <c r="B698">
        <v>2.7</v>
      </c>
      <c r="C698" s="1">
        <v>42663</v>
      </c>
      <c r="D698">
        <v>2.2000000000000002</v>
      </c>
      <c r="E698" s="1">
        <v>42615</v>
      </c>
      <c r="F698">
        <v>0.5</v>
      </c>
    </row>
    <row r="699" spans="1:6" x14ac:dyDescent="0.25">
      <c r="A699" s="1">
        <v>42664</v>
      </c>
      <c r="B699">
        <v>3</v>
      </c>
      <c r="C699" s="1">
        <v>42664</v>
      </c>
      <c r="D699">
        <v>2.35</v>
      </c>
      <c r="E699" s="1">
        <v>42618</v>
      </c>
      <c r="F699">
        <v>0.5</v>
      </c>
    </row>
    <row r="700" spans="1:6" x14ac:dyDescent="0.25">
      <c r="A700" s="1">
        <v>42667</v>
      </c>
      <c r="B700">
        <v>2.95</v>
      </c>
      <c r="C700" s="1">
        <v>42667</v>
      </c>
      <c r="D700">
        <v>2.25</v>
      </c>
      <c r="E700" s="1">
        <v>42619</v>
      </c>
      <c r="F700">
        <v>0.5</v>
      </c>
    </row>
    <row r="701" spans="1:6" x14ac:dyDescent="0.25">
      <c r="A701" s="1">
        <v>42668</v>
      </c>
      <c r="B701">
        <v>2.7</v>
      </c>
      <c r="C701" s="1">
        <v>42668</v>
      </c>
      <c r="D701">
        <v>2.42</v>
      </c>
      <c r="E701" s="1">
        <v>42620</v>
      </c>
      <c r="F701">
        <v>0.5</v>
      </c>
    </row>
    <row r="702" spans="1:6" x14ac:dyDescent="0.25">
      <c r="A702" s="1">
        <v>42669</v>
      </c>
      <c r="B702">
        <v>2.8</v>
      </c>
      <c r="C702" s="1">
        <v>42669</v>
      </c>
      <c r="D702">
        <v>2.2999999999999998</v>
      </c>
      <c r="E702" s="1">
        <v>42621</v>
      </c>
      <c r="F702">
        <v>0.5</v>
      </c>
    </row>
    <row r="703" spans="1:6" x14ac:dyDescent="0.25">
      <c r="A703" s="1">
        <v>42670</v>
      </c>
      <c r="B703">
        <v>3</v>
      </c>
      <c r="C703" s="1">
        <v>42670</v>
      </c>
      <c r="D703">
        <v>2.2999999999999998</v>
      </c>
      <c r="E703" s="1">
        <v>42622</v>
      </c>
      <c r="F703">
        <v>0.5</v>
      </c>
    </row>
    <row r="704" spans="1:6" x14ac:dyDescent="0.25">
      <c r="A704" s="1">
        <v>42671</v>
      </c>
      <c r="B704">
        <v>3</v>
      </c>
      <c r="C704" s="1">
        <v>42671</v>
      </c>
      <c r="D704">
        <v>2.4</v>
      </c>
      <c r="E704" s="1">
        <v>42625</v>
      </c>
      <c r="F704">
        <v>0.5</v>
      </c>
    </row>
    <row r="705" spans="1:6" x14ac:dyDescent="0.25">
      <c r="A705" s="1">
        <v>42674</v>
      </c>
      <c r="B705">
        <v>3</v>
      </c>
      <c r="C705" s="1">
        <v>42674</v>
      </c>
      <c r="D705">
        <v>2.31</v>
      </c>
      <c r="E705" s="1">
        <v>42626</v>
      </c>
      <c r="F705">
        <v>0.5</v>
      </c>
    </row>
    <row r="706" spans="1:6" x14ac:dyDescent="0.25">
      <c r="A706" s="1">
        <v>42675</v>
      </c>
      <c r="B706">
        <v>2.8</v>
      </c>
      <c r="C706" s="1">
        <v>42675</v>
      </c>
      <c r="D706">
        <v>2.2999999999999998</v>
      </c>
      <c r="E706" s="1">
        <v>42627</v>
      </c>
      <c r="F706">
        <v>0.5</v>
      </c>
    </row>
    <row r="707" spans="1:6" x14ac:dyDescent="0.25">
      <c r="A707" s="1">
        <v>42676</v>
      </c>
      <c r="B707">
        <v>2.5</v>
      </c>
      <c r="C707" s="1">
        <v>42676</v>
      </c>
      <c r="D707">
        <v>2.2799999999999998</v>
      </c>
      <c r="E707" s="1">
        <v>42628</v>
      </c>
      <c r="F707">
        <v>0.5</v>
      </c>
    </row>
    <row r="708" spans="1:6" x14ac:dyDescent="0.25">
      <c r="A708" s="1">
        <v>42677</v>
      </c>
      <c r="B708">
        <v>2.4500000000000002</v>
      </c>
      <c r="C708" s="1">
        <v>42677</v>
      </c>
      <c r="D708">
        <v>2.2000000000000002</v>
      </c>
      <c r="E708" s="1">
        <v>42629</v>
      </c>
      <c r="F708">
        <v>0.5</v>
      </c>
    </row>
    <row r="709" spans="1:6" x14ac:dyDescent="0.25">
      <c r="A709" s="1">
        <v>42678</v>
      </c>
      <c r="B709">
        <v>2.4</v>
      </c>
      <c r="C709" s="1">
        <v>42678</v>
      </c>
      <c r="D709">
        <v>2.12</v>
      </c>
      <c r="E709" s="1">
        <v>42632</v>
      </c>
      <c r="F709">
        <v>0.5</v>
      </c>
    </row>
    <row r="710" spans="1:6" x14ac:dyDescent="0.25">
      <c r="A710" s="1">
        <v>42681</v>
      </c>
      <c r="B710">
        <v>2.4500000000000002</v>
      </c>
      <c r="C710" s="1">
        <v>42681</v>
      </c>
      <c r="D710">
        <v>2.1</v>
      </c>
      <c r="E710" s="1">
        <v>42633</v>
      </c>
      <c r="F710">
        <v>0.5</v>
      </c>
    </row>
    <row r="711" spans="1:6" x14ac:dyDescent="0.25">
      <c r="A711" s="1">
        <v>42682</v>
      </c>
      <c r="B711">
        <v>2.35</v>
      </c>
      <c r="C711" s="1">
        <v>42682</v>
      </c>
      <c r="D711">
        <v>2.12</v>
      </c>
      <c r="E711" s="1">
        <v>42634</v>
      </c>
      <c r="F711">
        <v>0.5</v>
      </c>
    </row>
    <row r="712" spans="1:6" x14ac:dyDescent="0.25">
      <c r="A712" s="1">
        <v>42683</v>
      </c>
      <c r="B712">
        <v>2.4</v>
      </c>
      <c r="C712" s="1">
        <v>42683</v>
      </c>
      <c r="D712">
        <v>2.13</v>
      </c>
      <c r="E712" s="1">
        <v>42635</v>
      </c>
      <c r="F712">
        <v>0.5</v>
      </c>
    </row>
    <row r="713" spans="1:6" x14ac:dyDescent="0.25">
      <c r="A713" s="1">
        <v>42684</v>
      </c>
      <c r="B713">
        <v>2.4500000000000002</v>
      </c>
      <c r="C713" s="1">
        <v>42684</v>
      </c>
      <c r="D713">
        <v>2.25</v>
      </c>
      <c r="E713" s="1">
        <v>42636</v>
      </c>
      <c r="F713">
        <v>0.5</v>
      </c>
    </row>
    <row r="714" spans="1:6" x14ac:dyDescent="0.25">
      <c r="A714" s="1">
        <v>42685</v>
      </c>
      <c r="B714">
        <v>2.5</v>
      </c>
      <c r="C714" s="1">
        <v>42685</v>
      </c>
      <c r="D714">
        <v>2.23</v>
      </c>
      <c r="E714" s="1">
        <v>42639</v>
      </c>
      <c r="F714">
        <v>0.5</v>
      </c>
    </row>
    <row r="715" spans="1:6" x14ac:dyDescent="0.25">
      <c r="A715" s="1">
        <v>42688</v>
      </c>
      <c r="B715">
        <v>2.7</v>
      </c>
      <c r="C715" s="1">
        <v>42688</v>
      </c>
      <c r="D715">
        <v>2.2999999999999998</v>
      </c>
      <c r="E715" s="1">
        <v>42640</v>
      </c>
      <c r="F715">
        <v>0.5</v>
      </c>
    </row>
    <row r="716" spans="1:6" x14ac:dyDescent="0.25">
      <c r="A716" s="1">
        <v>42689</v>
      </c>
      <c r="B716">
        <v>2.6</v>
      </c>
      <c r="C716" s="1">
        <v>42689</v>
      </c>
      <c r="D716">
        <v>2.2999999999999998</v>
      </c>
      <c r="E716" s="1">
        <v>42641</v>
      </c>
      <c r="F716">
        <v>0.5</v>
      </c>
    </row>
    <row r="717" spans="1:6" x14ac:dyDescent="0.25">
      <c r="A717" s="1">
        <v>42690</v>
      </c>
      <c r="B717">
        <v>2.85</v>
      </c>
      <c r="C717" s="1">
        <v>42690</v>
      </c>
      <c r="D717">
        <v>2.2999999999999998</v>
      </c>
      <c r="E717" s="1">
        <v>42642</v>
      </c>
      <c r="F717">
        <v>0.5</v>
      </c>
    </row>
    <row r="718" spans="1:6" x14ac:dyDescent="0.25">
      <c r="A718" s="1">
        <v>42691</v>
      </c>
      <c r="B718">
        <v>2.85</v>
      </c>
      <c r="C718" s="1">
        <v>42691</v>
      </c>
      <c r="D718">
        <v>2.2999999999999998</v>
      </c>
      <c r="E718" s="1">
        <v>42643</v>
      </c>
      <c r="F718">
        <v>0.5</v>
      </c>
    </row>
    <row r="719" spans="1:6" x14ac:dyDescent="0.25">
      <c r="A719" s="1">
        <v>42692</v>
      </c>
      <c r="B719">
        <v>2.85</v>
      </c>
      <c r="C719" s="1">
        <v>42692</v>
      </c>
      <c r="D719">
        <v>2.2999999999999998</v>
      </c>
      <c r="E719" s="1">
        <v>42646</v>
      </c>
      <c r="F719">
        <v>0.5</v>
      </c>
    </row>
    <row r="720" spans="1:6" x14ac:dyDescent="0.25">
      <c r="A720" s="1">
        <v>42695</v>
      </c>
      <c r="B720">
        <v>2.65</v>
      </c>
      <c r="C720" s="1">
        <v>42695</v>
      </c>
      <c r="D720">
        <v>2.2999999999999998</v>
      </c>
      <c r="E720" s="1">
        <v>42647</v>
      </c>
      <c r="F720">
        <v>0.5</v>
      </c>
    </row>
    <row r="721" spans="1:6" x14ac:dyDescent="0.25">
      <c r="A721" s="1">
        <v>42696</v>
      </c>
      <c r="B721">
        <v>2.7</v>
      </c>
      <c r="C721" s="1">
        <v>42696</v>
      </c>
      <c r="D721">
        <v>2.29</v>
      </c>
      <c r="E721" s="1">
        <v>42648</v>
      </c>
      <c r="F721">
        <v>0.5</v>
      </c>
    </row>
    <row r="722" spans="1:6" x14ac:dyDescent="0.25">
      <c r="A722" s="1">
        <v>42697</v>
      </c>
      <c r="B722">
        <v>2.7</v>
      </c>
      <c r="C722" s="1">
        <v>42697</v>
      </c>
      <c r="D722">
        <v>2.2999999999999998</v>
      </c>
      <c r="E722" s="1">
        <v>42649</v>
      </c>
      <c r="F722">
        <v>0.5</v>
      </c>
    </row>
    <row r="723" spans="1:6" x14ac:dyDescent="0.25">
      <c r="A723" s="1">
        <v>42698</v>
      </c>
      <c r="B723">
        <v>2.8</v>
      </c>
      <c r="C723" s="1">
        <v>42698</v>
      </c>
      <c r="D723">
        <v>2.2799999999999998</v>
      </c>
      <c r="E723" s="1">
        <v>42650</v>
      </c>
      <c r="F723">
        <v>0.5</v>
      </c>
    </row>
    <row r="724" spans="1:6" x14ac:dyDescent="0.25">
      <c r="A724" s="1">
        <v>42699</v>
      </c>
      <c r="B724">
        <v>2.9</v>
      </c>
      <c r="C724" s="1">
        <v>42699</v>
      </c>
      <c r="D724">
        <v>2.2999999999999998</v>
      </c>
      <c r="E724" s="1">
        <v>42653</v>
      </c>
      <c r="F724">
        <v>0.5</v>
      </c>
    </row>
    <row r="725" spans="1:6" x14ac:dyDescent="0.25">
      <c r="A725" s="1">
        <v>42702</v>
      </c>
      <c r="B725">
        <v>2.9</v>
      </c>
      <c r="C725" s="1">
        <v>42702</v>
      </c>
      <c r="D725">
        <v>2.2999999999999998</v>
      </c>
      <c r="E725" s="1">
        <v>42654</v>
      </c>
      <c r="F725">
        <v>0.5</v>
      </c>
    </row>
    <row r="726" spans="1:6" x14ac:dyDescent="0.25">
      <c r="A726" s="1">
        <v>42703</v>
      </c>
      <c r="B726">
        <v>2.8</v>
      </c>
      <c r="C726" s="1">
        <v>42703</v>
      </c>
      <c r="D726">
        <v>2.2999999999999998</v>
      </c>
      <c r="E726" s="1">
        <v>42655</v>
      </c>
      <c r="F726">
        <v>0.5</v>
      </c>
    </row>
    <row r="727" spans="1:6" x14ac:dyDescent="0.25">
      <c r="A727" s="1">
        <v>42704</v>
      </c>
      <c r="B727">
        <v>3.24</v>
      </c>
      <c r="C727" s="1">
        <v>42704</v>
      </c>
      <c r="D727">
        <v>2.35</v>
      </c>
      <c r="E727" s="1">
        <v>42656</v>
      </c>
      <c r="F727">
        <v>0.5</v>
      </c>
    </row>
    <row r="728" spans="1:6" x14ac:dyDescent="0.25">
      <c r="A728" s="1">
        <v>42705</v>
      </c>
      <c r="B728">
        <v>3.2</v>
      </c>
      <c r="C728" s="1">
        <v>42705</v>
      </c>
      <c r="D728">
        <v>2.2999999999999998</v>
      </c>
      <c r="E728" s="1">
        <v>42657</v>
      </c>
      <c r="F728">
        <v>0.5</v>
      </c>
    </row>
    <row r="729" spans="1:6" x14ac:dyDescent="0.25">
      <c r="A729" s="1">
        <v>42706</v>
      </c>
      <c r="B729">
        <v>2.7</v>
      </c>
      <c r="C729" s="1">
        <v>42706</v>
      </c>
      <c r="D729">
        <v>2.2999999999999998</v>
      </c>
      <c r="E729" s="1">
        <v>42660</v>
      </c>
      <c r="F729">
        <v>0.5</v>
      </c>
    </row>
    <row r="730" spans="1:6" x14ac:dyDescent="0.25">
      <c r="A730" s="1">
        <v>42709</v>
      </c>
      <c r="B730">
        <v>2.6</v>
      </c>
      <c r="C730" s="1">
        <v>42709</v>
      </c>
      <c r="D730">
        <v>2.2360000000000002</v>
      </c>
      <c r="E730" s="1">
        <v>42661</v>
      </c>
      <c r="F730">
        <v>0.5</v>
      </c>
    </row>
    <row r="731" spans="1:6" x14ac:dyDescent="0.25">
      <c r="A731" s="1">
        <v>42710</v>
      </c>
      <c r="B731">
        <v>2.4500000000000002</v>
      </c>
      <c r="C731" s="1">
        <v>42710</v>
      </c>
      <c r="D731">
        <v>2.23</v>
      </c>
      <c r="E731" s="1">
        <v>42662</v>
      </c>
      <c r="F731">
        <v>0.5</v>
      </c>
    </row>
    <row r="732" spans="1:6" x14ac:dyDescent="0.25">
      <c r="A732" s="1">
        <v>42711</v>
      </c>
      <c r="B732">
        <v>2.5</v>
      </c>
      <c r="C732" s="1">
        <v>42711</v>
      </c>
      <c r="D732">
        <v>2.23</v>
      </c>
      <c r="E732" s="1">
        <v>42663</v>
      </c>
      <c r="F732">
        <v>0.5</v>
      </c>
    </row>
    <row r="733" spans="1:6" x14ac:dyDescent="0.25">
      <c r="A733" s="1">
        <v>42712</v>
      </c>
      <c r="B733">
        <v>2.5</v>
      </c>
      <c r="C733" s="1">
        <v>42712</v>
      </c>
      <c r="D733">
        <v>2.23</v>
      </c>
      <c r="E733" s="1">
        <v>42664</v>
      </c>
      <c r="F733">
        <v>0.5</v>
      </c>
    </row>
    <row r="734" spans="1:6" x14ac:dyDescent="0.25">
      <c r="A734" s="1">
        <v>42713</v>
      </c>
      <c r="B734">
        <v>2.5</v>
      </c>
      <c r="C734" s="1">
        <v>42713</v>
      </c>
      <c r="D734">
        <v>2.23</v>
      </c>
      <c r="E734" s="1">
        <v>42667</v>
      </c>
      <c r="F734">
        <v>0.5</v>
      </c>
    </row>
    <row r="735" spans="1:6" x14ac:dyDescent="0.25">
      <c r="A735" s="1">
        <v>42716</v>
      </c>
      <c r="B735">
        <v>2.6</v>
      </c>
      <c r="C735" s="1">
        <v>42716</v>
      </c>
      <c r="D735">
        <v>2.25</v>
      </c>
      <c r="E735" s="1">
        <v>42668</v>
      </c>
      <c r="F735">
        <v>0.5</v>
      </c>
    </row>
    <row r="736" spans="1:6" x14ac:dyDescent="0.25">
      <c r="A736" s="1">
        <v>42717</v>
      </c>
      <c r="B736">
        <v>2.6</v>
      </c>
      <c r="C736" s="1">
        <v>42717</v>
      </c>
      <c r="D736">
        <v>2.25</v>
      </c>
      <c r="E736" s="1">
        <v>42669</v>
      </c>
      <c r="F736">
        <v>0.5</v>
      </c>
    </row>
    <row r="737" spans="1:6" x14ac:dyDescent="0.25">
      <c r="A737" s="1">
        <v>42718</v>
      </c>
      <c r="B737">
        <v>2.89</v>
      </c>
      <c r="C737" s="1">
        <v>42718</v>
      </c>
      <c r="D737">
        <v>2.2799999999999998</v>
      </c>
      <c r="E737" s="1">
        <v>42670</v>
      </c>
      <c r="F737">
        <v>0.5</v>
      </c>
    </row>
    <row r="738" spans="1:6" x14ac:dyDescent="0.25">
      <c r="A738" s="1">
        <v>42719</v>
      </c>
      <c r="B738">
        <v>2.5</v>
      </c>
      <c r="C738" s="1">
        <v>42719</v>
      </c>
      <c r="D738">
        <v>2.2799999999999998</v>
      </c>
      <c r="E738" s="1">
        <v>42671</v>
      </c>
      <c r="F738">
        <v>0.5</v>
      </c>
    </row>
    <row r="739" spans="1:6" x14ac:dyDescent="0.25">
      <c r="A739" s="1">
        <v>42720</v>
      </c>
      <c r="B739">
        <v>3.24</v>
      </c>
      <c r="C739" s="1">
        <v>42720</v>
      </c>
      <c r="D739">
        <v>2.2999999999999998</v>
      </c>
      <c r="E739" s="1">
        <v>42674</v>
      </c>
      <c r="F739">
        <v>0.5</v>
      </c>
    </row>
    <row r="740" spans="1:6" x14ac:dyDescent="0.25">
      <c r="A740" s="1">
        <v>42723</v>
      </c>
      <c r="B740">
        <v>3</v>
      </c>
      <c r="C740" s="1">
        <v>42723</v>
      </c>
      <c r="D740">
        <v>2.2999999999999998</v>
      </c>
      <c r="E740" s="1">
        <v>42675</v>
      </c>
      <c r="F740">
        <v>0.5</v>
      </c>
    </row>
    <row r="741" spans="1:6" x14ac:dyDescent="0.25">
      <c r="A741" s="1">
        <v>42724</v>
      </c>
      <c r="B741">
        <v>2.65</v>
      </c>
      <c r="C741" s="1">
        <v>42724</v>
      </c>
      <c r="D741">
        <v>2.2999999999999998</v>
      </c>
      <c r="E741" s="1">
        <v>42676</v>
      </c>
      <c r="F741">
        <v>0.5</v>
      </c>
    </row>
    <row r="742" spans="1:6" x14ac:dyDescent="0.25">
      <c r="A742" s="1">
        <v>42725</v>
      </c>
      <c r="B742">
        <v>3</v>
      </c>
      <c r="C742" s="1">
        <v>42725</v>
      </c>
      <c r="D742">
        <v>2.35</v>
      </c>
      <c r="E742" s="1">
        <v>42677</v>
      </c>
      <c r="F742">
        <v>0.5</v>
      </c>
    </row>
    <row r="743" spans="1:6" x14ac:dyDescent="0.25">
      <c r="A743" s="1">
        <v>42726</v>
      </c>
      <c r="B743">
        <v>2.7</v>
      </c>
      <c r="C743" s="1">
        <v>42726</v>
      </c>
      <c r="D743">
        <v>2.2000000000000002</v>
      </c>
      <c r="E743" s="1">
        <v>42678</v>
      </c>
      <c r="F743">
        <v>0.5</v>
      </c>
    </row>
    <row r="744" spans="1:6" x14ac:dyDescent="0.25">
      <c r="A744" s="1">
        <v>42727</v>
      </c>
      <c r="B744">
        <v>2.5499999999999998</v>
      </c>
      <c r="C744" s="1">
        <v>42727</v>
      </c>
      <c r="D744">
        <v>2.15</v>
      </c>
      <c r="E744" s="1">
        <v>42681</v>
      </c>
      <c r="F744">
        <v>0.5</v>
      </c>
    </row>
    <row r="745" spans="1:6" x14ac:dyDescent="0.25">
      <c r="A745" s="1">
        <v>42730</v>
      </c>
      <c r="B745">
        <v>2.5</v>
      </c>
      <c r="C745" s="1">
        <v>42730</v>
      </c>
      <c r="D745">
        <v>2.15</v>
      </c>
      <c r="E745" s="1">
        <v>42682</v>
      </c>
      <c r="F745">
        <v>0.5</v>
      </c>
    </row>
    <row r="746" spans="1:6" x14ac:dyDescent="0.25">
      <c r="A746" s="1">
        <v>42731</v>
      </c>
      <c r="B746">
        <v>2.5</v>
      </c>
      <c r="C746" s="1">
        <v>42731</v>
      </c>
      <c r="D746">
        <v>2.1</v>
      </c>
      <c r="E746" s="1">
        <v>42683</v>
      </c>
      <c r="F746">
        <v>0.5</v>
      </c>
    </row>
    <row r="747" spans="1:6" x14ac:dyDescent="0.25">
      <c r="A747" s="1">
        <v>42732</v>
      </c>
      <c r="B747">
        <v>2.8</v>
      </c>
      <c r="C747" s="1">
        <v>42732</v>
      </c>
      <c r="D747">
        <v>2.12</v>
      </c>
      <c r="E747" s="1">
        <v>42684</v>
      </c>
      <c r="F747">
        <v>0.5</v>
      </c>
    </row>
    <row r="748" spans="1:6" x14ac:dyDescent="0.25">
      <c r="A748" s="1">
        <v>42733</v>
      </c>
      <c r="B748">
        <v>3.24</v>
      </c>
      <c r="C748" s="1">
        <v>42733</v>
      </c>
      <c r="D748">
        <v>2.13</v>
      </c>
      <c r="E748" s="1">
        <v>42685</v>
      </c>
      <c r="F748">
        <v>0.5</v>
      </c>
    </row>
    <row r="749" spans="1:6" x14ac:dyDescent="0.25">
      <c r="A749" s="1">
        <v>42734</v>
      </c>
      <c r="B749">
        <v>3.24</v>
      </c>
      <c r="C749" s="1">
        <v>42734</v>
      </c>
      <c r="D749">
        <v>2.1</v>
      </c>
      <c r="E749" s="1">
        <v>42688</v>
      </c>
      <c r="F749">
        <v>0.5</v>
      </c>
    </row>
    <row r="750" spans="1:6" x14ac:dyDescent="0.25">
      <c r="A750" s="1">
        <v>42738</v>
      </c>
      <c r="B750">
        <v>2.7</v>
      </c>
      <c r="C750" s="1">
        <v>42738</v>
      </c>
      <c r="D750">
        <v>2.15</v>
      </c>
      <c r="E750" s="1">
        <v>42689</v>
      </c>
      <c r="F750">
        <v>0.5</v>
      </c>
    </row>
    <row r="751" spans="1:6" x14ac:dyDescent="0.25">
      <c r="A751" s="1">
        <v>42739</v>
      </c>
      <c r="B751">
        <v>2.56</v>
      </c>
      <c r="C751" s="1">
        <v>42739</v>
      </c>
      <c r="D751">
        <v>2.13</v>
      </c>
      <c r="E751" s="1">
        <v>42690</v>
      </c>
      <c r="F751">
        <v>0.5</v>
      </c>
    </row>
    <row r="752" spans="1:6" x14ac:dyDescent="0.25">
      <c r="A752" s="1">
        <v>42740</v>
      </c>
      <c r="B752">
        <v>2.48</v>
      </c>
      <c r="C752" s="1">
        <v>42740</v>
      </c>
      <c r="D752">
        <v>2.08</v>
      </c>
      <c r="E752" s="1">
        <v>42691</v>
      </c>
      <c r="F752">
        <v>0.5</v>
      </c>
    </row>
    <row r="753" spans="1:6" x14ac:dyDescent="0.25">
      <c r="A753" s="1">
        <v>42741</v>
      </c>
      <c r="B753">
        <v>2.4</v>
      </c>
      <c r="C753" s="1">
        <v>42741</v>
      </c>
      <c r="D753">
        <v>2.08</v>
      </c>
      <c r="E753" s="1">
        <v>42692</v>
      </c>
      <c r="F753">
        <v>0.5</v>
      </c>
    </row>
    <row r="754" spans="1:6" x14ac:dyDescent="0.25">
      <c r="A754" s="1">
        <v>42744</v>
      </c>
      <c r="B754">
        <v>2.35</v>
      </c>
      <c r="C754" s="1">
        <v>42744</v>
      </c>
      <c r="D754">
        <v>2.04</v>
      </c>
      <c r="E754" s="1">
        <v>42695</v>
      </c>
      <c r="F754">
        <v>0.5</v>
      </c>
    </row>
    <row r="755" spans="1:6" x14ac:dyDescent="0.25">
      <c r="A755" s="1">
        <v>42745</v>
      </c>
      <c r="B755">
        <v>2.35</v>
      </c>
      <c r="C755" s="1">
        <v>42745</v>
      </c>
      <c r="D755">
        <v>2.11</v>
      </c>
      <c r="E755" s="1">
        <v>42696</v>
      </c>
      <c r="F755">
        <v>0.5</v>
      </c>
    </row>
    <row r="756" spans="1:6" x14ac:dyDescent="0.25">
      <c r="A756" s="1">
        <v>42746</v>
      </c>
      <c r="B756">
        <v>2.4500000000000002</v>
      </c>
      <c r="C756" s="1">
        <v>42746</v>
      </c>
      <c r="D756">
        <v>2.13</v>
      </c>
      <c r="E756" s="1">
        <v>42697</v>
      </c>
      <c r="F756">
        <v>0.5</v>
      </c>
    </row>
    <row r="757" spans="1:6" x14ac:dyDescent="0.25">
      <c r="A757" s="1">
        <v>42747</v>
      </c>
      <c r="B757">
        <v>2.4</v>
      </c>
      <c r="C757" s="1">
        <v>42747</v>
      </c>
      <c r="D757">
        <v>2.13</v>
      </c>
      <c r="E757" s="1">
        <v>42698</v>
      </c>
      <c r="F757">
        <v>0.5</v>
      </c>
    </row>
    <row r="758" spans="1:6" x14ac:dyDescent="0.25">
      <c r="A758" s="1">
        <v>42748</v>
      </c>
      <c r="B758">
        <v>2.4</v>
      </c>
      <c r="C758" s="1">
        <v>42748</v>
      </c>
      <c r="D758">
        <v>2.1</v>
      </c>
      <c r="E758" s="1">
        <v>42699</v>
      </c>
      <c r="F758">
        <v>0.5</v>
      </c>
    </row>
    <row r="759" spans="1:6" x14ac:dyDescent="0.25">
      <c r="A759" s="1">
        <v>42751</v>
      </c>
      <c r="B759">
        <v>2.5499999999999998</v>
      </c>
      <c r="C759" s="1">
        <v>42751</v>
      </c>
      <c r="D759">
        <v>2.15</v>
      </c>
      <c r="E759" s="1">
        <v>42702</v>
      </c>
      <c r="F759">
        <v>0.5</v>
      </c>
    </row>
    <row r="760" spans="1:6" x14ac:dyDescent="0.25">
      <c r="A760" s="1">
        <v>42752</v>
      </c>
      <c r="B760">
        <v>2.33</v>
      </c>
      <c r="C760" s="1">
        <v>42752</v>
      </c>
      <c r="D760">
        <v>2.4</v>
      </c>
      <c r="E760" s="1">
        <v>42703</v>
      </c>
      <c r="F760">
        <v>0.5</v>
      </c>
    </row>
    <row r="761" spans="1:6" x14ac:dyDescent="0.25">
      <c r="A761" s="1">
        <v>42753</v>
      </c>
      <c r="B761">
        <v>3.2</v>
      </c>
      <c r="C761" s="1">
        <v>42753</v>
      </c>
      <c r="D761">
        <v>2.7</v>
      </c>
      <c r="E761" s="1">
        <v>42704</v>
      </c>
      <c r="F761">
        <v>0.5</v>
      </c>
    </row>
    <row r="762" spans="1:6" x14ac:dyDescent="0.25">
      <c r="A762" s="1">
        <v>42754</v>
      </c>
      <c r="B762">
        <v>2.5</v>
      </c>
      <c r="C762" s="1">
        <v>42754</v>
      </c>
      <c r="D762">
        <v>2.72</v>
      </c>
      <c r="E762" s="1">
        <v>42705</v>
      </c>
      <c r="F762">
        <v>0.5</v>
      </c>
    </row>
    <row r="763" spans="1:6" x14ac:dyDescent="0.25">
      <c r="A763" s="1">
        <v>42755</v>
      </c>
      <c r="B763">
        <v>3</v>
      </c>
      <c r="C763" s="1">
        <v>42755</v>
      </c>
      <c r="D763">
        <v>2.37</v>
      </c>
      <c r="E763" s="1">
        <v>42706</v>
      </c>
      <c r="F763">
        <v>0.5</v>
      </c>
    </row>
    <row r="764" spans="1:6" x14ac:dyDescent="0.25">
      <c r="A764" s="1">
        <v>42757</v>
      </c>
      <c r="B764">
        <v>2.5499999999999998</v>
      </c>
      <c r="C764" s="1">
        <v>42757</v>
      </c>
      <c r="D764">
        <v>2.11</v>
      </c>
      <c r="E764" s="1">
        <v>42709</v>
      </c>
      <c r="F764">
        <v>0.5</v>
      </c>
    </row>
    <row r="765" spans="1:6" x14ac:dyDescent="0.25">
      <c r="A765" s="1">
        <v>42758</v>
      </c>
      <c r="B765">
        <v>2.4500000000000002</v>
      </c>
      <c r="C765" s="1">
        <v>42758</v>
      </c>
      <c r="D765">
        <v>2.14</v>
      </c>
      <c r="E765" s="1">
        <v>42710</v>
      </c>
      <c r="F765">
        <v>0.5</v>
      </c>
    </row>
    <row r="766" spans="1:6" x14ac:dyDescent="0.25">
      <c r="A766" s="1">
        <v>42759</v>
      </c>
      <c r="B766">
        <v>2.85</v>
      </c>
      <c r="C766" s="1">
        <v>42759</v>
      </c>
      <c r="D766">
        <v>2.13</v>
      </c>
      <c r="E766" s="1">
        <v>42711</v>
      </c>
      <c r="F766">
        <v>0.5</v>
      </c>
    </row>
    <row r="767" spans="1:6" x14ac:dyDescent="0.25">
      <c r="A767" s="1">
        <v>42760</v>
      </c>
      <c r="B767">
        <v>2.6</v>
      </c>
      <c r="C767" s="1">
        <v>42760</v>
      </c>
      <c r="D767">
        <v>2.13</v>
      </c>
      <c r="E767" s="1">
        <v>42712</v>
      </c>
      <c r="F767">
        <v>0.5</v>
      </c>
    </row>
    <row r="768" spans="1:6" x14ac:dyDescent="0.25">
      <c r="A768" s="1">
        <v>42761</v>
      </c>
      <c r="B768">
        <v>2.7</v>
      </c>
      <c r="C768" s="1">
        <v>42761</v>
      </c>
      <c r="D768">
        <v>2.6</v>
      </c>
      <c r="E768" s="1">
        <v>42713</v>
      </c>
      <c r="F768">
        <v>0.5</v>
      </c>
    </row>
    <row r="769" spans="1:6" x14ac:dyDescent="0.25">
      <c r="A769" s="1">
        <v>42769</v>
      </c>
      <c r="B769">
        <v>2.7</v>
      </c>
      <c r="C769" s="1">
        <v>42769</v>
      </c>
      <c r="D769">
        <v>2.16</v>
      </c>
      <c r="E769" s="1">
        <v>42716</v>
      </c>
      <c r="F769">
        <v>0.5</v>
      </c>
    </row>
    <row r="770" spans="1:6" x14ac:dyDescent="0.25">
      <c r="A770" s="1">
        <v>42770</v>
      </c>
      <c r="B770">
        <v>2.5</v>
      </c>
      <c r="C770" s="1">
        <v>42770</v>
      </c>
      <c r="D770">
        <v>2.25</v>
      </c>
      <c r="E770" s="1">
        <v>42717</v>
      </c>
      <c r="F770">
        <v>0.5</v>
      </c>
    </row>
    <row r="771" spans="1:6" x14ac:dyDescent="0.25">
      <c r="A771" s="1">
        <v>42772</v>
      </c>
      <c r="B771">
        <v>2.5499999999999998</v>
      </c>
      <c r="C771" s="1">
        <v>42772</v>
      </c>
      <c r="D771">
        <v>2.27</v>
      </c>
      <c r="E771" s="1">
        <v>42718</v>
      </c>
      <c r="F771">
        <v>0.75</v>
      </c>
    </row>
    <row r="772" spans="1:6" x14ac:dyDescent="0.25">
      <c r="A772" s="1">
        <v>42773</v>
      </c>
      <c r="B772">
        <v>2.6</v>
      </c>
      <c r="C772" s="1">
        <v>42773</v>
      </c>
      <c r="D772">
        <v>2.27</v>
      </c>
      <c r="E772" s="1">
        <v>42719</v>
      </c>
      <c r="F772">
        <v>0.75</v>
      </c>
    </row>
    <row r="773" spans="1:6" x14ac:dyDescent="0.25">
      <c r="A773" s="1">
        <v>42774</v>
      </c>
      <c r="B773">
        <v>2.9</v>
      </c>
      <c r="C773" s="1">
        <v>42774</v>
      </c>
      <c r="D773">
        <v>2.25</v>
      </c>
      <c r="E773" s="1">
        <v>42720</v>
      </c>
      <c r="F773">
        <v>0.75</v>
      </c>
    </row>
    <row r="774" spans="1:6" x14ac:dyDescent="0.25">
      <c r="A774" s="1">
        <v>42775</v>
      </c>
      <c r="B774">
        <v>2.65</v>
      </c>
      <c r="C774" s="1">
        <v>42775</v>
      </c>
      <c r="D774">
        <v>2.25</v>
      </c>
      <c r="E774" s="1">
        <v>42723</v>
      </c>
      <c r="F774">
        <v>0.75</v>
      </c>
    </row>
    <row r="775" spans="1:6" x14ac:dyDescent="0.25">
      <c r="A775" s="1">
        <v>42776</v>
      </c>
      <c r="B775">
        <v>2.6</v>
      </c>
      <c r="C775" s="1">
        <v>42776</v>
      </c>
      <c r="D775">
        <v>2.25</v>
      </c>
      <c r="E775" s="1">
        <v>42724</v>
      </c>
      <c r="F775">
        <v>0.75</v>
      </c>
    </row>
    <row r="776" spans="1:6" x14ac:dyDescent="0.25">
      <c r="A776" s="1">
        <v>42779</v>
      </c>
      <c r="B776">
        <v>2.6</v>
      </c>
      <c r="C776" s="1">
        <v>42779</v>
      </c>
      <c r="D776">
        <v>2.23</v>
      </c>
      <c r="E776" s="1">
        <v>42725</v>
      </c>
      <c r="F776">
        <v>0.75</v>
      </c>
    </row>
    <row r="777" spans="1:6" x14ac:dyDescent="0.25">
      <c r="A777" s="1">
        <v>42780</v>
      </c>
      <c r="B777">
        <v>2.68</v>
      </c>
      <c r="C777" s="1">
        <v>42780</v>
      </c>
      <c r="D777">
        <v>2.2360000000000002</v>
      </c>
      <c r="E777" s="1">
        <v>42726</v>
      </c>
      <c r="F777">
        <v>0.75</v>
      </c>
    </row>
    <row r="778" spans="1:6" x14ac:dyDescent="0.25">
      <c r="A778" s="1">
        <v>42781</v>
      </c>
      <c r="B778">
        <v>3.34</v>
      </c>
      <c r="C778" s="1">
        <v>42781</v>
      </c>
      <c r="D778">
        <v>2.2599999999999998</v>
      </c>
      <c r="E778" s="1">
        <v>42727</v>
      </c>
      <c r="F778">
        <v>0.75</v>
      </c>
    </row>
    <row r="779" spans="1:6" x14ac:dyDescent="0.25">
      <c r="A779" s="1">
        <v>42782</v>
      </c>
      <c r="B779">
        <v>2.83</v>
      </c>
      <c r="C779" s="1">
        <v>42782</v>
      </c>
      <c r="D779">
        <v>2.37</v>
      </c>
      <c r="E779" s="1">
        <v>42730</v>
      </c>
      <c r="F779">
        <v>0.75</v>
      </c>
    </row>
    <row r="780" spans="1:6" x14ac:dyDescent="0.25">
      <c r="A780" s="1">
        <v>42783</v>
      </c>
      <c r="B780">
        <v>3.34</v>
      </c>
      <c r="C780" s="1">
        <v>42783</v>
      </c>
      <c r="D780">
        <v>2.4</v>
      </c>
      <c r="E780" s="1">
        <v>42731</v>
      </c>
      <c r="F780">
        <v>0.75</v>
      </c>
    </row>
    <row r="781" spans="1:6" x14ac:dyDescent="0.25">
      <c r="A781" s="1">
        <v>42786</v>
      </c>
      <c r="B781">
        <v>3.34</v>
      </c>
      <c r="C781" s="1">
        <v>42786</v>
      </c>
      <c r="D781">
        <v>2.44</v>
      </c>
      <c r="E781" s="1">
        <v>42732</v>
      </c>
      <c r="F781">
        <v>0.75</v>
      </c>
    </row>
    <row r="782" spans="1:6" x14ac:dyDescent="0.25">
      <c r="A782" s="1">
        <v>42787</v>
      </c>
      <c r="B782">
        <v>3.3</v>
      </c>
      <c r="C782" s="1">
        <v>42787</v>
      </c>
      <c r="D782">
        <v>2.5499999999999998</v>
      </c>
      <c r="E782" s="1">
        <v>42733</v>
      </c>
      <c r="F782">
        <v>0.75</v>
      </c>
    </row>
    <row r="783" spans="1:6" x14ac:dyDescent="0.25">
      <c r="A783" s="1">
        <v>42788</v>
      </c>
      <c r="B783">
        <v>3.03</v>
      </c>
      <c r="C783" s="1">
        <v>42788</v>
      </c>
      <c r="D783">
        <v>2.5</v>
      </c>
      <c r="E783" s="1">
        <v>42734</v>
      </c>
      <c r="F783">
        <v>0.75</v>
      </c>
    </row>
    <row r="784" spans="1:6" x14ac:dyDescent="0.25">
      <c r="A784" s="1">
        <v>42789</v>
      </c>
      <c r="B784">
        <v>3.34</v>
      </c>
      <c r="C784" s="1">
        <v>42789</v>
      </c>
      <c r="D784">
        <v>2.5499999999999998</v>
      </c>
      <c r="E784" s="1">
        <v>42737</v>
      </c>
      <c r="F784">
        <v>0.75</v>
      </c>
    </row>
    <row r="785" spans="1:6" x14ac:dyDescent="0.25">
      <c r="A785" s="1">
        <v>42790</v>
      </c>
      <c r="B785">
        <v>3.34</v>
      </c>
      <c r="C785" s="1">
        <v>42790</v>
      </c>
      <c r="D785">
        <v>2.44</v>
      </c>
      <c r="E785" s="1">
        <v>42738</v>
      </c>
      <c r="F785">
        <v>0.75</v>
      </c>
    </row>
    <row r="786" spans="1:6" x14ac:dyDescent="0.25">
      <c r="A786" s="1">
        <v>42793</v>
      </c>
      <c r="B786">
        <v>2.6</v>
      </c>
      <c r="C786" s="1">
        <v>42793</v>
      </c>
      <c r="D786">
        <v>2.4</v>
      </c>
      <c r="E786" s="1">
        <v>42739</v>
      </c>
      <c r="F786">
        <v>0.75</v>
      </c>
    </row>
    <row r="787" spans="1:6" x14ac:dyDescent="0.25">
      <c r="A787" s="1">
        <v>42794</v>
      </c>
      <c r="B787">
        <v>3</v>
      </c>
      <c r="C787" s="1">
        <v>42794</v>
      </c>
      <c r="D787">
        <v>2.5</v>
      </c>
      <c r="E787" s="1">
        <v>42740</v>
      </c>
      <c r="F787">
        <v>0.75</v>
      </c>
    </row>
    <row r="788" spans="1:6" x14ac:dyDescent="0.25">
      <c r="A788" s="1">
        <v>42795</v>
      </c>
      <c r="B788">
        <v>3.24</v>
      </c>
      <c r="C788" s="1">
        <v>42795</v>
      </c>
      <c r="D788">
        <v>2.5</v>
      </c>
      <c r="E788" s="1">
        <v>42741</v>
      </c>
      <c r="F788">
        <v>0.75</v>
      </c>
    </row>
    <row r="789" spans="1:6" x14ac:dyDescent="0.25">
      <c r="A789" s="1">
        <v>42796</v>
      </c>
      <c r="B789">
        <v>3.1</v>
      </c>
      <c r="C789" s="1">
        <v>42796</v>
      </c>
      <c r="D789">
        <v>2.4500000000000002</v>
      </c>
      <c r="E789" s="1">
        <v>42744</v>
      </c>
      <c r="F789">
        <v>0.75</v>
      </c>
    </row>
    <row r="790" spans="1:6" x14ac:dyDescent="0.25">
      <c r="A790" s="1">
        <v>42797</v>
      </c>
      <c r="B790">
        <v>2.8</v>
      </c>
      <c r="C790" s="1">
        <v>42797</v>
      </c>
      <c r="D790">
        <v>2.2999999999999998</v>
      </c>
      <c r="E790" s="1">
        <v>42745</v>
      </c>
      <c r="F790">
        <v>0.75</v>
      </c>
    </row>
    <row r="791" spans="1:6" x14ac:dyDescent="0.25">
      <c r="A791" s="1">
        <v>42800</v>
      </c>
      <c r="B791">
        <v>2.9</v>
      </c>
      <c r="C791" s="1">
        <v>42800</v>
      </c>
      <c r="D791">
        <v>2.4</v>
      </c>
      <c r="E791" s="1">
        <v>42746</v>
      </c>
      <c r="F791">
        <v>0.75</v>
      </c>
    </row>
    <row r="792" spans="1:6" x14ac:dyDescent="0.25">
      <c r="A792" s="1">
        <v>42801</v>
      </c>
      <c r="B792">
        <v>3.3</v>
      </c>
      <c r="C792" s="1">
        <v>42801</v>
      </c>
      <c r="D792">
        <v>2.4</v>
      </c>
      <c r="E792" s="1">
        <v>42747</v>
      </c>
      <c r="F792">
        <v>0.75</v>
      </c>
    </row>
    <row r="793" spans="1:6" x14ac:dyDescent="0.25">
      <c r="A793" s="1">
        <v>42802</v>
      </c>
      <c r="B793">
        <v>3.1</v>
      </c>
      <c r="C793" s="1">
        <v>42802</v>
      </c>
      <c r="D793">
        <v>2.4</v>
      </c>
      <c r="E793" s="1">
        <v>42748</v>
      </c>
      <c r="F793">
        <v>0.75</v>
      </c>
    </row>
    <row r="794" spans="1:6" x14ac:dyDescent="0.25">
      <c r="A794" s="1">
        <v>42803</v>
      </c>
      <c r="B794">
        <v>3</v>
      </c>
      <c r="C794" s="1">
        <v>42803</v>
      </c>
      <c r="D794">
        <v>2.39</v>
      </c>
      <c r="E794" s="1">
        <v>42751</v>
      </c>
      <c r="F794">
        <v>0.75</v>
      </c>
    </row>
    <row r="795" spans="1:6" x14ac:dyDescent="0.25">
      <c r="A795" s="1">
        <v>42804</v>
      </c>
      <c r="B795">
        <v>2.8</v>
      </c>
      <c r="C795" s="1">
        <v>42804</v>
      </c>
      <c r="D795">
        <v>2.37</v>
      </c>
      <c r="E795" s="1">
        <v>42752</v>
      </c>
      <c r="F795">
        <v>0.75</v>
      </c>
    </row>
    <row r="796" spans="1:6" x14ac:dyDescent="0.25">
      <c r="A796" s="1">
        <v>42807</v>
      </c>
      <c r="B796">
        <v>2.9</v>
      </c>
      <c r="C796" s="1">
        <v>42807</v>
      </c>
      <c r="D796">
        <v>2.33</v>
      </c>
      <c r="E796" s="1">
        <v>42753</v>
      </c>
      <c r="F796">
        <v>0.75</v>
      </c>
    </row>
    <row r="797" spans="1:6" x14ac:dyDescent="0.25">
      <c r="A797" s="1">
        <v>42808</v>
      </c>
      <c r="B797">
        <v>3</v>
      </c>
      <c r="C797" s="1">
        <v>42808</v>
      </c>
      <c r="D797">
        <v>2.35</v>
      </c>
      <c r="E797" s="1">
        <v>42754</v>
      </c>
      <c r="F797">
        <v>0.75</v>
      </c>
    </row>
    <row r="798" spans="1:6" x14ac:dyDescent="0.25">
      <c r="A798" s="1">
        <v>42809</v>
      </c>
      <c r="B798">
        <v>3</v>
      </c>
      <c r="C798" s="1">
        <v>42809</v>
      </c>
      <c r="D798">
        <v>2.36</v>
      </c>
      <c r="E798" s="1">
        <v>42755</v>
      </c>
      <c r="F798">
        <v>0.75</v>
      </c>
    </row>
    <row r="799" spans="1:6" x14ac:dyDescent="0.25">
      <c r="A799" s="1">
        <v>42810</v>
      </c>
      <c r="B799">
        <v>3.8</v>
      </c>
      <c r="C799" s="1">
        <v>42810</v>
      </c>
      <c r="D799">
        <v>2.4</v>
      </c>
      <c r="E799" s="1">
        <v>42758</v>
      </c>
      <c r="F799">
        <v>0.75</v>
      </c>
    </row>
    <row r="800" spans="1:6" x14ac:dyDescent="0.25">
      <c r="A800" s="1">
        <v>42811</v>
      </c>
      <c r="B800">
        <v>3.44</v>
      </c>
      <c r="C800" s="1">
        <v>42811</v>
      </c>
      <c r="D800">
        <v>2.7</v>
      </c>
      <c r="E800" s="1">
        <v>42759</v>
      </c>
      <c r="F800">
        <v>0.75</v>
      </c>
    </row>
    <row r="801" spans="1:6" x14ac:dyDescent="0.25">
      <c r="A801" s="1">
        <v>42814</v>
      </c>
      <c r="B801">
        <v>3.85</v>
      </c>
      <c r="C801" s="1">
        <v>42814</v>
      </c>
      <c r="D801">
        <v>2.61</v>
      </c>
      <c r="E801" s="1">
        <v>42760</v>
      </c>
      <c r="F801">
        <v>0.75</v>
      </c>
    </row>
    <row r="802" spans="1:6" x14ac:dyDescent="0.25">
      <c r="A802" s="1">
        <v>42815</v>
      </c>
      <c r="B802">
        <v>5.5</v>
      </c>
      <c r="C802" s="1">
        <v>42815</v>
      </c>
      <c r="D802">
        <v>2.6</v>
      </c>
      <c r="E802" s="1">
        <v>42761</v>
      </c>
      <c r="F802">
        <v>0.75</v>
      </c>
    </row>
    <row r="803" spans="1:6" x14ac:dyDescent="0.25">
      <c r="A803" s="1">
        <v>42816</v>
      </c>
      <c r="B803">
        <v>5</v>
      </c>
      <c r="C803" s="1">
        <v>42816</v>
      </c>
      <c r="D803">
        <v>2.65</v>
      </c>
      <c r="E803" s="1">
        <v>42762</v>
      </c>
      <c r="F803">
        <v>0.75</v>
      </c>
    </row>
    <row r="804" spans="1:6" x14ac:dyDescent="0.25">
      <c r="A804" s="1">
        <v>42817</v>
      </c>
      <c r="B804">
        <v>3.44</v>
      </c>
      <c r="C804" s="1">
        <v>42817</v>
      </c>
      <c r="D804">
        <v>2.7</v>
      </c>
      <c r="E804" s="1">
        <v>42765</v>
      </c>
      <c r="F804">
        <v>0.75</v>
      </c>
    </row>
    <row r="805" spans="1:6" x14ac:dyDescent="0.25">
      <c r="A805" s="1">
        <v>42818</v>
      </c>
      <c r="B805">
        <v>3.2</v>
      </c>
      <c r="C805" s="1">
        <v>42818</v>
      </c>
      <c r="D805">
        <v>2.5499999999999998</v>
      </c>
      <c r="E805" s="1">
        <v>42766</v>
      </c>
      <c r="F805">
        <v>0.75</v>
      </c>
    </row>
    <row r="806" spans="1:6" x14ac:dyDescent="0.25">
      <c r="A806" s="1">
        <v>42821</v>
      </c>
      <c r="B806">
        <v>3.2</v>
      </c>
      <c r="C806" s="1">
        <v>42821</v>
      </c>
      <c r="D806">
        <v>2.4</v>
      </c>
      <c r="E806" s="1">
        <v>42767</v>
      </c>
      <c r="F806">
        <v>0.75</v>
      </c>
    </row>
    <row r="807" spans="1:6" x14ac:dyDescent="0.25">
      <c r="A807" s="1">
        <v>42822</v>
      </c>
      <c r="B807">
        <v>2.72</v>
      </c>
      <c r="C807" s="1">
        <v>42822</v>
      </c>
      <c r="D807">
        <v>2.4</v>
      </c>
      <c r="E807" s="1">
        <v>42768</v>
      </c>
      <c r="F807">
        <v>0.75</v>
      </c>
    </row>
    <row r="808" spans="1:6" x14ac:dyDescent="0.25">
      <c r="A808" s="1">
        <v>42823</v>
      </c>
      <c r="B808">
        <v>3.5</v>
      </c>
      <c r="C808" s="1">
        <v>42823</v>
      </c>
      <c r="D808">
        <v>2.5</v>
      </c>
      <c r="E808" s="1">
        <v>42769</v>
      </c>
      <c r="F808">
        <v>0.75</v>
      </c>
    </row>
    <row r="809" spans="1:6" x14ac:dyDescent="0.25">
      <c r="A809" s="1">
        <v>42824</v>
      </c>
      <c r="B809">
        <v>3.11</v>
      </c>
      <c r="C809" s="1">
        <v>42824</v>
      </c>
      <c r="D809">
        <v>2.4700000000000002</v>
      </c>
      <c r="E809" s="1">
        <v>42772</v>
      </c>
      <c r="F809">
        <v>0.75</v>
      </c>
    </row>
    <row r="810" spans="1:6" x14ac:dyDescent="0.25">
      <c r="A810" s="1">
        <v>42825</v>
      </c>
      <c r="B810">
        <v>4.5</v>
      </c>
      <c r="C810" s="1">
        <v>42825</v>
      </c>
      <c r="D810">
        <v>2.52</v>
      </c>
      <c r="E810" s="1">
        <v>42773</v>
      </c>
      <c r="F810">
        <v>0.75</v>
      </c>
    </row>
    <row r="811" spans="1:6" x14ac:dyDescent="0.25">
      <c r="A811" s="1">
        <v>42826</v>
      </c>
      <c r="B811">
        <v>2.65</v>
      </c>
      <c r="C811" s="1">
        <v>42826</v>
      </c>
      <c r="D811">
        <v>2.4500000000000002</v>
      </c>
      <c r="E811" s="1">
        <v>42774</v>
      </c>
      <c r="F811">
        <v>0.75</v>
      </c>
    </row>
    <row r="812" spans="1:6" x14ac:dyDescent="0.25">
      <c r="A812" s="1">
        <v>42830</v>
      </c>
      <c r="B812">
        <v>2.9</v>
      </c>
      <c r="C812" s="1">
        <v>42830</v>
      </c>
      <c r="D812">
        <v>2.4500000000000002</v>
      </c>
      <c r="E812" s="1">
        <v>42775</v>
      </c>
      <c r="F812">
        <v>0.75</v>
      </c>
    </row>
    <row r="813" spans="1:6" x14ac:dyDescent="0.25">
      <c r="A813" s="1">
        <v>42831</v>
      </c>
      <c r="B813">
        <v>3.4</v>
      </c>
      <c r="C813" s="1">
        <v>42831</v>
      </c>
      <c r="D813">
        <v>2.5499999999999998</v>
      </c>
      <c r="E813" s="1">
        <v>42776</v>
      </c>
      <c r="F813">
        <v>0.75</v>
      </c>
    </row>
    <row r="814" spans="1:6" x14ac:dyDescent="0.25">
      <c r="A814" s="1">
        <v>42832</v>
      </c>
      <c r="B814">
        <v>3</v>
      </c>
      <c r="C814" s="1">
        <v>42832</v>
      </c>
      <c r="D814">
        <v>2.4700000000000002</v>
      </c>
      <c r="E814" s="1">
        <v>42779</v>
      </c>
      <c r="F814">
        <v>0.75</v>
      </c>
    </row>
    <row r="815" spans="1:6" x14ac:dyDescent="0.25">
      <c r="A815" s="1">
        <v>42835</v>
      </c>
      <c r="B815">
        <v>2.9</v>
      </c>
      <c r="C815" s="1">
        <v>42835</v>
      </c>
      <c r="D815">
        <v>2.4</v>
      </c>
      <c r="E815" s="1">
        <v>42780</v>
      </c>
      <c r="F815">
        <v>0.75</v>
      </c>
    </row>
    <row r="816" spans="1:6" x14ac:dyDescent="0.25">
      <c r="A816" s="1">
        <v>42836</v>
      </c>
      <c r="B816">
        <v>2.8</v>
      </c>
      <c r="C816" s="1">
        <v>42836</v>
      </c>
      <c r="D816">
        <v>2.38</v>
      </c>
      <c r="E816" s="1">
        <v>42781</v>
      </c>
      <c r="F816">
        <v>0.75</v>
      </c>
    </row>
    <row r="817" spans="1:6" x14ac:dyDescent="0.25">
      <c r="A817" s="1">
        <v>42837</v>
      </c>
      <c r="B817">
        <v>3</v>
      </c>
      <c r="C817" s="1">
        <v>42837</v>
      </c>
      <c r="D817">
        <v>2.37</v>
      </c>
      <c r="E817" s="1">
        <v>42782</v>
      </c>
      <c r="F817">
        <v>0.75</v>
      </c>
    </row>
    <row r="818" spans="1:6" x14ac:dyDescent="0.25">
      <c r="A818" s="1">
        <v>42838</v>
      </c>
      <c r="B818">
        <v>2.9</v>
      </c>
      <c r="C818" s="1">
        <v>42838</v>
      </c>
      <c r="D818">
        <v>2.41</v>
      </c>
      <c r="E818" s="1">
        <v>42783</v>
      </c>
      <c r="F818">
        <v>0.75</v>
      </c>
    </row>
    <row r="819" spans="1:6" x14ac:dyDescent="0.25">
      <c r="A819" s="1">
        <v>42839</v>
      </c>
      <c r="B819">
        <v>2.9</v>
      </c>
      <c r="C819" s="1">
        <v>42839</v>
      </c>
      <c r="D819">
        <v>2.4</v>
      </c>
      <c r="E819" s="1">
        <v>42786</v>
      </c>
      <c r="F819">
        <v>0.75</v>
      </c>
    </row>
    <row r="820" spans="1:6" x14ac:dyDescent="0.25">
      <c r="A820" s="1">
        <v>42842</v>
      </c>
      <c r="B820">
        <v>3.44</v>
      </c>
      <c r="C820" s="1">
        <v>42842</v>
      </c>
      <c r="D820">
        <v>2.4500000000000002</v>
      </c>
      <c r="E820" s="1">
        <v>42787</v>
      </c>
      <c r="F820">
        <v>0.75</v>
      </c>
    </row>
    <row r="821" spans="1:6" x14ac:dyDescent="0.25">
      <c r="A821" s="1">
        <v>42843</v>
      </c>
      <c r="B821">
        <v>3.4</v>
      </c>
      <c r="C821" s="1">
        <v>42843</v>
      </c>
      <c r="D821">
        <v>2.5</v>
      </c>
      <c r="E821" s="1">
        <v>42788</v>
      </c>
      <c r="F821">
        <v>0.75</v>
      </c>
    </row>
    <row r="822" spans="1:6" x14ac:dyDescent="0.25">
      <c r="A822" s="1">
        <v>42844</v>
      </c>
      <c r="B822">
        <v>3.8</v>
      </c>
      <c r="C822" s="1">
        <v>42844</v>
      </c>
      <c r="D822">
        <v>2.6</v>
      </c>
      <c r="E822" s="1">
        <v>42789</v>
      </c>
      <c r="F822">
        <v>0.75</v>
      </c>
    </row>
    <row r="823" spans="1:6" x14ac:dyDescent="0.25">
      <c r="A823" s="1">
        <v>42845</v>
      </c>
      <c r="B823">
        <v>3.6</v>
      </c>
      <c r="C823" s="1">
        <v>42845</v>
      </c>
      <c r="D823">
        <v>2.6</v>
      </c>
      <c r="E823" s="1">
        <v>42790</v>
      </c>
      <c r="F823">
        <v>0.75</v>
      </c>
    </row>
    <row r="824" spans="1:6" x14ac:dyDescent="0.25">
      <c r="A824" s="1">
        <v>42846</v>
      </c>
      <c r="B824">
        <v>3.44</v>
      </c>
      <c r="C824" s="1">
        <v>42846</v>
      </c>
      <c r="D824">
        <v>2.65</v>
      </c>
      <c r="E824" s="1">
        <v>42793</v>
      </c>
      <c r="F824">
        <v>0.75</v>
      </c>
    </row>
    <row r="825" spans="1:6" x14ac:dyDescent="0.25">
      <c r="A825" s="1">
        <v>42849</v>
      </c>
      <c r="B825">
        <v>3.44</v>
      </c>
      <c r="C825" s="1">
        <v>42849</v>
      </c>
      <c r="D825">
        <v>2.75</v>
      </c>
      <c r="E825" s="1">
        <v>42794</v>
      </c>
      <c r="F825">
        <v>0.75</v>
      </c>
    </row>
    <row r="826" spans="1:6" x14ac:dyDescent="0.25">
      <c r="A826" s="1">
        <v>42850</v>
      </c>
      <c r="B826">
        <v>3.44</v>
      </c>
      <c r="C826" s="1">
        <v>42850</v>
      </c>
      <c r="D826">
        <v>2.8</v>
      </c>
      <c r="E826" s="1">
        <v>42795</v>
      </c>
      <c r="F826">
        <v>0.75</v>
      </c>
    </row>
    <row r="827" spans="1:6" x14ac:dyDescent="0.25">
      <c r="A827" s="1">
        <v>42851</v>
      </c>
      <c r="B827">
        <v>3.5</v>
      </c>
      <c r="C827" s="1">
        <v>42851</v>
      </c>
      <c r="D827">
        <v>2.8</v>
      </c>
      <c r="E827" s="1">
        <v>42796</v>
      </c>
      <c r="F827">
        <v>0.75</v>
      </c>
    </row>
    <row r="828" spans="1:6" x14ac:dyDescent="0.25">
      <c r="A828" s="1">
        <v>42852</v>
      </c>
      <c r="B828">
        <v>4</v>
      </c>
      <c r="C828" s="1">
        <v>42852</v>
      </c>
      <c r="D828">
        <v>2.85</v>
      </c>
      <c r="E828" s="1">
        <v>42797</v>
      </c>
      <c r="F828">
        <v>0.75</v>
      </c>
    </row>
    <row r="829" spans="1:6" x14ac:dyDescent="0.25">
      <c r="A829" s="1">
        <v>42853</v>
      </c>
      <c r="B829">
        <v>4.3</v>
      </c>
      <c r="C829" s="1">
        <v>42853</v>
      </c>
      <c r="D829">
        <v>2.8</v>
      </c>
      <c r="E829" s="1">
        <v>42800</v>
      </c>
      <c r="F829">
        <v>0.75</v>
      </c>
    </row>
    <row r="830" spans="1:6" x14ac:dyDescent="0.25">
      <c r="A830" s="1">
        <v>42857</v>
      </c>
      <c r="B830">
        <v>3.7</v>
      </c>
      <c r="C830" s="1">
        <v>42857</v>
      </c>
      <c r="D830">
        <v>2.82</v>
      </c>
      <c r="E830" s="1">
        <v>42801</v>
      </c>
      <c r="F830">
        <v>0.75</v>
      </c>
    </row>
    <row r="831" spans="1:6" x14ac:dyDescent="0.25">
      <c r="A831" s="1">
        <v>42858</v>
      </c>
      <c r="B831">
        <v>4.5</v>
      </c>
      <c r="C831" s="1">
        <v>42858</v>
      </c>
      <c r="D831">
        <v>2.85</v>
      </c>
      <c r="E831" s="1">
        <v>42802</v>
      </c>
      <c r="F831">
        <v>0.75</v>
      </c>
    </row>
    <row r="832" spans="1:6" x14ac:dyDescent="0.25">
      <c r="A832" s="1">
        <v>42859</v>
      </c>
      <c r="B832">
        <v>4.3</v>
      </c>
      <c r="C832" s="1">
        <v>42859</v>
      </c>
      <c r="D832">
        <v>2.87</v>
      </c>
      <c r="E832" s="1">
        <v>42803</v>
      </c>
      <c r="F832">
        <v>0.75</v>
      </c>
    </row>
    <row r="833" spans="1:6" x14ac:dyDescent="0.25">
      <c r="A833" s="1">
        <v>42860</v>
      </c>
      <c r="B833">
        <v>3.44</v>
      </c>
      <c r="C833" s="1">
        <v>42860</v>
      </c>
      <c r="D833">
        <v>2.8</v>
      </c>
      <c r="E833" s="1">
        <v>42804</v>
      </c>
      <c r="F833">
        <v>0.75</v>
      </c>
    </row>
    <row r="834" spans="1:6" x14ac:dyDescent="0.25">
      <c r="A834" s="1">
        <v>42863</v>
      </c>
      <c r="B834">
        <v>3.3</v>
      </c>
      <c r="C834" s="1">
        <v>42863</v>
      </c>
      <c r="D834">
        <v>2.8</v>
      </c>
      <c r="E834" s="1">
        <v>42807</v>
      </c>
      <c r="F834">
        <v>0.75</v>
      </c>
    </row>
    <row r="835" spans="1:6" x14ac:dyDescent="0.25">
      <c r="A835" s="1">
        <v>42864</v>
      </c>
      <c r="B835">
        <v>3.3</v>
      </c>
      <c r="C835" s="1">
        <v>42864</v>
      </c>
      <c r="D835">
        <v>2.81</v>
      </c>
      <c r="E835" s="1">
        <v>42808</v>
      </c>
      <c r="F835">
        <v>0.75</v>
      </c>
    </row>
    <row r="836" spans="1:6" x14ac:dyDescent="0.25">
      <c r="A836" s="1">
        <v>42865</v>
      </c>
      <c r="B836">
        <v>3.3</v>
      </c>
      <c r="C836" s="1">
        <v>42865</v>
      </c>
      <c r="D836">
        <v>2.82</v>
      </c>
      <c r="E836" s="1">
        <v>42809</v>
      </c>
      <c r="F836">
        <v>1</v>
      </c>
    </row>
    <row r="837" spans="1:6" x14ac:dyDescent="0.25">
      <c r="A837" s="1">
        <v>42866</v>
      </c>
      <c r="B837">
        <v>3.4</v>
      </c>
      <c r="C837" s="1">
        <v>42866</v>
      </c>
      <c r="D837">
        <v>2.79</v>
      </c>
      <c r="E837" s="1">
        <v>42810</v>
      </c>
      <c r="F837">
        <v>1</v>
      </c>
    </row>
    <row r="838" spans="1:6" x14ac:dyDescent="0.25">
      <c r="A838" s="1">
        <v>42867</v>
      </c>
      <c r="B838">
        <v>3.4</v>
      </c>
      <c r="C838" s="1">
        <v>42867</v>
      </c>
      <c r="D838">
        <v>2.75</v>
      </c>
      <c r="E838" s="1">
        <v>42811</v>
      </c>
      <c r="F838">
        <v>1</v>
      </c>
    </row>
    <row r="839" spans="1:6" x14ac:dyDescent="0.25">
      <c r="A839" s="1">
        <v>42870</v>
      </c>
      <c r="B839">
        <v>3.15</v>
      </c>
      <c r="C839" s="1">
        <v>42870</v>
      </c>
      <c r="D839">
        <v>2.65</v>
      </c>
      <c r="E839" s="1">
        <v>42814</v>
      </c>
      <c r="F839">
        <v>1</v>
      </c>
    </row>
    <row r="840" spans="1:6" x14ac:dyDescent="0.25">
      <c r="A840" s="1">
        <v>42871</v>
      </c>
      <c r="B840">
        <v>3.4</v>
      </c>
      <c r="C840" s="1">
        <v>42871</v>
      </c>
      <c r="D840">
        <v>2.74</v>
      </c>
      <c r="E840" s="1">
        <v>42815</v>
      </c>
      <c r="F840">
        <v>1</v>
      </c>
    </row>
    <row r="841" spans="1:6" x14ac:dyDescent="0.25">
      <c r="A841" s="1">
        <v>42872</v>
      </c>
      <c r="B841">
        <v>3.44</v>
      </c>
      <c r="C841" s="1">
        <v>42872</v>
      </c>
      <c r="D841">
        <v>2.73</v>
      </c>
      <c r="E841" s="1">
        <v>42816</v>
      </c>
      <c r="F841">
        <v>1</v>
      </c>
    </row>
    <row r="842" spans="1:6" x14ac:dyDescent="0.25">
      <c r="A842" s="1">
        <v>42873</v>
      </c>
      <c r="B842">
        <v>3.44</v>
      </c>
      <c r="C842" s="1">
        <v>42873</v>
      </c>
      <c r="D842">
        <v>2.76</v>
      </c>
      <c r="E842" s="1">
        <v>42817</v>
      </c>
      <c r="F842">
        <v>1</v>
      </c>
    </row>
    <row r="843" spans="1:6" x14ac:dyDescent="0.25">
      <c r="A843" s="1">
        <v>42874</v>
      </c>
      <c r="B843">
        <v>3.2</v>
      </c>
      <c r="C843" s="1">
        <v>42874</v>
      </c>
      <c r="D843">
        <v>2.66</v>
      </c>
      <c r="E843" s="1">
        <v>42818</v>
      </c>
      <c r="F843">
        <v>1</v>
      </c>
    </row>
    <row r="844" spans="1:6" x14ac:dyDescent="0.25">
      <c r="A844" s="1">
        <v>42877</v>
      </c>
      <c r="B844">
        <v>2.8</v>
      </c>
      <c r="C844" s="1">
        <v>42877</v>
      </c>
      <c r="D844">
        <v>2.6</v>
      </c>
      <c r="E844" s="1">
        <v>42821</v>
      </c>
      <c r="F844">
        <v>1</v>
      </c>
    </row>
    <row r="845" spans="1:6" x14ac:dyDescent="0.25">
      <c r="A845" s="1">
        <v>42878</v>
      </c>
      <c r="B845">
        <v>2.85</v>
      </c>
      <c r="C845" s="1">
        <v>42878</v>
      </c>
      <c r="D845">
        <v>2.6</v>
      </c>
      <c r="E845" s="1">
        <v>42822</v>
      </c>
      <c r="F845">
        <v>1</v>
      </c>
    </row>
    <row r="846" spans="1:6" x14ac:dyDescent="0.25">
      <c r="A846" s="1">
        <v>42879</v>
      </c>
      <c r="B846">
        <v>2.9</v>
      </c>
      <c r="C846" s="1">
        <v>42879</v>
      </c>
      <c r="D846">
        <v>2.58</v>
      </c>
      <c r="E846" s="1">
        <v>42823</v>
      </c>
      <c r="F846">
        <v>1</v>
      </c>
    </row>
    <row r="847" spans="1:6" x14ac:dyDescent="0.25">
      <c r="A847" s="1">
        <v>42880</v>
      </c>
      <c r="B847">
        <v>3.2</v>
      </c>
      <c r="C847" s="1">
        <v>42880</v>
      </c>
      <c r="D847">
        <v>2.57</v>
      </c>
      <c r="E847" s="1">
        <v>42824</v>
      </c>
      <c r="F847">
        <v>1</v>
      </c>
    </row>
    <row r="848" spans="1:6" x14ac:dyDescent="0.25">
      <c r="A848" s="1">
        <v>42881</v>
      </c>
      <c r="B848">
        <v>3.2</v>
      </c>
      <c r="C848" s="1">
        <v>42881</v>
      </c>
      <c r="D848">
        <v>2.57</v>
      </c>
      <c r="E848" s="1">
        <v>42825</v>
      </c>
      <c r="F848">
        <v>1</v>
      </c>
    </row>
    <row r="849" spans="1:6" x14ac:dyDescent="0.25">
      <c r="A849" s="1">
        <v>42882</v>
      </c>
      <c r="B849">
        <v>2.8</v>
      </c>
      <c r="C849" s="1">
        <v>42882</v>
      </c>
      <c r="D849">
        <v>2.56</v>
      </c>
      <c r="E849" s="1">
        <v>42828</v>
      </c>
      <c r="F849">
        <v>1</v>
      </c>
    </row>
    <row r="850" spans="1:6" x14ac:dyDescent="0.25">
      <c r="A850" s="1">
        <v>42886</v>
      </c>
      <c r="B850">
        <v>3.1</v>
      </c>
      <c r="C850" s="1">
        <v>42886</v>
      </c>
      <c r="D850">
        <v>2.62</v>
      </c>
      <c r="E850" s="1">
        <v>42829</v>
      </c>
      <c r="F850">
        <v>1</v>
      </c>
    </row>
    <row r="851" spans="1:6" x14ac:dyDescent="0.25">
      <c r="A851" s="1">
        <v>42887</v>
      </c>
      <c r="B851">
        <v>3.4</v>
      </c>
      <c r="C851" s="1">
        <v>42887</v>
      </c>
      <c r="D851">
        <v>2.65</v>
      </c>
      <c r="E851" s="1">
        <v>42830</v>
      </c>
      <c r="F851">
        <v>1</v>
      </c>
    </row>
    <row r="852" spans="1:6" x14ac:dyDescent="0.25">
      <c r="A852" s="1">
        <v>42888</v>
      </c>
      <c r="B852">
        <v>3.44</v>
      </c>
      <c r="C852" s="1">
        <v>42888</v>
      </c>
      <c r="D852">
        <v>2.8</v>
      </c>
      <c r="E852" s="1">
        <v>42831</v>
      </c>
      <c r="F852">
        <v>1</v>
      </c>
    </row>
    <row r="853" spans="1:6" x14ac:dyDescent="0.25">
      <c r="A853" s="1">
        <v>42891</v>
      </c>
      <c r="B853">
        <v>3.44</v>
      </c>
      <c r="C853" s="1">
        <v>42891</v>
      </c>
      <c r="D853">
        <v>2.8</v>
      </c>
      <c r="E853" s="1">
        <v>42832</v>
      </c>
      <c r="F853">
        <v>1</v>
      </c>
    </row>
    <row r="854" spans="1:6" x14ac:dyDescent="0.25">
      <c r="A854" s="1">
        <v>42892</v>
      </c>
      <c r="B854">
        <v>3.44</v>
      </c>
      <c r="C854" s="1">
        <v>42892</v>
      </c>
      <c r="D854">
        <v>2.86</v>
      </c>
      <c r="E854" s="1">
        <v>42835</v>
      </c>
      <c r="F854">
        <v>1</v>
      </c>
    </row>
    <row r="855" spans="1:6" x14ac:dyDescent="0.25">
      <c r="A855" s="1">
        <v>42893</v>
      </c>
      <c r="B855">
        <v>3.5</v>
      </c>
      <c r="C855" s="1">
        <v>42893</v>
      </c>
      <c r="D855">
        <v>2.8</v>
      </c>
      <c r="E855" s="1">
        <v>42836</v>
      </c>
      <c r="F855">
        <v>1</v>
      </c>
    </row>
    <row r="856" spans="1:6" x14ac:dyDescent="0.25">
      <c r="A856" s="1">
        <v>42894</v>
      </c>
      <c r="B856">
        <v>3.6</v>
      </c>
      <c r="C856" s="1">
        <v>42894</v>
      </c>
      <c r="D856">
        <v>2.82</v>
      </c>
      <c r="E856" s="1">
        <v>42837</v>
      </c>
      <c r="F856">
        <v>1</v>
      </c>
    </row>
    <row r="857" spans="1:6" x14ac:dyDescent="0.25">
      <c r="A857" s="1">
        <v>42895</v>
      </c>
      <c r="B857">
        <v>3.4</v>
      </c>
      <c r="C857" s="1">
        <v>42895</v>
      </c>
      <c r="D857">
        <v>2.85</v>
      </c>
      <c r="E857" s="1">
        <v>42838</v>
      </c>
      <c r="F857">
        <v>1</v>
      </c>
    </row>
    <row r="858" spans="1:6" x14ac:dyDescent="0.25">
      <c r="A858" s="1">
        <v>42898</v>
      </c>
      <c r="B858">
        <v>3.44</v>
      </c>
      <c r="C858" s="1">
        <v>42898</v>
      </c>
      <c r="D858">
        <v>2.83</v>
      </c>
      <c r="E858" s="1">
        <v>42839</v>
      </c>
      <c r="F858">
        <v>1</v>
      </c>
    </row>
    <row r="859" spans="1:6" x14ac:dyDescent="0.25">
      <c r="A859" s="1">
        <v>42899</v>
      </c>
      <c r="B859">
        <v>3.44</v>
      </c>
      <c r="C859" s="1">
        <v>42899</v>
      </c>
      <c r="D859">
        <v>2.83</v>
      </c>
      <c r="E859" s="1">
        <v>42842</v>
      </c>
      <c r="F859">
        <v>1</v>
      </c>
    </row>
    <row r="860" spans="1:6" x14ac:dyDescent="0.25">
      <c r="A860" s="1">
        <v>42900</v>
      </c>
      <c r="B860">
        <v>3.4</v>
      </c>
      <c r="C860" s="1">
        <v>42900</v>
      </c>
      <c r="D860">
        <v>2.81</v>
      </c>
      <c r="E860" s="1">
        <v>42843</v>
      </c>
      <c r="F860">
        <v>1</v>
      </c>
    </row>
    <row r="861" spans="1:6" x14ac:dyDescent="0.25">
      <c r="A861" s="1">
        <v>42901</v>
      </c>
      <c r="B861">
        <v>3.44</v>
      </c>
      <c r="C861" s="1">
        <v>42901</v>
      </c>
      <c r="D861">
        <v>2.84</v>
      </c>
      <c r="E861" s="1">
        <v>42844</v>
      </c>
      <c r="F861">
        <v>1</v>
      </c>
    </row>
    <row r="862" spans="1:6" x14ac:dyDescent="0.25">
      <c r="A862" s="1">
        <v>42902</v>
      </c>
      <c r="B862">
        <v>3.3</v>
      </c>
      <c r="C862" s="1">
        <v>42902</v>
      </c>
      <c r="D862">
        <v>2.85</v>
      </c>
      <c r="E862" s="1">
        <v>42845</v>
      </c>
      <c r="F862">
        <v>1</v>
      </c>
    </row>
    <row r="863" spans="1:6" x14ac:dyDescent="0.25">
      <c r="A863" s="1">
        <v>42905</v>
      </c>
      <c r="B863">
        <v>3.4</v>
      </c>
      <c r="C863" s="1">
        <v>42905</v>
      </c>
      <c r="D863">
        <v>2.85</v>
      </c>
      <c r="E863" s="1">
        <v>42846</v>
      </c>
      <c r="F863">
        <v>1</v>
      </c>
    </row>
    <row r="864" spans="1:6" x14ac:dyDescent="0.25">
      <c r="A864" s="1">
        <v>42906</v>
      </c>
      <c r="B864">
        <v>3.44</v>
      </c>
      <c r="C864" s="1">
        <v>42906</v>
      </c>
      <c r="D864">
        <v>2.89</v>
      </c>
      <c r="E864" s="1">
        <v>42849</v>
      </c>
      <c r="F864">
        <v>1</v>
      </c>
    </row>
    <row r="865" spans="1:6" x14ac:dyDescent="0.25">
      <c r="A865" s="1">
        <v>42907</v>
      </c>
      <c r="B865">
        <v>3.44</v>
      </c>
      <c r="C865" s="1">
        <v>42907</v>
      </c>
      <c r="D865">
        <v>2.9</v>
      </c>
      <c r="E865" s="1">
        <v>42850</v>
      </c>
      <c r="F865">
        <v>1</v>
      </c>
    </row>
    <row r="866" spans="1:6" x14ac:dyDescent="0.25">
      <c r="A866" s="1">
        <v>42908</v>
      </c>
      <c r="B866">
        <v>3.4</v>
      </c>
      <c r="C866" s="1">
        <v>42908</v>
      </c>
      <c r="D866">
        <v>2.85</v>
      </c>
      <c r="E866" s="1">
        <v>42851</v>
      </c>
      <c r="F866">
        <v>1</v>
      </c>
    </row>
    <row r="867" spans="1:6" x14ac:dyDescent="0.25">
      <c r="A867" s="1">
        <v>42909</v>
      </c>
      <c r="B867">
        <v>3</v>
      </c>
      <c r="C867" s="1">
        <v>42909</v>
      </c>
      <c r="D867">
        <v>2.8</v>
      </c>
      <c r="E867" s="1">
        <v>42852</v>
      </c>
      <c r="F867">
        <v>1</v>
      </c>
    </row>
    <row r="868" spans="1:6" x14ac:dyDescent="0.25">
      <c r="A868" s="1">
        <v>42912</v>
      </c>
      <c r="B868">
        <v>2.95</v>
      </c>
      <c r="C868" s="1">
        <v>42912</v>
      </c>
      <c r="D868">
        <v>2.68</v>
      </c>
      <c r="E868" s="1">
        <v>42853</v>
      </c>
      <c r="F868">
        <v>1</v>
      </c>
    </row>
    <row r="869" spans="1:6" x14ac:dyDescent="0.25">
      <c r="A869" s="1">
        <v>42913</v>
      </c>
      <c r="B869">
        <v>2.99</v>
      </c>
      <c r="C869" s="1">
        <v>42913</v>
      </c>
      <c r="D869">
        <v>2.57</v>
      </c>
      <c r="E869" s="1">
        <v>42856</v>
      </c>
      <c r="F869">
        <v>1</v>
      </c>
    </row>
    <row r="870" spans="1:6" x14ac:dyDescent="0.25">
      <c r="A870" s="1">
        <v>42914</v>
      </c>
      <c r="B870">
        <v>3.41</v>
      </c>
      <c r="C870" s="1">
        <v>42914</v>
      </c>
      <c r="D870">
        <v>2.5</v>
      </c>
      <c r="E870" s="1">
        <v>42857</v>
      </c>
      <c r="F870">
        <v>1</v>
      </c>
    </row>
    <row r="871" spans="1:6" x14ac:dyDescent="0.25">
      <c r="A871" s="1">
        <v>42915</v>
      </c>
      <c r="B871">
        <v>3</v>
      </c>
      <c r="C871" s="1">
        <v>42915</v>
      </c>
      <c r="D871">
        <v>2.5</v>
      </c>
      <c r="E871" s="1">
        <v>42858</v>
      </c>
      <c r="F871">
        <v>1</v>
      </c>
    </row>
    <row r="872" spans="1:6" x14ac:dyDescent="0.25">
      <c r="A872" s="1">
        <v>42916</v>
      </c>
      <c r="B872">
        <v>3.9</v>
      </c>
      <c r="C872" s="1">
        <v>42916</v>
      </c>
      <c r="D872">
        <v>2.63</v>
      </c>
      <c r="E872" s="1">
        <v>42859</v>
      </c>
      <c r="F872">
        <v>1</v>
      </c>
    </row>
    <row r="873" spans="1:6" x14ac:dyDescent="0.25">
      <c r="A873" s="1">
        <v>42919</v>
      </c>
      <c r="B873">
        <v>3.2</v>
      </c>
      <c r="C873" s="1">
        <v>42919</v>
      </c>
      <c r="D873">
        <v>2.75</v>
      </c>
      <c r="E873" s="1">
        <v>42860</v>
      </c>
      <c r="F873">
        <v>1</v>
      </c>
    </row>
    <row r="874" spans="1:6" x14ac:dyDescent="0.25">
      <c r="A874" s="1">
        <v>42920</v>
      </c>
      <c r="B874">
        <v>3.2</v>
      </c>
      <c r="C874" s="1">
        <v>42920</v>
      </c>
      <c r="D874">
        <v>2.68</v>
      </c>
      <c r="E874" s="1">
        <v>42863</v>
      </c>
      <c r="F874">
        <v>1</v>
      </c>
    </row>
    <row r="875" spans="1:6" x14ac:dyDescent="0.25">
      <c r="A875" s="1">
        <v>42921</v>
      </c>
      <c r="B875">
        <v>2.95</v>
      </c>
      <c r="C875" s="1">
        <v>42921</v>
      </c>
      <c r="D875">
        <v>2.5499999999999998</v>
      </c>
      <c r="E875" s="1">
        <v>42864</v>
      </c>
      <c r="F875">
        <v>1</v>
      </c>
    </row>
    <row r="876" spans="1:6" x14ac:dyDescent="0.25">
      <c r="A876" s="1">
        <v>42922</v>
      </c>
      <c r="B876">
        <v>3</v>
      </c>
      <c r="C876" s="1">
        <v>42922</v>
      </c>
      <c r="D876">
        <v>2.52</v>
      </c>
      <c r="E876" s="1">
        <v>42865</v>
      </c>
      <c r="F876">
        <v>1</v>
      </c>
    </row>
    <row r="877" spans="1:6" x14ac:dyDescent="0.25">
      <c r="A877" s="1">
        <v>42923</v>
      </c>
      <c r="B877">
        <v>2.8</v>
      </c>
      <c r="C877" s="1">
        <v>42923</v>
      </c>
      <c r="D877">
        <v>2.52</v>
      </c>
      <c r="E877" s="1">
        <v>42866</v>
      </c>
      <c r="F877">
        <v>1</v>
      </c>
    </row>
    <row r="878" spans="1:6" x14ac:dyDescent="0.25">
      <c r="A878" s="1">
        <v>42926</v>
      </c>
      <c r="B878">
        <v>2.95</v>
      </c>
      <c r="C878" s="1">
        <v>42926</v>
      </c>
      <c r="D878">
        <v>2.54</v>
      </c>
      <c r="E878" s="1">
        <v>42867</v>
      </c>
      <c r="F878">
        <v>1</v>
      </c>
    </row>
    <row r="879" spans="1:6" x14ac:dyDescent="0.25">
      <c r="A879" s="1">
        <v>42927</v>
      </c>
      <c r="B879">
        <v>3.1</v>
      </c>
      <c r="C879" s="1">
        <v>42927</v>
      </c>
      <c r="D879">
        <v>2.64</v>
      </c>
      <c r="E879" s="1">
        <v>42870</v>
      </c>
      <c r="F879">
        <v>1</v>
      </c>
    </row>
    <row r="880" spans="1:6" x14ac:dyDescent="0.25">
      <c r="A880" s="1">
        <v>42928</v>
      </c>
      <c r="B880">
        <v>3.3</v>
      </c>
      <c r="C880" s="1">
        <v>42928</v>
      </c>
      <c r="D880">
        <v>2.7</v>
      </c>
      <c r="E880" s="1">
        <v>42871</v>
      </c>
      <c r="F880">
        <v>1</v>
      </c>
    </row>
    <row r="881" spans="1:6" x14ac:dyDescent="0.25">
      <c r="A881" s="1">
        <v>42929</v>
      </c>
      <c r="B881">
        <v>3.2</v>
      </c>
      <c r="C881" s="1">
        <v>42929</v>
      </c>
      <c r="D881">
        <v>2.66</v>
      </c>
      <c r="E881" s="1">
        <v>42872</v>
      </c>
      <c r="F881">
        <v>1</v>
      </c>
    </row>
    <row r="882" spans="1:6" x14ac:dyDescent="0.25">
      <c r="A882" s="1">
        <v>42930</v>
      </c>
      <c r="B882">
        <v>3.05</v>
      </c>
      <c r="C882" s="1">
        <v>42930</v>
      </c>
      <c r="D882">
        <v>2.62</v>
      </c>
      <c r="E882" s="1">
        <v>42873</v>
      </c>
      <c r="F882">
        <v>1</v>
      </c>
    </row>
    <row r="883" spans="1:6" x14ac:dyDescent="0.25">
      <c r="A883" s="1">
        <v>42933</v>
      </c>
      <c r="B883">
        <v>3.2</v>
      </c>
      <c r="C883" s="1">
        <v>42933</v>
      </c>
      <c r="D883">
        <v>2.64</v>
      </c>
      <c r="E883" s="1">
        <v>42874</v>
      </c>
      <c r="F883">
        <v>1</v>
      </c>
    </row>
    <row r="884" spans="1:6" x14ac:dyDescent="0.25">
      <c r="A884" s="1">
        <v>42934</v>
      </c>
      <c r="B884">
        <v>3.4</v>
      </c>
      <c r="C884" s="1">
        <v>42934</v>
      </c>
      <c r="D884">
        <v>2.74</v>
      </c>
      <c r="E884" s="1">
        <v>42877</v>
      </c>
      <c r="F884">
        <v>1</v>
      </c>
    </row>
    <row r="885" spans="1:6" x14ac:dyDescent="0.25">
      <c r="A885" s="1">
        <v>42935</v>
      </c>
      <c r="B885">
        <v>3.6</v>
      </c>
      <c r="C885" s="1">
        <v>42935</v>
      </c>
      <c r="D885">
        <v>2.76</v>
      </c>
      <c r="E885" s="1">
        <v>42878</v>
      </c>
      <c r="F885">
        <v>1</v>
      </c>
    </row>
    <row r="886" spans="1:6" x14ac:dyDescent="0.25">
      <c r="A886" s="1">
        <v>42936</v>
      </c>
      <c r="B886">
        <v>3.44</v>
      </c>
      <c r="C886" s="1">
        <v>42936</v>
      </c>
      <c r="D886">
        <v>2.78</v>
      </c>
      <c r="E886" s="1">
        <v>42879</v>
      </c>
      <c r="F886">
        <v>1</v>
      </c>
    </row>
    <row r="887" spans="1:6" x14ac:dyDescent="0.25">
      <c r="A887" s="1">
        <v>42937</v>
      </c>
      <c r="B887">
        <v>3.44</v>
      </c>
      <c r="C887" s="1">
        <v>42937</v>
      </c>
      <c r="D887">
        <v>2.75</v>
      </c>
      <c r="E887" s="1">
        <v>42880</v>
      </c>
      <c r="F887">
        <v>1</v>
      </c>
    </row>
    <row r="888" spans="1:6" x14ac:dyDescent="0.25">
      <c r="A888" s="1">
        <v>42940</v>
      </c>
      <c r="B888">
        <v>3.2</v>
      </c>
      <c r="C888" s="1">
        <v>42940</v>
      </c>
      <c r="D888">
        <v>2.7</v>
      </c>
      <c r="E888" s="1">
        <v>42881</v>
      </c>
      <c r="F888">
        <v>1</v>
      </c>
    </row>
    <row r="889" spans="1:6" x14ac:dyDescent="0.25">
      <c r="A889" s="1">
        <v>42941</v>
      </c>
      <c r="B889">
        <v>3.44</v>
      </c>
      <c r="C889" s="1">
        <v>42941</v>
      </c>
      <c r="D889">
        <v>2.75</v>
      </c>
      <c r="E889" s="1">
        <v>42884</v>
      </c>
      <c r="F889">
        <v>1</v>
      </c>
    </row>
    <row r="890" spans="1:6" x14ac:dyDescent="0.25">
      <c r="A890" s="1">
        <v>42942</v>
      </c>
      <c r="B890">
        <v>3.44</v>
      </c>
      <c r="C890" s="1">
        <v>42942</v>
      </c>
      <c r="D890">
        <v>2.75</v>
      </c>
      <c r="E890" s="1">
        <v>42885</v>
      </c>
      <c r="F890">
        <v>1</v>
      </c>
    </row>
    <row r="891" spans="1:6" x14ac:dyDescent="0.25">
      <c r="A891" s="1">
        <v>42943</v>
      </c>
      <c r="B891">
        <v>3.44</v>
      </c>
      <c r="C891" s="1">
        <v>42943</v>
      </c>
      <c r="D891">
        <v>2.81</v>
      </c>
      <c r="E891" s="1">
        <v>42886</v>
      </c>
      <c r="F891">
        <v>1</v>
      </c>
    </row>
    <row r="892" spans="1:6" x14ac:dyDescent="0.25">
      <c r="A892" s="1">
        <v>42944</v>
      </c>
      <c r="B892">
        <v>3.44</v>
      </c>
      <c r="C892" s="1">
        <v>42944</v>
      </c>
      <c r="D892">
        <v>2.86</v>
      </c>
      <c r="E892" s="1">
        <v>42887</v>
      </c>
      <c r="F892">
        <v>1</v>
      </c>
    </row>
    <row r="893" spans="1:6" x14ac:dyDescent="0.25">
      <c r="A893" s="1">
        <v>42947</v>
      </c>
      <c r="B893">
        <v>3.4</v>
      </c>
      <c r="C893" s="1">
        <v>42947</v>
      </c>
      <c r="D893">
        <v>2.79</v>
      </c>
      <c r="E893" s="1">
        <v>42888</v>
      </c>
      <c r="F893">
        <v>1</v>
      </c>
    </row>
    <row r="894" spans="1:6" x14ac:dyDescent="0.25">
      <c r="A894" s="1">
        <v>42948</v>
      </c>
      <c r="B894">
        <v>4</v>
      </c>
      <c r="C894" s="1">
        <v>42948</v>
      </c>
      <c r="D894">
        <v>2.81</v>
      </c>
      <c r="E894" s="1">
        <v>42891</v>
      </c>
      <c r="F894">
        <v>1</v>
      </c>
    </row>
    <row r="895" spans="1:6" x14ac:dyDescent="0.25">
      <c r="A895" s="1">
        <v>42949</v>
      </c>
      <c r="B895">
        <v>3.8</v>
      </c>
      <c r="C895" s="1">
        <v>42949</v>
      </c>
      <c r="D895">
        <v>2.85</v>
      </c>
      <c r="E895" s="1">
        <v>42892</v>
      </c>
      <c r="F895">
        <v>1</v>
      </c>
    </row>
    <row r="896" spans="1:6" x14ac:dyDescent="0.25">
      <c r="A896" s="1">
        <v>42950</v>
      </c>
      <c r="B896">
        <v>3.4</v>
      </c>
      <c r="C896" s="1">
        <v>42950</v>
      </c>
      <c r="D896">
        <v>2.8</v>
      </c>
      <c r="E896" s="1">
        <v>42893</v>
      </c>
      <c r="F896">
        <v>1</v>
      </c>
    </row>
    <row r="897" spans="1:6" x14ac:dyDescent="0.25">
      <c r="A897" s="1">
        <v>42951</v>
      </c>
      <c r="B897">
        <v>3.1</v>
      </c>
      <c r="C897" s="1">
        <v>42951</v>
      </c>
      <c r="D897">
        <v>2.7</v>
      </c>
      <c r="E897" s="1">
        <v>42894</v>
      </c>
      <c r="F897">
        <v>1</v>
      </c>
    </row>
    <row r="898" spans="1:6" x14ac:dyDescent="0.25">
      <c r="A898" s="1">
        <v>42954</v>
      </c>
      <c r="B898">
        <v>3.2</v>
      </c>
      <c r="C898" s="1">
        <v>42954</v>
      </c>
      <c r="D898">
        <v>2.75</v>
      </c>
      <c r="E898" s="1">
        <v>42895</v>
      </c>
      <c r="F898">
        <v>1</v>
      </c>
    </row>
    <row r="899" spans="1:6" x14ac:dyDescent="0.25">
      <c r="A899" s="1">
        <v>42955</v>
      </c>
      <c r="B899">
        <v>3.44</v>
      </c>
      <c r="C899" s="1">
        <v>42955</v>
      </c>
      <c r="D899">
        <v>2.8</v>
      </c>
      <c r="E899" s="1">
        <v>42898</v>
      </c>
      <c r="F899">
        <v>1</v>
      </c>
    </row>
    <row r="900" spans="1:6" x14ac:dyDescent="0.25">
      <c r="A900" s="1">
        <v>42956</v>
      </c>
      <c r="B900">
        <v>3.44</v>
      </c>
      <c r="C900" s="1">
        <v>42956</v>
      </c>
      <c r="D900">
        <v>2.82</v>
      </c>
      <c r="E900" s="1">
        <v>42899</v>
      </c>
      <c r="F900">
        <v>1</v>
      </c>
    </row>
    <row r="901" spans="1:6" x14ac:dyDescent="0.25">
      <c r="A901" s="1">
        <v>42957</v>
      </c>
      <c r="B901">
        <v>3.4</v>
      </c>
      <c r="C901" s="1">
        <v>42957</v>
      </c>
      <c r="D901">
        <v>2.8</v>
      </c>
      <c r="E901" s="1">
        <v>42900</v>
      </c>
      <c r="F901">
        <v>1.25</v>
      </c>
    </row>
    <row r="902" spans="1:6" x14ac:dyDescent="0.25">
      <c r="A902" s="1">
        <v>42958</v>
      </c>
      <c r="B902">
        <v>3.2</v>
      </c>
      <c r="C902" s="1">
        <v>42958</v>
      </c>
      <c r="D902">
        <v>2.8</v>
      </c>
      <c r="E902" s="1">
        <v>42901</v>
      </c>
      <c r="F902">
        <v>1.25</v>
      </c>
    </row>
    <row r="903" spans="1:6" x14ac:dyDescent="0.25">
      <c r="A903" s="1">
        <v>42961</v>
      </c>
      <c r="B903">
        <v>3.4</v>
      </c>
      <c r="C903" s="1">
        <v>42961</v>
      </c>
      <c r="D903">
        <v>2.75</v>
      </c>
      <c r="E903" s="1">
        <v>42902</v>
      </c>
      <c r="F903">
        <v>1.25</v>
      </c>
    </row>
    <row r="904" spans="1:6" x14ac:dyDescent="0.25">
      <c r="A904" s="1">
        <v>42962</v>
      </c>
      <c r="B904">
        <v>3.7</v>
      </c>
      <c r="C904" s="1">
        <v>42962</v>
      </c>
      <c r="D904">
        <v>2.8</v>
      </c>
      <c r="E904" s="1">
        <v>42905</v>
      </c>
      <c r="F904">
        <v>1.25</v>
      </c>
    </row>
    <row r="905" spans="1:6" x14ac:dyDescent="0.25">
      <c r="A905" s="1">
        <v>42963</v>
      </c>
      <c r="B905">
        <v>3.62</v>
      </c>
      <c r="C905" s="1">
        <v>42963</v>
      </c>
      <c r="D905">
        <v>2.84</v>
      </c>
      <c r="E905" s="1">
        <v>42906</v>
      </c>
      <c r="F905">
        <v>1.25</v>
      </c>
    </row>
    <row r="906" spans="1:6" x14ac:dyDescent="0.25">
      <c r="A906" s="1">
        <v>42964</v>
      </c>
      <c r="B906">
        <v>4.5999999999999996</v>
      </c>
      <c r="C906" s="1">
        <v>42964</v>
      </c>
      <c r="D906">
        <v>2.84</v>
      </c>
      <c r="E906" s="1">
        <v>42907</v>
      </c>
      <c r="F906">
        <v>1.25</v>
      </c>
    </row>
    <row r="907" spans="1:6" x14ac:dyDescent="0.25">
      <c r="A907" s="1">
        <v>42965</v>
      </c>
      <c r="B907">
        <v>3.44</v>
      </c>
      <c r="C907" s="1">
        <v>42965</v>
      </c>
      <c r="D907">
        <v>2.85</v>
      </c>
      <c r="E907" s="1">
        <v>42908</v>
      </c>
      <c r="F907">
        <v>1.25</v>
      </c>
    </row>
    <row r="908" spans="1:6" x14ac:dyDescent="0.25">
      <c r="A908" s="1">
        <v>42968</v>
      </c>
      <c r="B908">
        <v>3.44</v>
      </c>
      <c r="C908" s="1">
        <v>42968</v>
      </c>
      <c r="D908">
        <v>2.85</v>
      </c>
      <c r="E908" s="1">
        <v>42909</v>
      </c>
      <c r="F908">
        <v>1.25</v>
      </c>
    </row>
    <row r="909" spans="1:6" x14ac:dyDescent="0.25">
      <c r="A909" s="1">
        <v>42969</v>
      </c>
      <c r="B909">
        <v>3.45</v>
      </c>
      <c r="C909" s="1">
        <v>42969</v>
      </c>
      <c r="D909">
        <v>2.75</v>
      </c>
      <c r="E909" s="1">
        <v>42912</v>
      </c>
      <c r="F909">
        <v>1.25</v>
      </c>
    </row>
    <row r="910" spans="1:6" x14ac:dyDescent="0.25">
      <c r="A910" s="1">
        <v>42970</v>
      </c>
      <c r="B910">
        <v>4</v>
      </c>
      <c r="C910" s="1">
        <v>42970</v>
      </c>
      <c r="D910">
        <v>2.85</v>
      </c>
      <c r="E910" s="1">
        <v>42913</v>
      </c>
      <c r="F910">
        <v>1.25</v>
      </c>
    </row>
    <row r="911" spans="1:6" x14ac:dyDescent="0.25">
      <c r="A911" s="1">
        <v>42971</v>
      </c>
      <c r="B911">
        <v>3.44</v>
      </c>
      <c r="C911" s="1">
        <v>42971</v>
      </c>
      <c r="D911">
        <v>2.85</v>
      </c>
      <c r="E911" s="1">
        <v>42914</v>
      </c>
      <c r="F911">
        <v>1.25</v>
      </c>
    </row>
    <row r="912" spans="1:6" x14ac:dyDescent="0.25">
      <c r="A912" s="1">
        <v>42972</v>
      </c>
      <c r="B912">
        <v>3.44</v>
      </c>
      <c r="C912" s="1">
        <v>42972</v>
      </c>
      <c r="D912">
        <v>2.88</v>
      </c>
      <c r="E912" s="1">
        <v>42915</v>
      </c>
      <c r="F912">
        <v>1.25</v>
      </c>
    </row>
    <row r="913" spans="1:6" x14ac:dyDescent="0.25">
      <c r="A913" s="1">
        <v>42975</v>
      </c>
      <c r="B913">
        <v>3.6</v>
      </c>
      <c r="C913" s="1">
        <v>42975</v>
      </c>
      <c r="D913">
        <v>2.85</v>
      </c>
      <c r="E913" s="1">
        <v>42916</v>
      </c>
      <c r="F913">
        <v>1.25</v>
      </c>
    </row>
    <row r="914" spans="1:6" x14ac:dyDescent="0.25">
      <c r="A914" s="1">
        <v>42976</v>
      </c>
      <c r="B914">
        <v>3.44</v>
      </c>
      <c r="C914" s="1">
        <v>42976</v>
      </c>
      <c r="D914">
        <v>2.95</v>
      </c>
      <c r="E914" s="1">
        <v>42919</v>
      </c>
      <c r="F914">
        <v>1.25</v>
      </c>
    </row>
    <row r="915" spans="1:6" x14ac:dyDescent="0.25">
      <c r="A915" s="1">
        <v>42977</v>
      </c>
      <c r="B915">
        <v>3.44</v>
      </c>
      <c r="C915" s="1">
        <v>42977</v>
      </c>
      <c r="D915">
        <v>2.94</v>
      </c>
      <c r="E915" s="1">
        <v>42920</v>
      </c>
      <c r="F915">
        <v>1.25</v>
      </c>
    </row>
    <row r="916" spans="1:6" x14ac:dyDescent="0.25">
      <c r="A916" s="1">
        <v>42978</v>
      </c>
      <c r="B916">
        <v>3.44</v>
      </c>
      <c r="C916" s="1">
        <v>42978</v>
      </c>
      <c r="D916">
        <v>2.85</v>
      </c>
      <c r="E916" s="1">
        <v>42921</v>
      </c>
      <c r="F916">
        <v>1.25</v>
      </c>
    </row>
    <row r="917" spans="1:6" x14ac:dyDescent="0.25">
      <c r="A917" s="1">
        <v>42979</v>
      </c>
      <c r="B917">
        <v>3.44</v>
      </c>
      <c r="C917" s="1">
        <v>42979</v>
      </c>
      <c r="D917">
        <v>2.83</v>
      </c>
      <c r="E917" s="1">
        <v>42922</v>
      </c>
      <c r="F917">
        <v>1.25</v>
      </c>
    </row>
    <row r="918" spans="1:6" x14ac:dyDescent="0.25">
      <c r="A918" s="1">
        <v>42982</v>
      </c>
      <c r="B918">
        <v>3.44</v>
      </c>
      <c r="C918" s="1">
        <v>42982</v>
      </c>
      <c r="D918">
        <v>2.73</v>
      </c>
      <c r="E918" s="1">
        <v>42923</v>
      </c>
      <c r="F918">
        <v>1.25</v>
      </c>
    </row>
    <row r="919" spans="1:6" x14ac:dyDescent="0.25">
      <c r="A919" s="1">
        <v>42983</v>
      </c>
      <c r="B919">
        <v>3.4</v>
      </c>
      <c r="C919" s="1">
        <v>42983</v>
      </c>
      <c r="D919">
        <v>2.63</v>
      </c>
      <c r="E919" s="1">
        <v>42926</v>
      </c>
      <c r="F919">
        <v>1.25</v>
      </c>
    </row>
    <row r="920" spans="1:6" x14ac:dyDescent="0.25">
      <c r="A920" s="1">
        <v>42984</v>
      </c>
      <c r="B920">
        <v>3.4</v>
      </c>
      <c r="C920" s="1">
        <v>42984</v>
      </c>
      <c r="D920">
        <v>2.61</v>
      </c>
      <c r="E920" s="1">
        <v>42927</v>
      </c>
      <c r="F920">
        <v>1.25</v>
      </c>
    </row>
    <row r="921" spans="1:6" x14ac:dyDescent="0.25">
      <c r="A921" s="1">
        <v>42985</v>
      </c>
      <c r="B921">
        <v>3.2</v>
      </c>
      <c r="C921" s="1">
        <v>42985</v>
      </c>
      <c r="D921">
        <v>2.63</v>
      </c>
      <c r="E921" s="1">
        <v>42928</v>
      </c>
      <c r="F921">
        <v>1.25</v>
      </c>
    </row>
    <row r="922" spans="1:6" x14ac:dyDescent="0.25">
      <c r="A922" s="1">
        <v>42986</v>
      </c>
      <c r="B922">
        <v>3.25</v>
      </c>
      <c r="C922" s="1">
        <v>42986</v>
      </c>
      <c r="D922">
        <v>2.62</v>
      </c>
      <c r="E922" s="1">
        <v>42929</v>
      </c>
      <c r="F922">
        <v>1.25</v>
      </c>
    </row>
    <row r="923" spans="1:6" x14ac:dyDescent="0.25">
      <c r="A923" s="1">
        <v>42989</v>
      </c>
      <c r="B923">
        <v>3.3</v>
      </c>
      <c r="C923" s="1">
        <v>42989</v>
      </c>
      <c r="D923">
        <v>2.63</v>
      </c>
      <c r="E923" s="1">
        <v>42930</v>
      </c>
      <c r="F923">
        <v>1.25</v>
      </c>
    </row>
    <row r="924" spans="1:6" x14ac:dyDescent="0.25">
      <c r="A924" s="1">
        <v>42990</v>
      </c>
      <c r="B924">
        <v>3.44</v>
      </c>
      <c r="C924" s="1">
        <v>42990</v>
      </c>
      <c r="D924">
        <v>2.65</v>
      </c>
      <c r="E924" s="1">
        <v>42933</v>
      </c>
      <c r="F924">
        <v>1.25</v>
      </c>
    </row>
    <row r="925" spans="1:6" x14ac:dyDescent="0.25">
      <c r="A925" s="1">
        <v>42991</v>
      </c>
      <c r="B925">
        <v>3.6</v>
      </c>
      <c r="C925" s="1">
        <v>42991</v>
      </c>
      <c r="D925">
        <v>2.65</v>
      </c>
      <c r="E925" s="1">
        <v>42934</v>
      </c>
      <c r="F925">
        <v>1.25</v>
      </c>
    </row>
    <row r="926" spans="1:6" x14ac:dyDescent="0.25">
      <c r="A926" s="1">
        <v>42992</v>
      </c>
      <c r="B926">
        <v>3.5</v>
      </c>
      <c r="C926" s="1">
        <v>42992</v>
      </c>
      <c r="D926">
        <v>2.68</v>
      </c>
      <c r="E926" s="1">
        <v>42935</v>
      </c>
      <c r="F926">
        <v>1.25</v>
      </c>
    </row>
    <row r="927" spans="1:6" x14ac:dyDescent="0.25">
      <c r="A927" s="1">
        <v>42993</v>
      </c>
      <c r="B927">
        <v>3.44</v>
      </c>
      <c r="C927" s="1">
        <v>42993</v>
      </c>
      <c r="D927">
        <v>2.69</v>
      </c>
      <c r="E927" s="1">
        <v>42936</v>
      </c>
      <c r="F927">
        <v>1.25</v>
      </c>
    </row>
    <row r="928" spans="1:6" x14ac:dyDescent="0.25">
      <c r="A928" s="1">
        <v>42996</v>
      </c>
      <c r="B928">
        <v>3.5</v>
      </c>
      <c r="C928" s="1">
        <v>42996</v>
      </c>
      <c r="D928">
        <v>2.78</v>
      </c>
      <c r="E928" s="1">
        <v>42937</v>
      </c>
      <c r="F928">
        <v>1.25</v>
      </c>
    </row>
    <row r="929" spans="1:6" x14ac:dyDescent="0.25">
      <c r="A929" s="1">
        <v>42997</v>
      </c>
      <c r="B929">
        <v>3.44</v>
      </c>
      <c r="C929" s="1">
        <v>42997</v>
      </c>
      <c r="D929">
        <v>2.88</v>
      </c>
      <c r="E929" s="1">
        <v>42940</v>
      </c>
      <c r="F929">
        <v>1.25</v>
      </c>
    </row>
    <row r="930" spans="1:6" x14ac:dyDescent="0.25">
      <c r="A930" s="1">
        <v>42998</v>
      </c>
      <c r="B930">
        <v>3.44</v>
      </c>
      <c r="C930" s="1">
        <v>42998</v>
      </c>
      <c r="D930">
        <v>2.8</v>
      </c>
      <c r="E930" s="1">
        <v>42941</v>
      </c>
      <c r="F930">
        <v>1.25</v>
      </c>
    </row>
    <row r="931" spans="1:6" x14ac:dyDescent="0.25">
      <c r="A931" s="1">
        <v>42999</v>
      </c>
      <c r="B931">
        <v>3.44</v>
      </c>
      <c r="C931" s="1">
        <v>42999</v>
      </c>
      <c r="D931">
        <v>2.85</v>
      </c>
      <c r="E931" s="1">
        <v>42942</v>
      </c>
      <c r="F931">
        <v>1.25</v>
      </c>
    </row>
    <row r="932" spans="1:6" x14ac:dyDescent="0.25">
      <c r="A932" s="1">
        <v>43000</v>
      </c>
      <c r="B932">
        <v>3.44</v>
      </c>
      <c r="C932" s="1">
        <v>43000</v>
      </c>
      <c r="D932">
        <v>2.77</v>
      </c>
      <c r="E932" s="1">
        <v>42943</v>
      </c>
      <c r="F932">
        <v>1.25</v>
      </c>
    </row>
    <row r="933" spans="1:6" x14ac:dyDescent="0.25">
      <c r="A933" s="1">
        <v>43003</v>
      </c>
      <c r="B933">
        <v>3.4</v>
      </c>
      <c r="C933" s="1">
        <v>43003</v>
      </c>
      <c r="D933">
        <v>2.76</v>
      </c>
      <c r="E933" s="1">
        <v>42944</v>
      </c>
      <c r="F933">
        <v>1.25</v>
      </c>
    </row>
    <row r="934" spans="1:6" x14ac:dyDescent="0.25">
      <c r="A934" s="1">
        <v>43004</v>
      </c>
      <c r="B934">
        <v>3.44</v>
      </c>
      <c r="C934" s="1">
        <v>43004</v>
      </c>
      <c r="D934">
        <v>2.89</v>
      </c>
      <c r="E934" s="1">
        <v>42947</v>
      </c>
      <c r="F934">
        <v>1.25</v>
      </c>
    </row>
    <row r="935" spans="1:6" x14ac:dyDescent="0.25">
      <c r="A935" s="1">
        <v>43005</v>
      </c>
      <c r="B935">
        <v>3.44</v>
      </c>
      <c r="C935" s="1">
        <v>43005</v>
      </c>
      <c r="D935">
        <v>2.89</v>
      </c>
      <c r="E935" s="1">
        <v>42948</v>
      </c>
      <c r="F935">
        <v>1.25</v>
      </c>
    </row>
    <row r="936" spans="1:6" x14ac:dyDescent="0.25">
      <c r="A936" s="1">
        <v>43006</v>
      </c>
      <c r="B936">
        <v>2.93</v>
      </c>
      <c r="C936" s="1">
        <v>43006</v>
      </c>
      <c r="D936">
        <v>2.95</v>
      </c>
      <c r="E936" s="1">
        <v>42949</v>
      </c>
      <c r="F936">
        <v>1.25</v>
      </c>
    </row>
    <row r="937" spans="1:6" x14ac:dyDescent="0.25">
      <c r="A937" s="1">
        <v>43007</v>
      </c>
      <c r="B937">
        <v>3.25</v>
      </c>
      <c r="C937" s="1">
        <v>43007</v>
      </c>
      <c r="D937">
        <v>2.77</v>
      </c>
      <c r="E937" s="1">
        <v>42950</v>
      </c>
      <c r="F937">
        <v>1.25</v>
      </c>
    </row>
    <row r="938" spans="1:6" x14ac:dyDescent="0.25">
      <c r="A938" s="1">
        <v>43008</v>
      </c>
      <c r="B938">
        <v>3.15</v>
      </c>
      <c r="C938" s="1">
        <v>43008</v>
      </c>
      <c r="D938">
        <v>2.94</v>
      </c>
      <c r="E938" s="1">
        <v>42951</v>
      </c>
      <c r="F938">
        <v>1.25</v>
      </c>
    </row>
    <row r="939" spans="1:6" x14ac:dyDescent="0.25">
      <c r="A939" s="1">
        <v>43017</v>
      </c>
      <c r="B939">
        <v>3.44</v>
      </c>
      <c r="C939" s="1">
        <v>43017</v>
      </c>
      <c r="D939">
        <v>2.7</v>
      </c>
      <c r="E939" s="1">
        <v>42954</v>
      </c>
      <c r="F939">
        <v>1.25</v>
      </c>
    </row>
    <row r="940" spans="1:6" x14ac:dyDescent="0.25">
      <c r="A940" s="1">
        <v>43018</v>
      </c>
      <c r="B940">
        <v>3.44</v>
      </c>
      <c r="C940" s="1">
        <v>43018</v>
      </c>
      <c r="D940">
        <v>2.75</v>
      </c>
      <c r="E940" s="1">
        <v>42955</v>
      </c>
      <c r="F940">
        <v>1.25</v>
      </c>
    </row>
    <row r="941" spans="1:6" x14ac:dyDescent="0.25">
      <c r="A941" s="1">
        <v>43019</v>
      </c>
      <c r="B941">
        <v>3.44</v>
      </c>
      <c r="C941" s="1">
        <v>43019</v>
      </c>
      <c r="D941">
        <v>2.75</v>
      </c>
      <c r="E941" s="1">
        <v>42956</v>
      </c>
      <c r="F941">
        <v>1.25</v>
      </c>
    </row>
    <row r="942" spans="1:6" x14ac:dyDescent="0.25">
      <c r="A942" s="1">
        <v>43020</v>
      </c>
      <c r="B942">
        <v>3.3</v>
      </c>
      <c r="C942" s="1">
        <v>43020</v>
      </c>
      <c r="D942">
        <v>2.62</v>
      </c>
      <c r="E942" s="1">
        <v>42957</v>
      </c>
      <c r="F942">
        <v>1.25</v>
      </c>
    </row>
    <row r="943" spans="1:6" x14ac:dyDescent="0.25">
      <c r="A943" s="1">
        <v>43021</v>
      </c>
      <c r="B943">
        <v>3.1</v>
      </c>
      <c r="C943" s="1">
        <v>43021</v>
      </c>
      <c r="D943">
        <v>2.57</v>
      </c>
      <c r="E943" s="1">
        <v>42958</v>
      </c>
      <c r="F943">
        <v>1.25</v>
      </c>
    </row>
    <row r="944" spans="1:6" x14ac:dyDescent="0.25">
      <c r="A944" s="1">
        <v>43024</v>
      </c>
      <c r="B944">
        <v>3.1</v>
      </c>
      <c r="C944" s="1">
        <v>43024</v>
      </c>
      <c r="D944">
        <v>2.58</v>
      </c>
      <c r="E944" s="1">
        <v>42961</v>
      </c>
      <c r="F944">
        <v>1.25</v>
      </c>
    </row>
    <row r="945" spans="1:6" x14ac:dyDescent="0.25">
      <c r="A945" s="1">
        <v>43025</v>
      </c>
      <c r="B945">
        <v>3.1</v>
      </c>
      <c r="C945" s="1">
        <v>43025</v>
      </c>
      <c r="D945">
        <v>2.6</v>
      </c>
      <c r="E945" s="1">
        <v>42962</v>
      </c>
      <c r="F945">
        <v>1.25</v>
      </c>
    </row>
    <row r="946" spans="1:6" x14ac:dyDescent="0.25">
      <c r="A946" s="1">
        <v>43026</v>
      </c>
      <c r="B946">
        <v>3.24</v>
      </c>
      <c r="C946" s="1">
        <v>43026</v>
      </c>
      <c r="D946">
        <v>2.59</v>
      </c>
      <c r="E946" s="1">
        <v>42963</v>
      </c>
      <c r="F946">
        <v>1.25</v>
      </c>
    </row>
    <row r="947" spans="1:6" x14ac:dyDescent="0.25">
      <c r="A947" s="1">
        <v>43027</v>
      </c>
      <c r="B947">
        <v>3.1</v>
      </c>
      <c r="C947" s="1">
        <v>43027</v>
      </c>
      <c r="D947">
        <v>2.57</v>
      </c>
      <c r="E947" s="1">
        <v>42964</v>
      </c>
      <c r="F947">
        <v>1.25</v>
      </c>
    </row>
    <row r="948" spans="1:6" x14ac:dyDescent="0.25">
      <c r="A948" s="1">
        <v>43028</v>
      </c>
      <c r="B948">
        <v>3.1</v>
      </c>
      <c r="C948" s="1">
        <v>43028</v>
      </c>
      <c r="D948">
        <v>2.5499999999999998</v>
      </c>
      <c r="E948" s="1">
        <v>42965</v>
      </c>
      <c r="F948">
        <v>1.25</v>
      </c>
    </row>
    <row r="949" spans="1:6" x14ac:dyDescent="0.25">
      <c r="A949" s="1">
        <v>43031</v>
      </c>
      <c r="B949">
        <v>3</v>
      </c>
      <c r="C949" s="1">
        <v>43031</v>
      </c>
      <c r="D949">
        <v>2.62</v>
      </c>
      <c r="E949" s="1">
        <v>42968</v>
      </c>
      <c r="F949">
        <v>1.25</v>
      </c>
    </row>
    <row r="950" spans="1:6" x14ac:dyDescent="0.25">
      <c r="A950" s="1">
        <v>43032</v>
      </c>
      <c r="B950">
        <v>3.2</v>
      </c>
      <c r="C950" s="1">
        <v>43032</v>
      </c>
      <c r="D950">
        <v>2.65</v>
      </c>
      <c r="E950" s="1">
        <v>42969</v>
      </c>
      <c r="F950">
        <v>1.25</v>
      </c>
    </row>
    <row r="951" spans="1:6" x14ac:dyDescent="0.25">
      <c r="A951" s="1">
        <v>43033</v>
      </c>
      <c r="B951">
        <v>3.4</v>
      </c>
      <c r="C951" s="1">
        <v>43033</v>
      </c>
      <c r="D951">
        <v>2.68</v>
      </c>
      <c r="E951" s="1">
        <v>42970</v>
      </c>
      <c r="F951">
        <v>1.25</v>
      </c>
    </row>
    <row r="952" spans="1:6" x14ac:dyDescent="0.25">
      <c r="A952" s="1">
        <v>43034</v>
      </c>
      <c r="B952">
        <v>3.44</v>
      </c>
      <c r="C952" s="1">
        <v>43034</v>
      </c>
      <c r="D952">
        <v>2.7</v>
      </c>
      <c r="E952" s="1">
        <v>42971</v>
      </c>
      <c r="F952">
        <v>1.25</v>
      </c>
    </row>
    <row r="953" spans="1:6" x14ac:dyDescent="0.25">
      <c r="A953" s="1">
        <v>43035</v>
      </c>
      <c r="B953">
        <v>3.29</v>
      </c>
      <c r="C953" s="1">
        <v>43035</v>
      </c>
      <c r="D953">
        <v>2.75</v>
      </c>
      <c r="E953" s="1">
        <v>42972</v>
      </c>
      <c r="F953">
        <v>1.25</v>
      </c>
    </row>
    <row r="954" spans="1:6" x14ac:dyDescent="0.25">
      <c r="A954" s="1">
        <v>43038</v>
      </c>
      <c r="B954">
        <v>3.44</v>
      </c>
      <c r="C954" s="1">
        <v>43038</v>
      </c>
      <c r="D954">
        <v>2.7</v>
      </c>
      <c r="E954" s="1">
        <v>42975</v>
      </c>
      <c r="F954">
        <v>1.25</v>
      </c>
    </row>
    <row r="955" spans="1:6" x14ac:dyDescent="0.25">
      <c r="A955" s="1">
        <v>43039</v>
      </c>
      <c r="B955">
        <v>2.7</v>
      </c>
      <c r="C955" s="1">
        <v>43039</v>
      </c>
      <c r="D955">
        <v>2.89</v>
      </c>
      <c r="E955" s="1">
        <v>42976</v>
      </c>
      <c r="F955">
        <v>1.25</v>
      </c>
    </row>
    <row r="956" spans="1:6" x14ac:dyDescent="0.25">
      <c r="A956" s="1">
        <v>43040</v>
      </c>
      <c r="B956">
        <v>3.44</v>
      </c>
      <c r="C956" s="1">
        <v>43040</v>
      </c>
      <c r="D956">
        <v>2.75</v>
      </c>
      <c r="E956" s="1">
        <v>42977</v>
      </c>
      <c r="F956">
        <v>1.25</v>
      </c>
    </row>
    <row r="957" spans="1:6" x14ac:dyDescent="0.25">
      <c r="A957" s="1">
        <v>43041</v>
      </c>
      <c r="B957">
        <v>3.1</v>
      </c>
      <c r="C957" s="1">
        <v>43041</v>
      </c>
      <c r="D957">
        <v>2.6</v>
      </c>
      <c r="E957" s="1">
        <v>42978</v>
      </c>
      <c r="F957">
        <v>1.25</v>
      </c>
    </row>
    <row r="958" spans="1:6" x14ac:dyDescent="0.25">
      <c r="A958" s="1">
        <v>43042</v>
      </c>
      <c r="B958">
        <v>2.86</v>
      </c>
      <c r="C958" s="1">
        <v>43042</v>
      </c>
      <c r="D958">
        <v>2.5499999999999998</v>
      </c>
      <c r="E958" s="1">
        <v>42979</v>
      </c>
      <c r="F958">
        <v>1.25</v>
      </c>
    </row>
    <row r="959" spans="1:6" x14ac:dyDescent="0.25">
      <c r="A959" s="1">
        <v>43045</v>
      </c>
      <c r="B959">
        <v>2.9</v>
      </c>
      <c r="C959" s="1">
        <v>43045</v>
      </c>
      <c r="D959">
        <v>2.4900000000000002</v>
      </c>
      <c r="E959" s="1">
        <v>42982</v>
      </c>
      <c r="F959">
        <v>1.25</v>
      </c>
    </row>
    <row r="960" spans="1:6" x14ac:dyDescent="0.25">
      <c r="A960" s="1">
        <v>43046</v>
      </c>
      <c r="B960">
        <v>3</v>
      </c>
      <c r="C960" s="1">
        <v>43046</v>
      </c>
      <c r="D960">
        <v>2.5499999999999998</v>
      </c>
      <c r="E960" s="1">
        <v>42983</v>
      </c>
      <c r="F960">
        <v>1.25</v>
      </c>
    </row>
    <row r="961" spans="1:6" x14ac:dyDescent="0.25">
      <c r="A961" s="1">
        <v>43047</v>
      </c>
      <c r="B961">
        <v>3.2</v>
      </c>
      <c r="C961" s="1">
        <v>43047</v>
      </c>
      <c r="D961">
        <v>2.6</v>
      </c>
      <c r="E961" s="1">
        <v>42984</v>
      </c>
      <c r="F961">
        <v>1.25</v>
      </c>
    </row>
    <row r="962" spans="1:6" x14ac:dyDescent="0.25">
      <c r="A962" s="1">
        <v>43048</v>
      </c>
      <c r="B962">
        <v>3.4</v>
      </c>
      <c r="C962" s="1">
        <v>43048</v>
      </c>
      <c r="D962">
        <v>2.65</v>
      </c>
      <c r="E962" s="1">
        <v>42985</v>
      </c>
      <c r="F962">
        <v>1.25</v>
      </c>
    </row>
    <row r="963" spans="1:6" x14ac:dyDescent="0.25">
      <c r="A963" s="1">
        <v>43049</v>
      </c>
      <c r="B963">
        <v>3.44</v>
      </c>
      <c r="C963" s="1">
        <v>43049</v>
      </c>
      <c r="D963">
        <v>2.75</v>
      </c>
      <c r="E963" s="1">
        <v>42986</v>
      </c>
      <c r="F963">
        <v>1.25</v>
      </c>
    </row>
    <row r="964" spans="1:6" x14ac:dyDescent="0.25">
      <c r="A964" s="1">
        <v>43052</v>
      </c>
      <c r="B964">
        <v>3.44</v>
      </c>
      <c r="C964" s="1">
        <v>43052</v>
      </c>
      <c r="D964">
        <v>2.83</v>
      </c>
      <c r="E964" s="1">
        <v>42989</v>
      </c>
      <c r="F964">
        <v>1.25</v>
      </c>
    </row>
    <row r="965" spans="1:6" x14ac:dyDescent="0.25">
      <c r="A965" s="1">
        <v>43053</v>
      </c>
      <c r="B965">
        <v>3.4</v>
      </c>
      <c r="C965" s="1">
        <v>43053</v>
      </c>
      <c r="D965">
        <v>2.85</v>
      </c>
      <c r="E965" s="1">
        <v>42990</v>
      </c>
      <c r="F965">
        <v>1.25</v>
      </c>
    </row>
    <row r="966" spans="1:6" x14ac:dyDescent="0.25">
      <c r="A966" s="1">
        <v>43054</v>
      </c>
      <c r="B966">
        <v>3.44</v>
      </c>
      <c r="C966" s="1">
        <v>43054</v>
      </c>
      <c r="D966">
        <v>2.8</v>
      </c>
      <c r="E966" s="1">
        <v>42991</v>
      </c>
      <c r="F966">
        <v>1.25</v>
      </c>
    </row>
    <row r="967" spans="1:6" x14ac:dyDescent="0.25">
      <c r="A967" s="1">
        <v>43055</v>
      </c>
      <c r="B967">
        <v>3.1</v>
      </c>
      <c r="C967" s="1">
        <v>43055</v>
      </c>
      <c r="D967">
        <v>2.8</v>
      </c>
      <c r="E967" s="1">
        <v>42992</v>
      </c>
      <c r="F967">
        <v>1.25</v>
      </c>
    </row>
    <row r="968" spans="1:6" x14ac:dyDescent="0.25">
      <c r="A968" s="1">
        <v>43056</v>
      </c>
      <c r="B968">
        <v>3.4</v>
      </c>
      <c r="C968" s="1">
        <v>43056</v>
      </c>
      <c r="D968">
        <v>2.73</v>
      </c>
      <c r="E968" s="1">
        <v>42993</v>
      </c>
      <c r="F968">
        <v>1.25</v>
      </c>
    </row>
    <row r="969" spans="1:6" x14ac:dyDescent="0.25">
      <c r="A969" s="1">
        <v>43059</v>
      </c>
      <c r="B969">
        <v>3.25</v>
      </c>
      <c r="C969" s="1">
        <v>43059</v>
      </c>
      <c r="D969">
        <v>2.8</v>
      </c>
      <c r="E969" s="1">
        <v>42996</v>
      </c>
      <c r="F969">
        <v>1.25</v>
      </c>
    </row>
    <row r="970" spans="1:6" x14ac:dyDescent="0.25">
      <c r="A970" s="1">
        <v>43060</v>
      </c>
      <c r="B970">
        <v>3.44</v>
      </c>
      <c r="C970" s="1">
        <v>43060</v>
      </c>
      <c r="D970">
        <v>2.85</v>
      </c>
      <c r="E970" s="1">
        <v>42997</v>
      </c>
      <c r="F970">
        <v>1.25</v>
      </c>
    </row>
    <row r="971" spans="1:6" x14ac:dyDescent="0.25">
      <c r="A971" s="1">
        <v>43061</v>
      </c>
      <c r="B971">
        <v>3.44</v>
      </c>
      <c r="C971" s="1">
        <v>43061</v>
      </c>
      <c r="D971">
        <v>2.8</v>
      </c>
      <c r="E971" s="1">
        <v>42998</v>
      </c>
      <c r="F971">
        <v>1.25</v>
      </c>
    </row>
    <row r="972" spans="1:6" x14ac:dyDescent="0.25">
      <c r="A972" s="1">
        <v>43062</v>
      </c>
      <c r="B972">
        <v>3.08</v>
      </c>
      <c r="C972" s="1">
        <v>43062</v>
      </c>
      <c r="D972">
        <v>2.8</v>
      </c>
      <c r="E972" s="1">
        <v>42999</v>
      </c>
      <c r="F972">
        <v>1.25</v>
      </c>
    </row>
    <row r="973" spans="1:6" x14ac:dyDescent="0.25">
      <c r="A973" s="1">
        <v>43063</v>
      </c>
      <c r="B973">
        <v>3.44</v>
      </c>
      <c r="C973" s="1">
        <v>43063</v>
      </c>
      <c r="D973">
        <v>2.8</v>
      </c>
      <c r="E973" s="1">
        <v>43000</v>
      </c>
      <c r="F973">
        <v>1.25</v>
      </c>
    </row>
    <row r="974" spans="1:6" x14ac:dyDescent="0.25">
      <c r="A974" s="1">
        <v>43066</v>
      </c>
      <c r="B974">
        <v>3.44</v>
      </c>
      <c r="C974" s="1">
        <v>43066</v>
      </c>
      <c r="D974">
        <v>2.82</v>
      </c>
      <c r="E974" s="1">
        <v>43003</v>
      </c>
      <c r="F974">
        <v>1.25</v>
      </c>
    </row>
    <row r="975" spans="1:6" x14ac:dyDescent="0.25">
      <c r="A975" s="1">
        <v>43067</v>
      </c>
      <c r="B975">
        <v>3.45</v>
      </c>
      <c r="C975" s="1">
        <v>43067</v>
      </c>
      <c r="D975">
        <v>2.8</v>
      </c>
      <c r="E975" s="1">
        <v>43004</v>
      </c>
      <c r="F975">
        <v>1.25</v>
      </c>
    </row>
    <row r="976" spans="1:6" x14ac:dyDescent="0.25">
      <c r="A976" s="1">
        <v>43068</v>
      </c>
      <c r="B976">
        <v>3.44</v>
      </c>
      <c r="C976" s="1">
        <v>43068</v>
      </c>
      <c r="D976">
        <v>2.65</v>
      </c>
      <c r="E976" s="1">
        <v>43005</v>
      </c>
      <c r="F976">
        <v>1.25</v>
      </c>
    </row>
    <row r="977" spans="1:6" x14ac:dyDescent="0.25">
      <c r="A977" s="1">
        <v>43069</v>
      </c>
      <c r="B977">
        <v>3.44</v>
      </c>
      <c r="C977" s="1">
        <v>43069</v>
      </c>
      <c r="D977">
        <v>2.8</v>
      </c>
      <c r="E977" s="1">
        <v>43006</v>
      </c>
      <c r="F977">
        <v>1.25</v>
      </c>
    </row>
    <row r="978" spans="1:6" x14ac:dyDescent="0.25">
      <c r="A978" s="1">
        <v>43070</v>
      </c>
      <c r="B978">
        <v>3</v>
      </c>
      <c r="C978" s="1">
        <v>43070</v>
      </c>
      <c r="D978">
        <v>2.62</v>
      </c>
      <c r="E978" s="1">
        <v>43007</v>
      </c>
      <c r="F978">
        <v>1.25</v>
      </c>
    </row>
    <row r="979" spans="1:6" x14ac:dyDescent="0.25">
      <c r="A979" s="1">
        <v>43073</v>
      </c>
      <c r="B979">
        <v>2.9</v>
      </c>
      <c r="C979" s="1">
        <v>43073</v>
      </c>
      <c r="D979">
        <v>2.58</v>
      </c>
      <c r="E979" s="1">
        <v>43010</v>
      </c>
      <c r="F979">
        <v>1.25</v>
      </c>
    </row>
    <row r="980" spans="1:6" x14ac:dyDescent="0.25">
      <c r="A980" s="1">
        <v>43074</v>
      </c>
      <c r="B980">
        <v>3</v>
      </c>
      <c r="C980" s="1">
        <v>43074</v>
      </c>
      <c r="D980">
        <v>2.56</v>
      </c>
      <c r="E980" s="1">
        <v>43011</v>
      </c>
      <c r="F980">
        <v>1.25</v>
      </c>
    </row>
    <row r="981" spans="1:6" x14ac:dyDescent="0.25">
      <c r="A981" s="1">
        <v>43075</v>
      </c>
      <c r="B981">
        <v>3.2</v>
      </c>
      <c r="C981" s="1">
        <v>43075</v>
      </c>
      <c r="D981">
        <v>2.56</v>
      </c>
      <c r="E981" s="1">
        <v>43012</v>
      </c>
      <c r="F981">
        <v>1.25</v>
      </c>
    </row>
    <row r="982" spans="1:6" x14ac:dyDescent="0.25">
      <c r="A982" s="1">
        <v>43076</v>
      </c>
      <c r="B982">
        <v>3</v>
      </c>
      <c r="C982" s="1">
        <v>43076</v>
      </c>
      <c r="D982">
        <v>2.59</v>
      </c>
      <c r="E982" s="1">
        <v>43013</v>
      </c>
      <c r="F982">
        <v>1.25</v>
      </c>
    </row>
    <row r="983" spans="1:6" x14ac:dyDescent="0.25">
      <c r="A983" s="1">
        <v>43077</v>
      </c>
      <c r="B983">
        <v>3</v>
      </c>
      <c r="C983" s="1">
        <v>43077</v>
      </c>
      <c r="D983">
        <v>2.6</v>
      </c>
      <c r="E983" s="1">
        <v>43014</v>
      </c>
      <c r="F983">
        <v>1.25</v>
      </c>
    </row>
    <row r="984" spans="1:6" x14ac:dyDescent="0.25">
      <c r="A984" s="1">
        <v>43080</v>
      </c>
      <c r="B984">
        <v>3.2</v>
      </c>
      <c r="C984" s="1">
        <v>43080</v>
      </c>
      <c r="D984">
        <v>2.7</v>
      </c>
      <c r="E984" s="1">
        <v>43017</v>
      </c>
      <c r="F984">
        <v>1.25</v>
      </c>
    </row>
    <row r="985" spans="1:6" x14ac:dyDescent="0.25">
      <c r="A985" s="1">
        <v>43081</v>
      </c>
      <c r="B985">
        <v>3.44</v>
      </c>
      <c r="C985" s="1">
        <v>43081</v>
      </c>
      <c r="D985">
        <v>2.75</v>
      </c>
      <c r="E985" s="1">
        <v>43018</v>
      </c>
      <c r="F985">
        <v>1.25</v>
      </c>
    </row>
    <row r="986" spans="1:6" x14ac:dyDescent="0.25">
      <c r="A986" s="1">
        <v>43082</v>
      </c>
      <c r="B986">
        <v>3.44</v>
      </c>
      <c r="C986" s="1">
        <v>43082</v>
      </c>
      <c r="D986">
        <v>2.82</v>
      </c>
      <c r="E986" s="1">
        <v>43019</v>
      </c>
      <c r="F986">
        <v>1.25</v>
      </c>
    </row>
    <row r="987" spans="1:6" x14ac:dyDescent="0.25">
      <c r="A987" s="1">
        <v>43083</v>
      </c>
      <c r="B987">
        <v>3.44</v>
      </c>
      <c r="C987" s="1">
        <v>43083</v>
      </c>
      <c r="D987">
        <v>2.82</v>
      </c>
      <c r="E987" s="1">
        <v>43020</v>
      </c>
      <c r="F987">
        <v>1.25</v>
      </c>
    </row>
    <row r="988" spans="1:6" x14ac:dyDescent="0.25">
      <c r="A988" s="1">
        <v>43084</v>
      </c>
      <c r="B988">
        <v>3.4</v>
      </c>
      <c r="C988" s="1">
        <v>43084</v>
      </c>
      <c r="D988">
        <v>2.7</v>
      </c>
      <c r="E988" s="1">
        <v>43021</v>
      </c>
      <c r="F988">
        <v>1.25</v>
      </c>
    </row>
    <row r="989" spans="1:6" x14ac:dyDescent="0.25">
      <c r="A989" s="1">
        <v>43087</v>
      </c>
      <c r="B989">
        <v>3.35</v>
      </c>
      <c r="C989" s="1">
        <v>43087</v>
      </c>
      <c r="D989">
        <v>2.7</v>
      </c>
      <c r="E989" s="1">
        <v>43024</v>
      </c>
      <c r="F989">
        <v>1.25</v>
      </c>
    </row>
    <row r="990" spans="1:6" x14ac:dyDescent="0.25">
      <c r="A990" s="1">
        <v>43088</v>
      </c>
      <c r="B990">
        <v>3.4</v>
      </c>
      <c r="C990" s="1">
        <v>43088</v>
      </c>
      <c r="D990">
        <v>2.75</v>
      </c>
      <c r="E990" s="1">
        <v>43025</v>
      </c>
      <c r="F990">
        <v>1.25</v>
      </c>
    </row>
    <row r="991" spans="1:6" x14ac:dyDescent="0.25">
      <c r="A991" s="1">
        <v>43089</v>
      </c>
      <c r="B991">
        <v>3.4</v>
      </c>
      <c r="C991" s="1">
        <v>43089</v>
      </c>
      <c r="D991">
        <v>2.72</v>
      </c>
      <c r="E991" s="1">
        <v>43026</v>
      </c>
      <c r="F991">
        <v>1.25</v>
      </c>
    </row>
    <row r="992" spans="1:6" x14ac:dyDescent="0.25">
      <c r="A992" s="1">
        <v>43090</v>
      </c>
      <c r="B992">
        <v>3.15</v>
      </c>
      <c r="C992" s="1">
        <v>43090</v>
      </c>
      <c r="D992">
        <v>2.65</v>
      </c>
      <c r="E992" s="1">
        <v>43027</v>
      </c>
      <c r="F992">
        <v>1.25</v>
      </c>
    </row>
    <row r="993" spans="1:6" x14ac:dyDescent="0.25">
      <c r="A993" s="1">
        <v>43091</v>
      </c>
      <c r="B993">
        <v>2.9</v>
      </c>
      <c r="C993" s="1">
        <v>43091</v>
      </c>
      <c r="D993">
        <v>2.58</v>
      </c>
      <c r="E993" s="1">
        <v>43028</v>
      </c>
      <c r="F993">
        <v>1.25</v>
      </c>
    </row>
    <row r="994" spans="1:6" x14ac:dyDescent="0.25">
      <c r="A994" s="1">
        <v>43094</v>
      </c>
      <c r="B994">
        <v>2.8</v>
      </c>
      <c r="C994" s="1">
        <v>43094</v>
      </c>
      <c r="D994">
        <v>2.5499999999999998</v>
      </c>
      <c r="E994" s="1">
        <v>43031</v>
      </c>
      <c r="F994">
        <v>1.25</v>
      </c>
    </row>
    <row r="995" spans="1:6" x14ac:dyDescent="0.25">
      <c r="A995" s="1">
        <v>43095</v>
      </c>
      <c r="B995">
        <v>3</v>
      </c>
      <c r="C995" s="1">
        <v>43095</v>
      </c>
      <c r="D995">
        <v>2.57</v>
      </c>
      <c r="E995" s="1">
        <v>43032</v>
      </c>
      <c r="F995">
        <v>1.25</v>
      </c>
    </row>
    <row r="996" spans="1:6" x14ac:dyDescent="0.25">
      <c r="A996" s="1">
        <v>43096</v>
      </c>
      <c r="B996">
        <v>3.1</v>
      </c>
      <c r="C996" s="1">
        <v>43096</v>
      </c>
      <c r="D996">
        <v>2.66</v>
      </c>
      <c r="E996" s="1">
        <v>43033</v>
      </c>
      <c r="F996">
        <v>1.25</v>
      </c>
    </row>
    <row r="997" spans="1:6" x14ac:dyDescent="0.25">
      <c r="A997" s="1">
        <v>43097</v>
      </c>
      <c r="B997">
        <v>4.5999999999999996</v>
      </c>
      <c r="C997" s="1">
        <v>43097</v>
      </c>
      <c r="D997">
        <v>2.65</v>
      </c>
      <c r="E997" s="1">
        <v>43034</v>
      </c>
      <c r="F997">
        <v>1.25</v>
      </c>
    </row>
    <row r="998" spans="1:6" x14ac:dyDescent="0.25">
      <c r="A998" s="1">
        <v>43098</v>
      </c>
      <c r="B998">
        <v>6</v>
      </c>
      <c r="C998" s="1">
        <v>43098</v>
      </c>
      <c r="D998">
        <v>2.82</v>
      </c>
      <c r="E998" s="1">
        <v>43035</v>
      </c>
      <c r="F998">
        <v>1.25</v>
      </c>
    </row>
    <row r="999" spans="1:6" x14ac:dyDescent="0.25">
      <c r="A999" s="1">
        <v>43102</v>
      </c>
      <c r="B999">
        <v>2.88</v>
      </c>
      <c r="C999" s="1">
        <v>43102</v>
      </c>
      <c r="D999">
        <v>2.62</v>
      </c>
      <c r="E999" s="1">
        <v>43038</v>
      </c>
      <c r="F999">
        <v>1.25</v>
      </c>
    </row>
    <row r="1000" spans="1:6" x14ac:dyDescent="0.25">
      <c r="A1000" s="1">
        <v>43103</v>
      </c>
      <c r="B1000">
        <v>2.9</v>
      </c>
      <c r="C1000" s="1">
        <v>43103</v>
      </c>
      <c r="D1000">
        <v>2.5499999999999998</v>
      </c>
      <c r="E1000" s="1">
        <v>43039</v>
      </c>
      <c r="F1000">
        <v>1.25</v>
      </c>
    </row>
    <row r="1001" spans="1:6" x14ac:dyDescent="0.25">
      <c r="A1001" s="1">
        <v>43104</v>
      </c>
      <c r="B1001">
        <v>2.8</v>
      </c>
      <c r="C1001" s="1">
        <v>43104</v>
      </c>
      <c r="D1001">
        <v>2.5</v>
      </c>
      <c r="E1001" s="1">
        <v>43040</v>
      </c>
      <c r="F1001">
        <v>1.25</v>
      </c>
    </row>
    <row r="1002" spans="1:6" x14ac:dyDescent="0.25">
      <c r="A1002" s="1">
        <v>43105</v>
      </c>
      <c r="B1002">
        <v>2.73</v>
      </c>
      <c r="C1002" s="1">
        <v>43105</v>
      </c>
      <c r="D1002">
        <v>2.4700000000000002</v>
      </c>
      <c r="E1002" s="1">
        <v>43041</v>
      </c>
      <c r="F1002">
        <v>1.25</v>
      </c>
    </row>
    <row r="1003" spans="1:6" x14ac:dyDescent="0.25">
      <c r="A1003" s="1">
        <v>43108</v>
      </c>
      <c r="B1003">
        <v>2.75</v>
      </c>
      <c r="C1003" s="1">
        <v>43108</v>
      </c>
      <c r="D1003">
        <v>2.4500000000000002</v>
      </c>
      <c r="E1003" s="1">
        <v>43042</v>
      </c>
      <c r="F1003">
        <v>1.25</v>
      </c>
    </row>
    <row r="1004" spans="1:6" x14ac:dyDescent="0.25">
      <c r="A1004" s="1">
        <v>43109</v>
      </c>
      <c r="B1004">
        <v>2.85</v>
      </c>
      <c r="C1004" s="1">
        <v>43109</v>
      </c>
      <c r="D1004">
        <v>2.52</v>
      </c>
      <c r="E1004" s="1">
        <v>43045</v>
      </c>
      <c r="F1004">
        <v>1.25</v>
      </c>
    </row>
    <row r="1005" spans="1:6" x14ac:dyDescent="0.25">
      <c r="A1005" s="1">
        <v>43110</v>
      </c>
      <c r="B1005">
        <v>3</v>
      </c>
      <c r="C1005" s="1">
        <v>43110</v>
      </c>
      <c r="D1005">
        <v>2.65</v>
      </c>
      <c r="E1005" s="1">
        <v>43046</v>
      </c>
      <c r="F1005">
        <v>1.25</v>
      </c>
    </row>
    <row r="1006" spans="1:6" x14ac:dyDescent="0.25">
      <c r="A1006" s="1">
        <v>43111</v>
      </c>
      <c r="B1006">
        <v>3.49</v>
      </c>
      <c r="C1006" s="1">
        <v>43111</v>
      </c>
      <c r="D1006">
        <v>2.85</v>
      </c>
      <c r="E1006" s="1">
        <v>43047</v>
      </c>
      <c r="F1006">
        <v>1.25</v>
      </c>
    </row>
    <row r="1007" spans="1:6" x14ac:dyDescent="0.25">
      <c r="A1007" s="1">
        <v>43112</v>
      </c>
      <c r="B1007">
        <v>3.45</v>
      </c>
      <c r="C1007" s="1">
        <v>43112</v>
      </c>
      <c r="D1007">
        <v>2.85</v>
      </c>
      <c r="E1007" s="1">
        <v>43048</v>
      </c>
      <c r="F1007">
        <v>1.25</v>
      </c>
    </row>
    <row r="1008" spans="1:6" x14ac:dyDescent="0.25">
      <c r="A1008" s="1">
        <v>43115</v>
      </c>
      <c r="B1008">
        <v>3</v>
      </c>
      <c r="C1008" s="1">
        <v>43115</v>
      </c>
      <c r="D1008">
        <v>2.8</v>
      </c>
      <c r="E1008" s="1">
        <v>43049</v>
      </c>
      <c r="F1008">
        <v>1.25</v>
      </c>
    </row>
    <row r="1009" spans="1:6" x14ac:dyDescent="0.25">
      <c r="A1009" s="1">
        <v>43116</v>
      </c>
      <c r="B1009">
        <v>3</v>
      </c>
      <c r="C1009" s="1">
        <v>43116</v>
      </c>
      <c r="D1009">
        <v>2.8</v>
      </c>
      <c r="E1009" s="1">
        <v>43052</v>
      </c>
      <c r="F1009">
        <v>1.25</v>
      </c>
    </row>
    <row r="1010" spans="1:6" x14ac:dyDescent="0.25">
      <c r="A1010" s="1">
        <v>43117</v>
      </c>
      <c r="B1010">
        <v>3.25</v>
      </c>
      <c r="C1010" s="1">
        <v>43117</v>
      </c>
      <c r="D1010">
        <v>2.8</v>
      </c>
      <c r="E1010" s="1">
        <v>43053</v>
      </c>
      <c r="F1010">
        <v>1.25</v>
      </c>
    </row>
    <row r="1011" spans="1:6" x14ac:dyDescent="0.25">
      <c r="A1011" s="1">
        <v>43118</v>
      </c>
      <c r="B1011">
        <v>3.49</v>
      </c>
      <c r="C1011" s="1">
        <v>43118</v>
      </c>
      <c r="D1011">
        <v>2.79</v>
      </c>
      <c r="E1011" s="1">
        <v>43054</v>
      </c>
      <c r="F1011">
        <v>1.25</v>
      </c>
    </row>
    <row r="1012" spans="1:6" x14ac:dyDescent="0.25">
      <c r="A1012" s="1">
        <v>43119</v>
      </c>
      <c r="B1012">
        <v>3.4</v>
      </c>
      <c r="C1012" s="1">
        <v>43119</v>
      </c>
      <c r="D1012">
        <v>2.88</v>
      </c>
      <c r="E1012" s="1">
        <v>43055</v>
      </c>
      <c r="F1012">
        <v>1.25</v>
      </c>
    </row>
    <row r="1013" spans="1:6" x14ac:dyDescent="0.25">
      <c r="A1013" s="1">
        <v>43122</v>
      </c>
      <c r="B1013">
        <v>3.3</v>
      </c>
      <c r="C1013" s="1">
        <v>43122</v>
      </c>
      <c r="D1013">
        <v>2.75</v>
      </c>
      <c r="E1013" s="1">
        <v>43056</v>
      </c>
      <c r="F1013">
        <v>1.25</v>
      </c>
    </row>
    <row r="1014" spans="1:6" x14ac:dyDescent="0.25">
      <c r="A1014" s="1">
        <v>43123</v>
      </c>
      <c r="B1014">
        <v>3</v>
      </c>
      <c r="C1014" s="1">
        <v>43123</v>
      </c>
      <c r="D1014">
        <v>2.6</v>
      </c>
      <c r="E1014" s="1">
        <v>43059</v>
      </c>
      <c r="F1014">
        <v>1.25</v>
      </c>
    </row>
    <row r="1015" spans="1:6" x14ac:dyDescent="0.25">
      <c r="A1015" s="1">
        <v>43124</v>
      </c>
      <c r="B1015">
        <v>3</v>
      </c>
      <c r="C1015" s="1">
        <v>43124</v>
      </c>
      <c r="D1015">
        <v>2.57</v>
      </c>
      <c r="E1015" s="1">
        <v>43060</v>
      </c>
      <c r="F1015">
        <v>1.25</v>
      </c>
    </row>
    <row r="1016" spans="1:6" x14ac:dyDescent="0.25">
      <c r="A1016" s="1">
        <v>43125</v>
      </c>
      <c r="B1016">
        <v>3.05</v>
      </c>
      <c r="C1016" s="1">
        <v>43125</v>
      </c>
      <c r="D1016">
        <v>2.56</v>
      </c>
      <c r="E1016" s="1">
        <v>43061</v>
      </c>
      <c r="F1016">
        <v>1.25</v>
      </c>
    </row>
    <row r="1017" spans="1:6" x14ac:dyDescent="0.25">
      <c r="A1017" s="1">
        <v>43126</v>
      </c>
      <c r="B1017">
        <v>3.36</v>
      </c>
      <c r="C1017" s="1">
        <v>43126</v>
      </c>
      <c r="D1017">
        <v>2.54</v>
      </c>
      <c r="E1017" s="1">
        <v>43062</v>
      </c>
      <c r="F1017">
        <v>1.25</v>
      </c>
    </row>
    <row r="1018" spans="1:6" x14ac:dyDescent="0.25">
      <c r="A1018" s="1">
        <v>43129</v>
      </c>
      <c r="B1018">
        <v>3.14</v>
      </c>
      <c r="C1018" s="1">
        <v>43129</v>
      </c>
      <c r="D1018">
        <v>2.56</v>
      </c>
      <c r="E1018" s="1">
        <v>43063</v>
      </c>
      <c r="F1018">
        <v>1.25</v>
      </c>
    </row>
    <row r="1019" spans="1:6" x14ac:dyDescent="0.25">
      <c r="A1019" s="1">
        <v>43130</v>
      </c>
      <c r="B1019">
        <v>3.2</v>
      </c>
      <c r="C1019" s="1">
        <v>43130</v>
      </c>
      <c r="D1019">
        <v>2.5350000000000001</v>
      </c>
      <c r="E1019" s="1">
        <v>43066</v>
      </c>
      <c r="F1019">
        <v>1.25</v>
      </c>
    </row>
    <row r="1020" spans="1:6" x14ac:dyDescent="0.25">
      <c r="A1020" s="1">
        <v>43131</v>
      </c>
      <c r="B1020">
        <v>3.2</v>
      </c>
      <c r="C1020" s="1">
        <v>43131</v>
      </c>
      <c r="D1020">
        <v>2.6</v>
      </c>
      <c r="E1020" s="1">
        <v>43067</v>
      </c>
      <c r="F1020">
        <v>1.25</v>
      </c>
    </row>
    <row r="1021" spans="1:6" x14ac:dyDescent="0.25">
      <c r="A1021" s="1">
        <v>43132</v>
      </c>
      <c r="B1021">
        <v>2.85</v>
      </c>
      <c r="C1021" s="1">
        <v>43132</v>
      </c>
      <c r="D1021">
        <v>2.5</v>
      </c>
      <c r="E1021" s="1">
        <v>43068</v>
      </c>
      <c r="F1021">
        <v>1.25</v>
      </c>
    </row>
    <row r="1022" spans="1:6" x14ac:dyDescent="0.25">
      <c r="A1022" s="1">
        <v>43133</v>
      </c>
      <c r="B1022">
        <v>2.8</v>
      </c>
      <c r="C1022" s="1">
        <v>43133</v>
      </c>
      <c r="D1022">
        <v>2.52</v>
      </c>
      <c r="E1022" s="1">
        <v>43069</v>
      </c>
      <c r="F1022">
        <v>1.25</v>
      </c>
    </row>
    <row r="1023" spans="1:6" x14ac:dyDescent="0.25">
      <c r="A1023" s="1">
        <v>43136</v>
      </c>
      <c r="B1023">
        <v>2.73</v>
      </c>
      <c r="C1023" s="1">
        <v>43136</v>
      </c>
      <c r="D1023">
        <v>2.5299999999999998</v>
      </c>
      <c r="E1023" s="1">
        <v>43070</v>
      </c>
      <c r="F1023">
        <v>1.25</v>
      </c>
    </row>
    <row r="1024" spans="1:6" x14ac:dyDescent="0.25">
      <c r="A1024" s="1">
        <v>43137</v>
      </c>
      <c r="B1024">
        <v>2.75</v>
      </c>
      <c r="C1024" s="1">
        <v>43137</v>
      </c>
      <c r="D1024">
        <v>2.54</v>
      </c>
      <c r="E1024" s="1">
        <v>43073</v>
      </c>
      <c r="F1024">
        <v>1.25</v>
      </c>
    </row>
    <row r="1025" spans="1:6" x14ac:dyDescent="0.25">
      <c r="A1025" s="1">
        <v>43138</v>
      </c>
      <c r="B1025">
        <v>2.72</v>
      </c>
      <c r="C1025" s="1">
        <v>43138</v>
      </c>
      <c r="D1025">
        <v>2.57</v>
      </c>
      <c r="E1025" s="1">
        <v>43074</v>
      </c>
      <c r="F1025">
        <v>1.25</v>
      </c>
    </row>
    <row r="1026" spans="1:6" x14ac:dyDescent="0.25">
      <c r="A1026" s="1">
        <v>43139</v>
      </c>
      <c r="B1026">
        <v>2.9</v>
      </c>
      <c r="C1026" s="1">
        <v>43139</v>
      </c>
      <c r="D1026">
        <v>2.57</v>
      </c>
      <c r="E1026" s="1">
        <v>43075</v>
      </c>
      <c r="F1026">
        <v>1.25</v>
      </c>
    </row>
    <row r="1027" spans="1:6" x14ac:dyDescent="0.25">
      <c r="A1027" s="1">
        <v>43140</v>
      </c>
      <c r="B1027">
        <v>2.95</v>
      </c>
      <c r="C1027" s="1">
        <v>43140</v>
      </c>
      <c r="D1027">
        <v>2.59</v>
      </c>
      <c r="E1027" s="1">
        <v>43076</v>
      </c>
      <c r="F1027">
        <v>1.25</v>
      </c>
    </row>
    <row r="1028" spans="1:6" x14ac:dyDescent="0.25">
      <c r="A1028" s="1">
        <v>43142</v>
      </c>
      <c r="B1028">
        <v>2.75</v>
      </c>
      <c r="C1028" s="1">
        <v>43142</v>
      </c>
      <c r="D1028">
        <v>2.6</v>
      </c>
      <c r="E1028" s="1">
        <v>43077</v>
      </c>
      <c r="F1028">
        <v>1.25</v>
      </c>
    </row>
    <row r="1029" spans="1:6" x14ac:dyDescent="0.25">
      <c r="A1029" s="1">
        <v>43143</v>
      </c>
      <c r="B1029">
        <v>2.86</v>
      </c>
      <c r="C1029" s="1">
        <v>43143</v>
      </c>
      <c r="D1029">
        <v>2.56</v>
      </c>
      <c r="E1029" s="1">
        <v>43080</v>
      </c>
      <c r="F1029">
        <v>1.25</v>
      </c>
    </row>
    <row r="1030" spans="1:6" x14ac:dyDescent="0.25">
      <c r="A1030" s="1">
        <v>43144</v>
      </c>
      <c r="B1030">
        <v>2.98</v>
      </c>
      <c r="C1030" s="1">
        <v>43144</v>
      </c>
      <c r="D1030">
        <v>2.58</v>
      </c>
      <c r="E1030" s="1">
        <v>43081</v>
      </c>
      <c r="F1030">
        <v>1.25</v>
      </c>
    </row>
    <row r="1031" spans="1:6" x14ac:dyDescent="0.25">
      <c r="A1031" s="1">
        <v>43145</v>
      </c>
      <c r="B1031">
        <v>2.85</v>
      </c>
      <c r="C1031" s="1">
        <v>43145</v>
      </c>
      <c r="D1031">
        <v>2.8</v>
      </c>
      <c r="E1031" s="1">
        <v>43082</v>
      </c>
      <c r="F1031">
        <v>1.5</v>
      </c>
    </row>
    <row r="1032" spans="1:6" x14ac:dyDescent="0.25">
      <c r="A1032" s="1">
        <v>43153</v>
      </c>
      <c r="B1032">
        <v>3.06</v>
      </c>
      <c r="C1032" s="1">
        <v>43153</v>
      </c>
      <c r="D1032">
        <v>2.61</v>
      </c>
      <c r="E1032" s="1">
        <v>43083</v>
      </c>
      <c r="F1032">
        <v>1.5</v>
      </c>
    </row>
    <row r="1033" spans="1:6" x14ac:dyDescent="0.25">
      <c r="A1033" s="1">
        <v>43154</v>
      </c>
      <c r="B1033">
        <v>3</v>
      </c>
      <c r="C1033" s="1">
        <v>43154</v>
      </c>
      <c r="D1033">
        <v>2.56</v>
      </c>
      <c r="E1033" s="1">
        <v>43084</v>
      </c>
      <c r="F1033">
        <v>1.5</v>
      </c>
    </row>
    <row r="1034" spans="1:6" x14ac:dyDescent="0.25">
      <c r="A1034" s="1">
        <v>43155</v>
      </c>
      <c r="B1034">
        <v>2.85</v>
      </c>
      <c r="C1034" s="1">
        <v>43155</v>
      </c>
      <c r="D1034">
        <v>2.54</v>
      </c>
      <c r="E1034" s="1">
        <v>43087</v>
      </c>
      <c r="F1034">
        <v>1.5</v>
      </c>
    </row>
    <row r="1035" spans="1:6" x14ac:dyDescent="0.25">
      <c r="A1035" s="1">
        <v>43157</v>
      </c>
      <c r="B1035">
        <v>3.01</v>
      </c>
      <c r="C1035" s="1">
        <v>43157</v>
      </c>
      <c r="D1035">
        <v>2.56</v>
      </c>
      <c r="E1035" s="1">
        <v>43088</v>
      </c>
      <c r="F1035">
        <v>1.5</v>
      </c>
    </row>
    <row r="1036" spans="1:6" x14ac:dyDescent="0.25">
      <c r="A1036" s="1">
        <v>43158</v>
      </c>
      <c r="B1036">
        <v>3.4</v>
      </c>
      <c r="C1036" s="1">
        <v>43158</v>
      </c>
      <c r="D1036">
        <v>2.5499999999999998</v>
      </c>
      <c r="E1036" s="1">
        <v>43089</v>
      </c>
      <c r="F1036">
        <v>1.5</v>
      </c>
    </row>
    <row r="1037" spans="1:6" x14ac:dyDescent="0.25">
      <c r="A1037" s="1">
        <v>43159</v>
      </c>
      <c r="B1037">
        <v>3.49</v>
      </c>
      <c r="C1037" s="1">
        <v>43159</v>
      </c>
      <c r="D1037">
        <v>2.74</v>
      </c>
      <c r="E1037" s="1">
        <v>43090</v>
      </c>
      <c r="F1037">
        <v>1.5</v>
      </c>
    </row>
    <row r="1038" spans="1:6" x14ac:dyDescent="0.25">
      <c r="A1038" s="1">
        <v>43160</v>
      </c>
      <c r="B1038">
        <v>3.2</v>
      </c>
      <c r="C1038" s="1">
        <v>43160</v>
      </c>
      <c r="D1038">
        <v>2.7</v>
      </c>
      <c r="E1038" s="1">
        <v>43091</v>
      </c>
      <c r="F1038">
        <v>1.5</v>
      </c>
    </row>
    <row r="1039" spans="1:6" x14ac:dyDescent="0.25">
      <c r="A1039" s="1">
        <v>43161</v>
      </c>
      <c r="B1039">
        <v>3.3</v>
      </c>
      <c r="C1039" s="1">
        <v>43161</v>
      </c>
      <c r="D1039">
        <v>2.78</v>
      </c>
      <c r="E1039" s="1">
        <v>43094</v>
      </c>
      <c r="F1039">
        <v>1.5</v>
      </c>
    </row>
    <row r="1040" spans="1:6" x14ac:dyDescent="0.25">
      <c r="A1040" s="1">
        <v>43164</v>
      </c>
      <c r="B1040">
        <v>3.3</v>
      </c>
      <c r="C1040" s="1">
        <v>43164</v>
      </c>
      <c r="D1040">
        <v>2.65</v>
      </c>
      <c r="E1040" s="1">
        <v>43095</v>
      </c>
      <c r="F1040">
        <v>1.5</v>
      </c>
    </row>
    <row r="1041" spans="1:6" x14ac:dyDescent="0.25">
      <c r="A1041" s="1">
        <v>43165</v>
      </c>
      <c r="B1041">
        <v>3.1</v>
      </c>
      <c r="C1041" s="1">
        <v>43165</v>
      </c>
      <c r="D1041">
        <v>2.6</v>
      </c>
      <c r="E1041" s="1">
        <v>43096</v>
      </c>
      <c r="F1041">
        <v>1.5</v>
      </c>
    </row>
    <row r="1042" spans="1:6" x14ac:dyDescent="0.25">
      <c r="A1042" s="1">
        <v>43166</v>
      </c>
      <c r="B1042">
        <v>3</v>
      </c>
      <c r="C1042" s="1">
        <v>43166</v>
      </c>
      <c r="D1042">
        <v>2.59</v>
      </c>
      <c r="E1042" s="1">
        <v>43097</v>
      </c>
      <c r="F1042">
        <v>1.5</v>
      </c>
    </row>
    <row r="1043" spans="1:6" x14ac:dyDescent="0.25">
      <c r="A1043" s="1">
        <v>43167</v>
      </c>
      <c r="B1043">
        <v>2.9</v>
      </c>
      <c r="C1043" s="1">
        <v>43167</v>
      </c>
      <c r="D1043">
        <v>2.5499999999999998</v>
      </c>
      <c r="E1043" s="1">
        <v>43098</v>
      </c>
      <c r="F1043">
        <v>1.5</v>
      </c>
    </row>
    <row r="1044" spans="1:6" x14ac:dyDescent="0.25">
      <c r="A1044" s="1">
        <v>43168</v>
      </c>
      <c r="B1044">
        <v>2.9</v>
      </c>
      <c r="C1044" s="1">
        <v>43168</v>
      </c>
      <c r="D1044">
        <v>2.58</v>
      </c>
      <c r="E1044" s="1">
        <v>43101</v>
      </c>
      <c r="F1044">
        <v>1.5</v>
      </c>
    </row>
    <row r="1045" spans="1:6" x14ac:dyDescent="0.25">
      <c r="A1045" s="1">
        <v>43171</v>
      </c>
      <c r="B1045">
        <v>2.9</v>
      </c>
      <c r="C1045" s="1">
        <v>43171</v>
      </c>
      <c r="D1045">
        <v>2.59</v>
      </c>
      <c r="E1045" s="1">
        <v>43102</v>
      </c>
      <c r="F1045">
        <v>1.5</v>
      </c>
    </row>
    <row r="1046" spans="1:6" x14ac:dyDescent="0.25">
      <c r="A1046" s="1">
        <v>43172</v>
      </c>
      <c r="B1046">
        <v>3.3</v>
      </c>
      <c r="C1046" s="1">
        <v>43172</v>
      </c>
      <c r="D1046">
        <v>2.65</v>
      </c>
      <c r="E1046" s="1">
        <v>43103</v>
      </c>
      <c r="F1046">
        <v>1.5</v>
      </c>
    </row>
    <row r="1047" spans="1:6" x14ac:dyDescent="0.25">
      <c r="A1047" s="1">
        <v>43173</v>
      </c>
      <c r="B1047">
        <v>3</v>
      </c>
      <c r="C1047" s="1">
        <v>43173</v>
      </c>
      <c r="D1047">
        <v>2.65</v>
      </c>
      <c r="E1047" s="1">
        <v>43104</v>
      </c>
      <c r="F1047">
        <v>1.5</v>
      </c>
    </row>
    <row r="1048" spans="1:6" x14ac:dyDescent="0.25">
      <c r="A1048" s="1">
        <v>43174</v>
      </c>
      <c r="B1048">
        <v>3.16</v>
      </c>
      <c r="C1048" s="1">
        <v>43174</v>
      </c>
      <c r="D1048">
        <v>2.64</v>
      </c>
      <c r="E1048" s="1">
        <v>43105</v>
      </c>
      <c r="F1048">
        <v>1.5</v>
      </c>
    </row>
    <row r="1049" spans="1:6" x14ac:dyDescent="0.25">
      <c r="A1049" s="1">
        <v>43175</v>
      </c>
      <c r="B1049">
        <v>3</v>
      </c>
      <c r="C1049" s="1">
        <v>43175</v>
      </c>
      <c r="D1049">
        <v>2.58</v>
      </c>
      <c r="E1049" s="1">
        <v>43108</v>
      </c>
      <c r="F1049">
        <v>1.5</v>
      </c>
    </row>
    <row r="1050" spans="1:6" x14ac:dyDescent="0.25">
      <c r="A1050" s="1">
        <v>43178</v>
      </c>
      <c r="B1050">
        <v>3</v>
      </c>
      <c r="C1050" s="1">
        <v>43178</v>
      </c>
      <c r="D1050">
        <v>2.5499999999999998</v>
      </c>
      <c r="E1050" s="1">
        <v>43109</v>
      </c>
      <c r="F1050">
        <v>1.5</v>
      </c>
    </row>
    <row r="1051" spans="1:6" x14ac:dyDescent="0.25">
      <c r="A1051" s="1">
        <v>43179</v>
      </c>
      <c r="B1051">
        <v>3.1</v>
      </c>
      <c r="C1051" s="1">
        <v>43179</v>
      </c>
      <c r="D1051">
        <v>2.5499999999999998</v>
      </c>
      <c r="E1051" s="1">
        <v>43110</v>
      </c>
      <c r="F1051">
        <v>1.5</v>
      </c>
    </row>
    <row r="1052" spans="1:6" x14ac:dyDescent="0.25">
      <c r="A1052" s="1">
        <v>43180</v>
      </c>
      <c r="B1052">
        <v>3</v>
      </c>
      <c r="C1052" s="1">
        <v>43180</v>
      </c>
      <c r="D1052">
        <v>2.56</v>
      </c>
      <c r="E1052" s="1">
        <v>43111</v>
      </c>
      <c r="F1052">
        <v>1.5</v>
      </c>
    </row>
    <row r="1053" spans="1:6" x14ac:dyDescent="0.25">
      <c r="A1053" s="1">
        <v>43181</v>
      </c>
      <c r="B1053">
        <v>3</v>
      </c>
      <c r="C1053" s="1">
        <v>43181</v>
      </c>
      <c r="D1053">
        <v>2.5499999999999998</v>
      </c>
      <c r="E1053" s="1">
        <v>43112</v>
      </c>
      <c r="F1053">
        <v>1.5</v>
      </c>
    </row>
    <row r="1054" spans="1:6" x14ac:dyDescent="0.25">
      <c r="A1054" s="1">
        <v>43182</v>
      </c>
      <c r="B1054">
        <v>2.9</v>
      </c>
      <c r="C1054" s="1">
        <v>43182</v>
      </c>
      <c r="D1054">
        <v>2.56</v>
      </c>
      <c r="E1054" s="1">
        <v>43115</v>
      </c>
      <c r="F1054">
        <v>1.5</v>
      </c>
    </row>
    <row r="1055" spans="1:6" x14ac:dyDescent="0.25">
      <c r="A1055" s="1">
        <v>43185</v>
      </c>
      <c r="B1055">
        <v>2.75</v>
      </c>
      <c r="C1055" s="1">
        <v>43185</v>
      </c>
      <c r="D1055">
        <v>2.54</v>
      </c>
      <c r="E1055" s="1">
        <v>43116</v>
      </c>
      <c r="F1055">
        <v>1.5</v>
      </c>
    </row>
    <row r="1056" spans="1:6" x14ac:dyDescent="0.25">
      <c r="A1056" s="1">
        <v>43186</v>
      </c>
      <c r="B1056">
        <v>2.9</v>
      </c>
      <c r="C1056" s="1">
        <v>43186</v>
      </c>
      <c r="D1056">
        <v>2.6</v>
      </c>
      <c r="E1056" s="1">
        <v>43117</v>
      </c>
      <c r="F1056">
        <v>1.5</v>
      </c>
    </row>
    <row r="1057" spans="1:6" x14ac:dyDescent="0.25">
      <c r="A1057" s="1">
        <v>43187</v>
      </c>
      <c r="B1057">
        <v>3.1</v>
      </c>
      <c r="C1057" s="1">
        <v>43187</v>
      </c>
      <c r="D1057">
        <v>2.58</v>
      </c>
      <c r="E1057" s="1">
        <v>43118</v>
      </c>
      <c r="F1057">
        <v>1.5</v>
      </c>
    </row>
    <row r="1058" spans="1:6" x14ac:dyDescent="0.25">
      <c r="A1058" s="1">
        <v>43188</v>
      </c>
      <c r="B1058">
        <v>3.2</v>
      </c>
      <c r="C1058" s="1">
        <v>43188</v>
      </c>
      <c r="D1058">
        <v>2.56</v>
      </c>
      <c r="E1058" s="1">
        <v>43119</v>
      </c>
      <c r="F1058">
        <v>1.5</v>
      </c>
    </row>
    <row r="1059" spans="1:6" x14ac:dyDescent="0.25">
      <c r="A1059" s="1">
        <v>43189</v>
      </c>
      <c r="B1059">
        <v>3.5</v>
      </c>
      <c r="C1059" s="1">
        <v>43189</v>
      </c>
      <c r="D1059">
        <v>2.73</v>
      </c>
      <c r="E1059" s="1">
        <v>43122</v>
      </c>
      <c r="F1059">
        <v>1.5</v>
      </c>
    </row>
    <row r="1060" spans="1:6" x14ac:dyDescent="0.25">
      <c r="A1060" s="1">
        <v>43192</v>
      </c>
      <c r="B1060">
        <v>2.99</v>
      </c>
      <c r="C1060" s="1">
        <v>43192</v>
      </c>
      <c r="D1060">
        <v>2.62</v>
      </c>
      <c r="E1060" s="1">
        <v>43123</v>
      </c>
      <c r="F1060">
        <v>1.5</v>
      </c>
    </row>
    <row r="1061" spans="1:6" x14ac:dyDescent="0.25">
      <c r="A1061" s="1">
        <v>43193</v>
      </c>
      <c r="B1061">
        <v>2.9</v>
      </c>
      <c r="C1061" s="1">
        <v>43193</v>
      </c>
      <c r="D1061">
        <v>2.58</v>
      </c>
      <c r="E1061" s="1">
        <v>43124</v>
      </c>
      <c r="F1061">
        <v>1.5</v>
      </c>
    </row>
    <row r="1062" spans="1:6" x14ac:dyDescent="0.25">
      <c r="A1062" s="1">
        <v>43194</v>
      </c>
      <c r="B1062">
        <v>2.8</v>
      </c>
      <c r="C1062" s="1">
        <v>43194</v>
      </c>
      <c r="D1062">
        <v>2.44</v>
      </c>
      <c r="E1062" s="1">
        <v>43125</v>
      </c>
      <c r="F1062">
        <v>1.5</v>
      </c>
    </row>
    <row r="1063" spans="1:6" x14ac:dyDescent="0.25">
      <c r="A1063" s="1">
        <v>43198</v>
      </c>
      <c r="B1063">
        <v>2.7</v>
      </c>
      <c r="C1063" s="1">
        <v>43198</v>
      </c>
      <c r="D1063">
        <v>2.4300000000000002</v>
      </c>
      <c r="E1063" s="1">
        <v>43126</v>
      </c>
      <c r="F1063">
        <v>1.5</v>
      </c>
    </row>
    <row r="1064" spans="1:6" x14ac:dyDescent="0.25">
      <c r="A1064" s="1">
        <v>43199</v>
      </c>
      <c r="B1064">
        <v>2.7</v>
      </c>
      <c r="C1064" s="1">
        <v>43199</v>
      </c>
      <c r="D1064">
        <v>2.5299999999999998</v>
      </c>
      <c r="E1064" s="1">
        <v>43129</v>
      </c>
      <c r="F1064">
        <v>1.5</v>
      </c>
    </row>
    <row r="1065" spans="1:6" x14ac:dyDescent="0.25">
      <c r="A1065" s="1">
        <v>43200</v>
      </c>
      <c r="B1065">
        <v>2.8</v>
      </c>
      <c r="C1065" s="1">
        <v>43200</v>
      </c>
      <c r="D1065">
        <v>2.56</v>
      </c>
      <c r="E1065" s="1">
        <v>43130</v>
      </c>
      <c r="F1065">
        <v>1.5</v>
      </c>
    </row>
    <row r="1066" spans="1:6" x14ac:dyDescent="0.25">
      <c r="A1066" s="1">
        <v>43201</v>
      </c>
      <c r="B1066">
        <v>2.8</v>
      </c>
      <c r="C1066" s="1">
        <v>43201</v>
      </c>
      <c r="D1066">
        <v>2.58</v>
      </c>
      <c r="E1066" s="1">
        <v>43131</v>
      </c>
      <c r="F1066">
        <v>1.5</v>
      </c>
    </row>
    <row r="1067" spans="1:6" x14ac:dyDescent="0.25">
      <c r="A1067" s="1">
        <v>43202</v>
      </c>
      <c r="B1067">
        <v>2.8</v>
      </c>
      <c r="C1067" s="1">
        <v>43202</v>
      </c>
      <c r="D1067">
        <v>2.56</v>
      </c>
      <c r="E1067" s="1">
        <v>43132</v>
      </c>
      <c r="F1067">
        <v>1.5</v>
      </c>
    </row>
    <row r="1068" spans="1:6" x14ac:dyDescent="0.25">
      <c r="A1068" s="1">
        <v>43203</v>
      </c>
      <c r="B1068">
        <v>2.8</v>
      </c>
      <c r="C1068" s="1">
        <v>43203</v>
      </c>
      <c r="D1068">
        <v>2.56</v>
      </c>
      <c r="E1068" s="1">
        <v>43133</v>
      </c>
      <c r="F1068">
        <v>1.5</v>
      </c>
    </row>
    <row r="1069" spans="1:6" x14ac:dyDescent="0.25">
      <c r="A1069" s="1">
        <v>43206</v>
      </c>
      <c r="B1069">
        <v>2.85</v>
      </c>
      <c r="C1069" s="1">
        <v>43206</v>
      </c>
      <c r="D1069">
        <v>2.58</v>
      </c>
      <c r="E1069" s="1">
        <v>43136</v>
      </c>
      <c r="F1069">
        <v>1.5</v>
      </c>
    </row>
    <row r="1070" spans="1:6" x14ac:dyDescent="0.25">
      <c r="A1070" s="1">
        <v>43207</v>
      </c>
      <c r="B1070">
        <v>3.3</v>
      </c>
      <c r="C1070" s="1">
        <v>43207</v>
      </c>
      <c r="D1070">
        <v>2.7</v>
      </c>
      <c r="E1070" s="1">
        <v>43137</v>
      </c>
      <c r="F1070">
        <v>1.5</v>
      </c>
    </row>
    <row r="1071" spans="1:6" x14ac:dyDescent="0.25">
      <c r="A1071" s="1">
        <v>43208</v>
      </c>
      <c r="B1071">
        <v>3.5</v>
      </c>
      <c r="C1071" s="1">
        <v>43208</v>
      </c>
      <c r="D1071">
        <v>2.69</v>
      </c>
      <c r="E1071" s="1">
        <v>43138</v>
      </c>
      <c r="F1071">
        <v>1.5</v>
      </c>
    </row>
    <row r="1072" spans="1:6" x14ac:dyDescent="0.25">
      <c r="A1072" s="1">
        <v>43209</v>
      </c>
      <c r="B1072">
        <v>3.5</v>
      </c>
      <c r="C1072" s="1">
        <v>43209</v>
      </c>
      <c r="D1072">
        <v>2.8</v>
      </c>
      <c r="E1072" s="1">
        <v>43139</v>
      </c>
      <c r="F1072">
        <v>1.5</v>
      </c>
    </row>
    <row r="1073" spans="1:6" x14ac:dyDescent="0.25">
      <c r="A1073" s="1">
        <v>43210</v>
      </c>
      <c r="B1073">
        <v>3.54</v>
      </c>
      <c r="C1073" s="1">
        <v>43210</v>
      </c>
      <c r="D1073">
        <v>2.9</v>
      </c>
      <c r="E1073" s="1">
        <v>43140</v>
      </c>
      <c r="F1073">
        <v>1.5</v>
      </c>
    </row>
    <row r="1074" spans="1:6" x14ac:dyDescent="0.25">
      <c r="A1074" s="1">
        <v>43213</v>
      </c>
      <c r="B1074">
        <v>2.87</v>
      </c>
      <c r="C1074" s="1">
        <v>43213</v>
      </c>
      <c r="D1074">
        <v>2.8</v>
      </c>
      <c r="E1074" s="1">
        <v>43143</v>
      </c>
      <c r="F1074">
        <v>1.5</v>
      </c>
    </row>
    <row r="1075" spans="1:6" x14ac:dyDescent="0.25">
      <c r="A1075" s="1">
        <v>43214</v>
      </c>
      <c r="B1075">
        <v>3.54</v>
      </c>
      <c r="C1075" s="1">
        <v>43214</v>
      </c>
      <c r="D1075">
        <v>2.85</v>
      </c>
      <c r="E1075" s="1">
        <v>43144</v>
      </c>
      <c r="F1075">
        <v>1.5</v>
      </c>
    </row>
    <row r="1076" spans="1:6" x14ac:dyDescent="0.25">
      <c r="A1076" s="1">
        <v>43215</v>
      </c>
      <c r="B1076">
        <v>3.54</v>
      </c>
      <c r="C1076" s="1">
        <v>43215</v>
      </c>
      <c r="D1076">
        <v>2.76</v>
      </c>
      <c r="E1076" s="1">
        <v>43145</v>
      </c>
      <c r="F1076">
        <v>1.5</v>
      </c>
    </row>
    <row r="1077" spans="1:6" x14ac:dyDescent="0.25">
      <c r="A1077" s="1">
        <v>43216</v>
      </c>
      <c r="B1077">
        <v>3.5</v>
      </c>
      <c r="C1077" s="1">
        <v>43216</v>
      </c>
      <c r="D1077">
        <v>2.8</v>
      </c>
      <c r="E1077" s="1">
        <v>43146</v>
      </c>
      <c r="F1077">
        <v>1.5</v>
      </c>
    </row>
    <row r="1078" spans="1:6" x14ac:dyDescent="0.25">
      <c r="A1078" s="1">
        <v>43217</v>
      </c>
      <c r="B1078">
        <v>3.54</v>
      </c>
      <c r="C1078" s="1">
        <v>43217</v>
      </c>
      <c r="D1078">
        <v>2.92</v>
      </c>
      <c r="E1078" s="1">
        <v>43147</v>
      </c>
      <c r="F1078">
        <v>1.5</v>
      </c>
    </row>
    <row r="1079" spans="1:6" x14ac:dyDescent="0.25">
      <c r="A1079" s="1">
        <v>43218</v>
      </c>
      <c r="B1079">
        <v>3</v>
      </c>
      <c r="C1079" s="1">
        <v>43218</v>
      </c>
      <c r="D1079">
        <v>2.8</v>
      </c>
      <c r="E1079" s="1">
        <v>43150</v>
      </c>
      <c r="F1079">
        <v>1.5</v>
      </c>
    </row>
    <row r="1080" spans="1:6" x14ac:dyDescent="0.25">
      <c r="A1080" s="1">
        <v>43222</v>
      </c>
      <c r="B1080">
        <v>3.3</v>
      </c>
      <c r="C1080" s="1">
        <v>43222</v>
      </c>
      <c r="D1080">
        <v>2.72</v>
      </c>
      <c r="E1080" s="1">
        <v>43151</v>
      </c>
      <c r="F1080">
        <v>1.5</v>
      </c>
    </row>
    <row r="1081" spans="1:6" x14ac:dyDescent="0.25">
      <c r="A1081" s="1">
        <v>43223</v>
      </c>
      <c r="B1081">
        <v>3.1</v>
      </c>
      <c r="C1081" s="1">
        <v>43223</v>
      </c>
      <c r="D1081">
        <v>2.66</v>
      </c>
      <c r="E1081" s="1">
        <v>43152</v>
      </c>
      <c r="F1081">
        <v>1.5</v>
      </c>
    </row>
    <row r="1082" spans="1:6" x14ac:dyDescent="0.25">
      <c r="A1082" s="1">
        <v>43224</v>
      </c>
      <c r="B1082">
        <v>2.8</v>
      </c>
      <c r="C1082" s="1">
        <v>43224</v>
      </c>
      <c r="D1082">
        <v>2.57</v>
      </c>
      <c r="E1082" s="1">
        <v>43153</v>
      </c>
      <c r="F1082">
        <v>1.5</v>
      </c>
    </row>
    <row r="1083" spans="1:6" x14ac:dyDescent="0.25">
      <c r="A1083" s="1">
        <v>43227</v>
      </c>
      <c r="B1083">
        <v>2.71</v>
      </c>
      <c r="C1083" s="1">
        <v>43227</v>
      </c>
      <c r="D1083">
        <v>2.58</v>
      </c>
      <c r="E1083" s="1">
        <v>43154</v>
      </c>
      <c r="F1083">
        <v>1.5</v>
      </c>
    </row>
    <row r="1084" spans="1:6" x14ac:dyDescent="0.25">
      <c r="A1084" s="1">
        <v>43228</v>
      </c>
      <c r="B1084">
        <v>2.7</v>
      </c>
      <c r="C1084" s="1">
        <v>43228</v>
      </c>
      <c r="D1084">
        <v>2.58</v>
      </c>
      <c r="E1084" s="1">
        <v>43157</v>
      </c>
      <c r="F1084">
        <v>1.5</v>
      </c>
    </row>
    <row r="1085" spans="1:6" x14ac:dyDescent="0.25">
      <c r="A1085" s="1">
        <v>43229</v>
      </c>
      <c r="B1085">
        <v>2.7</v>
      </c>
      <c r="C1085" s="1">
        <v>43229</v>
      </c>
      <c r="D1085">
        <v>2.5</v>
      </c>
      <c r="E1085" s="1">
        <v>43158</v>
      </c>
      <c r="F1085">
        <v>1.5</v>
      </c>
    </row>
    <row r="1086" spans="1:6" x14ac:dyDescent="0.25">
      <c r="A1086" s="1">
        <v>43230</v>
      </c>
      <c r="B1086">
        <v>2.7</v>
      </c>
      <c r="C1086" s="1">
        <v>43230</v>
      </c>
      <c r="D1086">
        <v>2.5</v>
      </c>
      <c r="E1086" s="1">
        <v>43159</v>
      </c>
      <c r="F1086">
        <v>1.5</v>
      </c>
    </row>
    <row r="1087" spans="1:6" x14ac:dyDescent="0.25">
      <c r="A1087" s="1">
        <v>43231</v>
      </c>
      <c r="B1087">
        <v>2.72</v>
      </c>
      <c r="C1087" s="1">
        <v>43231</v>
      </c>
      <c r="D1087">
        <v>2.4700000000000002</v>
      </c>
      <c r="E1087" s="1">
        <v>43160</v>
      </c>
      <c r="F1087">
        <v>1.5</v>
      </c>
    </row>
    <row r="1088" spans="1:6" x14ac:dyDescent="0.25">
      <c r="A1088" s="1">
        <v>43234</v>
      </c>
      <c r="B1088">
        <v>2.8</v>
      </c>
      <c r="C1088" s="1">
        <v>43234</v>
      </c>
      <c r="D1088">
        <v>2.57</v>
      </c>
      <c r="E1088" s="1">
        <v>43161</v>
      </c>
      <c r="F1088">
        <v>1.5</v>
      </c>
    </row>
    <row r="1089" spans="1:6" x14ac:dyDescent="0.25">
      <c r="A1089" s="1">
        <v>43235</v>
      </c>
      <c r="B1089">
        <v>3</v>
      </c>
      <c r="C1089" s="1">
        <v>43235</v>
      </c>
      <c r="D1089">
        <v>2.65</v>
      </c>
      <c r="E1089" s="1">
        <v>43164</v>
      </c>
      <c r="F1089">
        <v>1.5</v>
      </c>
    </row>
    <row r="1090" spans="1:6" x14ac:dyDescent="0.25">
      <c r="A1090" s="1">
        <v>43236</v>
      </c>
      <c r="B1090">
        <v>3.54</v>
      </c>
      <c r="C1090" s="1">
        <v>43236</v>
      </c>
      <c r="D1090">
        <v>2.78</v>
      </c>
      <c r="E1090" s="1">
        <v>43165</v>
      </c>
      <c r="F1090">
        <v>1.5</v>
      </c>
    </row>
    <row r="1091" spans="1:6" x14ac:dyDescent="0.25">
      <c r="A1091" s="1">
        <v>43237</v>
      </c>
      <c r="B1091">
        <v>2.86</v>
      </c>
      <c r="C1091" s="1">
        <v>43237</v>
      </c>
      <c r="D1091">
        <v>2.58</v>
      </c>
      <c r="E1091" s="1">
        <v>43166</v>
      </c>
      <c r="F1091">
        <v>1.5</v>
      </c>
    </row>
    <row r="1092" spans="1:6" x14ac:dyDescent="0.25">
      <c r="A1092" s="1">
        <v>43238</v>
      </c>
      <c r="B1092">
        <v>2.72</v>
      </c>
      <c r="C1092" s="1">
        <v>43238</v>
      </c>
      <c r="D1092">
        <v>2.5499999999999998</v>
      </c>
      <c r="E1092" s="1">
        <v>43167</v>
      </c>
      <c r="F1092">
        <v>1.5</v>
      </c>
    </row>
    <row r="1093" spans="1:6" x14ac:dyDescent="0.25">
      <c r="A1093" s="1">
        <v>43241</v>
      </c>
      <c r="B1093">
        <v>2.71</v>
      </c>
      <c r="C1093" s="1">
        <v>43241</v>
      </c>
      <c r="D1093">
        <v>2.52</v>
      </c>
      <c r="E1093" s="1">
        <v>43168</v>
      </c>
      <c r="F1093">
        <v>1.5</v>
      </c>
    </row>
    <row r="1094" spans="1:6" x14ac:dyDescent="0.25">
      <c r="A1094" s="1">
        <v>43242</v>
      </c>
      <c r="B1094">
        <v>2.73</v>
      </c>
      <c r="C1094" s="1">
        <v>43242</v>
      </c>
      <c r="D1094">
        <v>2.5299999999999998</v>
      </c>
      <c r="E1094" s="1">
        <v>43171</v>
      </c>
      <c r="F1094">
        <v>1.5</v>
      </c>
    </row>
    <row r="1095" spans="1:6" x14ac:dyDescent="0.25">
      <c r="A1095" s="1">
        <v>43243</v>
      </c>
      <c r="B1095">
        <v>2.8</v>
      </c>
      <c r="C1095" s="1">
        <v>43243</v>
      </c>
      <c r="D1095">
        <v>2.5299999999999998</v>
      </c>
      <c r="E1095" s="1">
        <v>43172</v>
      </c>
      <c r="F1095">
        <v>1.5</v>
      </c>
    </row>
    <row r="1096" spans="1:6" x14ac:dyDescent="0.25">
      <c r="A1096" s="1">
        <v>43244</v>
      </c>
      <c r="B1096">
        <v>2.75</v>
      </c>
      <c r="C1096" s="1">
        <v>43244</v>
      </c>
      <c r="D1096">
        <v>2.5299999999999998</v>
      </c>
      <c r="E1096" s="1">
        <v>43173</v>
      </c>
      <c r="F1096">
        <v>1.5</v>
      </c>
    </row>
    <row r="1097" spans="1:6" x14ac:dyDescent="0.25">
      <c r="A1097" s="1">
        <v>43245</v>
      </c>
      <c r="B1097">
        <v>3</v>
      </c>
      <c r="C1097" s="1">
        <v>43245</v>
      </c>
      <c r="D1097">
        <v>2.52</v>
      </c>
      <c r="E1097" s="1">
        <v>43174</v>
      </c>
      <c r="F1097">
        <v>1.5</v>
      </c>
    </row>
    <row r="1098" spans="1:6" x14ac:dyDescent="0.25">
      <c r="A1098" s="1">
        <v>43248</v>
      </c>
      <c r="B1098">
        <v>2.85</v>
      </c>
      <c r="C1098" s="1">
        <v>43248</v>
      </c>
      <c r="D1098">
        <v>2.5299999999999998</v>
      </c>
      <c r="E1098" s="1">
        <v>43175</v>
      </c>
      <c r="F1098">
        <v>1.5</v>
      </c>
    </row>
    <row r="1099" spans="1:6" x14ac:dyDescent="0.25">
      <c r="A1099" s="1">
        <v>43249</v>
      </c>
      <c r="B1099">
        <v>3.4</v>
      </c>
      <c r="C1099" s="1">
        <v>43249</v>
      </c>
      <c r="D1099">
        <v>2.76</v>
      </c>
      <c r="E1099" s="1">
        <v>43178</v>
      </c>
      <c r="F1099">
        <v>1.5</v>
      </c>
    </row>
    <row r="1100" spans="1:6" x14ac:dyDescent="0.25">
      <c r="A1100" s="1">
        <v>43250</v>
      </c>
      <c r="B1100">
        <v>4</v>
      </c>
      <c r="C1100" s="1">
        <v>43250</v>
      </c>
      <c r="D1100">
        <v>2.92</v>
      </c>
      <c r="E1100" s="1">
        <v>43179</v>
      </c>
      <c r="F1100">
        <v>1.5</v>
      </c>
    </row>
    <row r="1101" spans="1:6" x14ac:dyDescent="0.25">
      <c r="A1101" s="1">
        <v>43251</v>
      </c>
      <c r="B1101">
        <v>3.54</v>
      </c>
      <c r="C1101" s="1">
        <v>43251</v>
      </c>
      <c r="D1101">
        <v>2.83</v>
      </c>
      <c r="E1101" s="1">
        <v>43180</v>
      </c>
      <c r="F1101">
        <v>1.75</v>
      </c>
    </row>
    <row r="1102" spans="1:6" x14ac:dyDescent="0.25">
      <c r="A1102" s="1">
        <v>43252</v>
      </c>
      <c r="B1102">
        <v>3.2</v>
      </c>
      <c r="C1102" s="1">
        <v>43252</v>
      </c>
      <c r="D1102">
        <v>2.82</v>
      </c>
      <c r="E1102" s="1">
        <v>43181</v>
      </c>
      <c r="F1102">
        <v>1.75</v>
      </c>
    </row>
    <row r="1103" spans="1:6" x14ac:dyDescent="0.25">
      <c r="A1103" s="1">
        <v>43255</v>
      </c>
      <c r="B1103">
        <v>2.9</v>
      </c>
      <c r="C1103" s="1">
        <v>43255</v>
      </c>
      <c r="D1103">
        <v>2.59</v>
      </c>
      <c r="E1103" s="1">
        <v>43182</v>
      </c>
      <c r="F1103">
        <v>1.75</v>
      </c>
    </row>
    <row r="1104" spans="1:6" x14ac:dyDescent="0.25">
      <c r="A1104" s="1">
        <v>43256</v>
      </c>
      <c r="B1104">
        <v>2.9</v>
      </c>
      <c r="C1104" s="1">
        <v>43256</v>
      </c>
      <c r="D1104">
        <v>2.57</v>
      </c>
      <c r="E1104" s="1">
        <v>43185</v>
      </c>
      <c r="F1104">
        <v>1.75</v>
      </c>
    </row>
    <row r="1105" spans="1:6" x14ac:dyDescent="0.25">
      <c r="A1105" s="1">
        <v>43257</v>
      </c>
      <c r="B1105">
        <v>2.9</v>
      </c>
      <c r="C1105" s="1">
        <v>43257</v>
      </c>
      <c r="D1105">
        <v>2.5499999999999998</v>
      </c>
      <c r="E1105" s="1">
        <v>43186</v>
      </c>
      <c r="F1105">
        <v>1.75</v>
      </c>
    </row>
    <row r="1106" spans="1:6" x14ac:dyDescent="0.25">
      <c r="A1106" s="1">
        <v>43258</v>
      </c>
      <c r="B1106">
        <v>2.9</v>
      </c>
      <c r="C1106" s="1">
        <v>43258</v>
      </c>
      <c r="D1106">
        <v>2.5499999999999998</v>
      </c>
      <c r="E1106" s="1">
        <v>43187</v>
      </c>
      <c r="F1106">
        <v>1.75</v>
      </c>
    </row>
    <row r="1107" spans="1:6" x14ac:dyDescent="0.25">
      <c r="A1107" s="1">
        <v>43259</v>
      </c>
      <c r="B1107">
        <v>2.85</v>
      </c>
      <c r="C1107" s="1">
        <v>43259</v>
      </c>
      <c r="D1107">
        <v>2.57</v>
      </c>
      <c r="E1107" s="1">
        <v>43188</v>
      </c>
      <c r="F1107">
        <v>1.75</v>
      </c>
    </row>
    <row r="1108" spans="1:6" x14ac:dyDescent="0.25">
      <c r="A1108" s="1">
        <v>43262</v>
      </c>
      <c r="B1108">
        <v>2.78</v>
      </c>
      <c r="C1108" s="1">
        <v>43262</v>
      </c>
      <c r="D1108">
        <v>2.57</v>
      </c>
      <c r="E1108" s="1">
        <v>43189</v>
      </c>
      <c r="F1108">
        <v>1.75</v>
      </c>
    </row>
    <row r="1109" spans="1:6" x14ac:dyDescent="0.25">
      <c r="A1109" s="1">
        <v>43263</v>
      </c>
      <c r="B1109">
        <v>3</v>
      </c>
      <c r="C1109" s="1">
        <v>43263</v>
      </c>
      <c r="D1109">
        <v>2.6</v>
      </c>
      <c r="E1109" s="1">
        <v>43192</v>
      </c>
      <c r="F1109">
        <v>1.75</v>
      </c>
    </row>
    <row r="1110" spans="1:6" x14ac:dyDescent="0.25">
      <c r="A1110" s="1">
        <v>43264</v>
      </c>
      <c r="B1110">
        <v>3</v>
      </c>
      <c r="C1110" s="1">
        <v>43264</v>
      </c>
      <c r="D1110">
        <v>2.6</v>
      </c>
      <c r="E1110" s="1">
        <v>43193</v>
      </c>
      <c r="F1110">
        <v>1.75</v>
      </c>
    </row>
    <row r="1111" spans="1:6" x14ac:dyDescent="0.25">
      <c r="A1111" s="1">
        <v>43265</v>
      </c>
      <c r="B1111">
        <v>3.2</v>
      </c>
      <c r="C1111" s="1">
        <v>43265</v>
      </c>
      <c r="D1111">
        <v>2.6</v>
      </c>
      <c r="E1111" s="1">
        <v>43194</v>
      </c>
      <c r="F1111">
        <v>1.75</v>
      </c>
    </row>
    <row r="1112" spans="1:6" x14ac:dyDescent="0.25">
      <c r="A1112" s="1">
        <v>43266</v>
      </c>
      <c r="B1112">
        <v>3</v>
      </c>
      <c r="C1112" s="1">
        <v>43266</v>
      </c>
      <c r="D1112">
        <v>2.58</v>
      </c>
      <c r="E1112" s="1">
        <v>43195</v>
      </c>
      <c r="F1112">
        <v>1.75</v>
      </c>
    </row>
    <row r="1113" spans="1:6" x14ac:dyDescent="0.25">
      <c r="A1113" s="1">
        <v>43270</v>
      </c>
      <c r="B1113">
        <v>3</v>
      </c>
      <c r="C1113" s="1">
        <v>43270</v>
      </c>
      <c r="D1113">
        <v>2.58</v>
      </c>
      <c r="E1113" s="1">
        <v>43196</v>
      </c>
      <c r="F1113">
        <v>1.75</v>
      </c>
    </row>
    <row r="1114" spans="1:6" x14ac:dyDescent="0.25">
      <c r="A1114" s="1">
        <v>43271</v>
      </c>
      <c r="B1114">
        <v>3.04</v>
      </c>
      <c r="C1114" s="1">
        <v>43271</v>
      </c>
      <c r="D1114">
        <v>2.62</v>
      </c>
      <c r="E1114" s="1">
        <v>43199</v>
      </c>
      <c r="F1114">
        <v>1.75</v>
      </c>
    </row>
    <row r="1115" spans="1:6" x14ac:dyDescent="0.25">
      <c r="A1115" s="1">
        <v>43272</v>
      </c>
      <c r="B1115">
        <v>3</v>
      </c>
      <c r="C1115" s="1">
        <v>43272</v>
      </c>
      <c r="D1115">
        <v>2.58</v>
      </c>
      <c r="E1115" s="1">
        <v>43200</v>
      </c>
      <c r="F1115">
        <v>1.75</v>
      </c>
    </row>
    <row r="1116" spans="1:6" x14ac:dyDescent="0.25">
      <c r="A1116" s="1">
        <v>43273</v>
      </c>
      <c r="B1116">
        <v>2.8</v>
      </c>
      <c r="C1116" s="1">
        <v>43273</v>
      </c>
      <c r="D1116">
        <v>2.58</v>
      </c>
      <c r="E1116" s="1">
        <v>43201</v>
      </c>
      <c r="F1116">
        <v>1.75</v>
      </c>
    </row>
    <row r="1117" spans="1:6" x14ac:dyDescent="0.25">
      <c r="A1117" s="1">
        <v>43276</v>
      </c>
      <c r="B1117">
        <v>2.8</v>
      </c>
      <c r="C1117" s="1">
        <v>43276</v>
      </c>
      <c r="D1117">
        <v>2.5499999999999998</v>
      </c>
      <c r="E1117" s="1">
        <v>43202</v>
      </c>
      <c r="F1117">
        <v>1.75</v>
      </c>
    </row>
    <row r="1118" spans="1:6" x14ac:dyDescent="0.25">
      <c r="A1118" s="1">
        <v>43277</v>
      </c>
      <c r="B1118">
        <v>2.8</v>
      </c>
      <c r="C1118" s="1">
        <v>43277</v>
      </c>
      <c r="D1118">
        <v>2.52</v>
      </c>
      <c r="E1118" s="1">
        <v>43203</v>
      </c>
      <c r="F1118">
        <v>1.75</v>
      </c>
    </row>
    <row r="1119" spans="1:6" x14ac:dyDescent="0.25">
      <c r="A1119" s="1">
        <v>43278</v>
      </c>
      <c r="B1119">
        <v>3.1</v>
      </c>
      <c r="C1119" s="1">
        <v>43278</v>
      </c>
      <c r="D1119">
        <v>2.42</v>
      </c>
      <c r="E1119" s="1">
        <v>43206</v>
      </c>
      <c r="F1119">
        <v>1.75</v>
      </c>
    </row>
    <row r="1120" spans="1:6" x14ac:dyDescent="0.25">
      <c r="A1120" s="1">
        <v>43279</v>
      </c>
      <c r="B1120">
        <v>3.87</v>
      </c>
      <c r="C1120" s="1">
        <v>43279</v>
      </c>
      <c r="D1120">
        <v>2.27</v>
      </c>
      <c r="E1120" s="1">
        <v>43207</v>
      </c>
      <c r="F1120">
        <v>1.75</v>
      </c>
    </row>
    <row r="1121" spans="1:6" x14ac:dyDescent="0.25">
      <c r="A1121" s="1">
        <v>43280</v>
      </c>
      <c r="B1121">
        <v>3.4</v>
      </c>
      <c r="C1121" s="1">
        <v>43280</v>
      </c>
      <c r="D1121">
        <v>2.8</v>
      </c>
      <c r="E1121" s="1">
        <v>43208</v>
      </c>
      <c r="F1121">
        <v>1.75</v>
      </c>
    </row>
    <row r="1122" spans="1:6" x14ac:dyDescent="0.25">
      <c r="A1122" s="1">
        <v>43283</v>
      </c>
      <c r="B1122">
        <v>2.8</v>
      </c>
      <c r="C1122" s="1">
        <v>43283</v>
      </c>
      <c r="D1122">
        <v>2.52</v>
      </c>
      <c r="E1122" s="1">
        <v>43209</v>
      </c>
      <c r="F1122">
        <v>1.75</v>
      </c>
    </row>
    <row r="1123" spans="1:6" x14ac:dyDescent="0.25">
      <c r="A1123" s="1">
        <v>43284</v>
      </c>
      <c r="B1123">
        <v>2.7</v>
      </c>
      <c r="C1123" s="1">
        <v>43284</v>
      </c>
      <c r="D1123">
        <v>2.41</v>
      </c>
      <c r="E1123" s="1">
        <v>43210</v>
      </c>
      <c r="F1123">
        <v>1.75</v>
      </c>
    </row>
    <row r="1124" spans="1:6" x14ac:dyDescent="0.25">
      <c r="A1124" s="1">
        <v>43285</v>
      </c>
      <c r="B1124">
        <v>2.61</v>
      </c>
      <c r="C1124" s="1">
        <v>43285</v>
      </c>
      <c r="D1124">
        <v>2.2000000000000002</v>
      </c>
      <c r="E1124" s="1">
        <v>43213</v>
      </c>
      <c r="F1124">
        <v>1.75</v>
      </c>
    </row>
    <row r="1125" spans="1:6" x14ac:dyDescent="0.25">
      <c r="A1125" s="1">
        <v>43286</v>
      </c>
      <c r="B1125">
        <v>2.5499999999999998</v>
      </c>
      <c r="C1125" s="1">
        <v>43286</v>
      </c>
      <c r="D1125">
        <v>2.13</v>
      </c>
      <c r="E1125" s="1">
        <v>43214</v>
      </c>
      <c r="F1125">
        <v>1.75</v>
      </c>
    </row>
    <row r="1126" spans="1:6" x14ac:dyDescent="0.25">
      <c r="A1126" s="1">
        <v>43287</v>
      </c>
      <c r="B1126">
        <v>2.5</v>
      </c>
      <c r="C1126" s="1">
        <v>43287</v>
      </c>
      <c r="D1126">
        <v>1.95</v>
      </c>
      <c r="E1126" s="1">
        <v>43215</v>
      </c>
      <c r="F1126">
        <v>1.75</v>
      </c>
    </row>
    <row r="1127" spans="1:6" x14ac:dyDescent="0.25">
      <c r="A1127" s="1">
        <v>43290</v>
      </c>
      <c r="B1127">
        <v>2.6</v>
      </c>
      <c r="C1127" s="1">
        <v>43290</v>
      </c>
      <c r="D1127">
        <v>2</v>
      </c>
      <c r="E1127" s="1">
        <v>43216</v>
      </c>
      <c r="F1127">
        <v>1.75</v>
      </c>
    </row>
    <row r="1128" spans="1:6" x14ac:dyDescent="0.25">
      <c r="A1128" s="1">
        <v>43291</v>
      </c>
      <c r="B1128">
        <v>2.65</v>
      </c>
      <c r="C1128" s="1">
        <v>43291</v>
      </c>
      <c r="D1128">
        <v>2.2999999999999998</v>
      </c>
      <c r="E1128" s="1">
        <v>43217</v>
      </c>
      <c r="F1128">
        <v>1.75</v>
      </c>
    </row>
    <row r="1129" spans="1:6" x14ac:dyDescent="0.25">
      <c r="A1129" s="1">
        <v>43292</v>
      </c>
      <c r="B1129">
        <v>2.65</v>
      </c>
      <c r="C1129" s="1">
        <v>43292</v>
      </c>
      <c r="D1129">
        <v>2.4</v>
      </c>
      <c r="E1129" s="1">
        <v>43220</v>
      </c>
      <c r="F1129">
        <v>1.75</v>
      </c>
    </row>
    <row r="1130" spans="1:6" x14ac:dyDescent="0.25">
      <c r="A1130" s="1">
        <v>43293</v>
      </c>
      <c r="B1130">
        <v>2.64</v>
      </c>
      <c r="C1130" s="1">
        <v>43293</v>
      </c>
      <c r="D1130">
        <v>2.48</v>
      </c>
      <c r="E1130" s="1">
        <v>43221</v>
      </c>
      <c r="F1130">
        <v>1.75</v>
      </c>
    </row>
    <row r="1131" spans="1:6" x14ac:dyDescent="0.25">
      <c r="A1131" s="1">
        <v>43294</v>
      </c>
      <c r="B1131">
        <v>2.65</v>
      </c>
      <c r="C1131" s="1">
        <v>43294</v>
      </c>
      <c r="D1131">
        <v>2.4700000000000002</v>
      </c>
      <c r="E1131" s="1">
        <v>43222</v>
      </c>
      <c r="F1131">
        <v>1.75</v>
      </c>
    </row>
    <row r="1132" spans="1:6" x14ac:dyDescent="0.25">
      <c r="A1132" s="1">
        <v>43297</v>
      </c>
      <c r="B1132">
        <v>2.7</v>
      </c>
      <c r="C1132" s="1">
        <v>43297</v>
      </c>
      <c r="D1132">
        <v>2.5499999999999998</v>
      </c>
      <c r="E1132" s="1">
        <v>43223</v>
      </c>
      <c r="F1132">
        <v>1.75</v>
      </c>
    </row>
    <row r="1133" spans="1:6" x14ac:dyDescent="0.25">
      <c r="A1133" s="1">
        <v>43298</v>
      </c>
      <c r="B1133">
        <v>2.85</v>
      </c>
      <c r="C1133" s="1">
        <v>43298</v>
      </c>
      <c r="D1133">
        <v>2.6</v>
      </c>
      <c r="E1133" s="1">
        <v>43224</v>
      </c>
      <c r="F1133">
        <v>1.75</v>
      </c>
    </row>
    <row r="1134" spans="1:6" x14ac:dyDescent="0.25">
      <c r="A1134" s="1">
        <v>43299</v>
      </c>
      <c r="B1134">
        <v>2.75</v>
      </c>
      <c r="C1134" s="1">
        <v>43299</v>
      </c>
      <c r="D1134">
        <v>2.52</v>
      </c>
      <c r="E1134" s="1">
        <v>43227</v>
      </c>
      <c r="F1134">
        <v>1.75</v>
      </c>
    </row>
    <row r="1135" spans="1:6" x14ac:dyDescent="0.25">
      <c r="A1135" s="1">
        <v>43300</v>
      </c>
      <c r="B1135">
        <v>2.66</v>
      </c>
      <c r="C1135" s="1">
        <v>43300</v>
      </c>
      <c r="D1135">
        <v>2.41</v>
      </c>
      <c r="E1135" s="1">
        <v>43228</v>
      </c>
      <c r="F1135">
        <v>1.75</v>
      </c>
    </row>
    <row r="1136" spans="1:6" x14ac:dyDescent="0.25">
      <c r="A1136" s="1">
        <v>43301</v>
      </c>
      <c r="B1136">
        <v>2.65</v>
      </c>
      <c r="C1136" s="1">
        <v>43301</v>
      </c>
      <c r="D1136">
        <v>2.34</v>
      </c>
      <c r="E1136" s="1">
        <v>43229</v>
      </c>
      <c r="F1136">
        <v>1.75</v>
      </c>
    </row>
    <row r="1137" spans="1:6" x14ac:dyDescent="0.25">
      <c r="A1137" s="1">
        <v>43304</v>
      </c>
      <c r="B1137">
        <v>2.65</v>
      </c>
      <c r="C1137" s="1">
        <v>43304</v>
      </c>
      <c r="D1137">
        <v>2.37</v>
      </c>
      <c r="E1137" s="1">
        <v>43230</v>
      </c>
      <c r="F1137">
        <v>1.75</v>
      </c>
    </row>
    <row r="1138" spans="1:6" x14ac:dyDescent="0.25">
      <c r="A1138" s="1">
        <v>43305</v>
      </c>
      <c r="B1138">
        <v>2.64</v>
      </c>
      <c r="C1138" s="1">
        <v>43305</v>
      </c>
      <c r="D1138">
        <v>2.36</v>
      </c>
      <c r="E1138" s="1">
        <v>43231</v>
      </c>
      <c r="F1138">
        <v>1.75</v>
      </c>
    </row>
    <row r="1139" spans="1:6" x14ac:dyDescent="0.25">
      <c r="A1139" s="1">
        <v>43306</v>
      </c>
      <c r="B1139">
        <v>2.7</v>
      </c>
      <c r="C1139" s="1">
        <v>43306</v>
      </c>
      <c r="D1139">
        <v>2.35</v>
      </c>
      <c r="E1139" s="1">
        <v>43234</v>
      </c>
      <c r="F1139">
        <v>1.75</v>
      </c>
    </row>
    <row r="1140" spans="1:6" x14ac:dyDescent="0.25">
      <c r="A1140" s="1">
        <v>43307</v>
      </c>
      <c r="B1140">
        <v>2.75</v>
      </c>
      <c r="C1140" s="1">
        <v>43307</v>
      </c>
      <c r="D1140">
        <v>2.33</v>
      </c>
      <c r="E1140" s="1">
        <v>43235</v>
      </c>
      <c r="F1140">
        <v>1.75</v>
      </c>
    </row>
    <row r="1141" spans="1:6" x14ac:dyDescent="0.25">
      <c r="A1141" s="1">
        <v>43308</v>
      </c>
      <c r="B1141">
        <v>2.8</v>
      </c>
      <c r="C1141" s="1">
        <v>43308</v>
      </c>
      <c r="D1141">
        <v>2.29</v>
      </c>
      <c r="E1141" s="1">
        <v>43236</v>
      </c>
      <c r="F1141">
        <v>1.75</v>
      </c>
    </row>
    <row r="1142" spans="1:6" x14ac:dyDescent="0.25">
      <c r="A1142" s="1">
        <v>43311</v>
      </c>
      <c r="B1142">
        <v>2.7</v>
      </c>
      <c r="C1142" s="1">
        <v>43311</v>
      </c>
      <c r="D1142">
        <v>2.2000000000000002</v>
      </c>
      <c r="E1142" s="1">
        <v>43237</v>
      </c>
      <c r="F1142">
        <v>1.75</v>
      </c>
    </row>
    <row r="1143" spans="1:6" x14ac:dyDescent="0.25">
      <c r="A1143" s="1">
        <v>43312</v>
      </c>
      <c r="B1143">
        <v>2.67</v>
      </c>
      <c r="C1143" s="1">
        <v>43312</v>
      </c>
      <c r="D1143">
        <v>2.08</v>
      </c>
      <c r="E1143" s="1">
        <v>43238</v>
      </c>
      <c r="F1143">
        <v>1.75</v>
      </c>
    </row>
    <row r="1144" spans="1:6" x14ac:dyDescent="0.25">
      <c r="A1144" s="1">
        <v>43313</v>
      </c>
      <c r="B1144">
        <v>2.6</v>
      </c>
      <c r="C1144" s="1">
        <v>43313</v>
      </c>
      <c r="D1144">
        <v>2.0329999999999999</v>
      </c>
      <c r="E1144" s="1">
        <v>43241</v>
      </c>
      <c r="F1144">
        <v>1.75</v>
      </c>
    </row>
    <row r="1145" spans="1:6" x14ac:dyDescent="0.25">
      <c r="A1145" s="1">
        <v>43314</v>
      </c>
      <c r="B1145">
        <v>2.5</v>
      </c>
      <c r="C1145" s="1">
        <v>43314</v>
      </c>
      <c r="D1145">
        <v>1.99</v>
      </c>
      <c r="E1145" s="1">
        <v>43242</v>
      </c>
      <c r="F1145">
        <v>1.75</v>
      </c>
    </row>
    <row r="1146" spans="1:6" x14ac:dyDescent="0.25">
      <c r="A1146" s="1">
        <v>43315</v>
      </c>
      <c r="B1146">
        <v>2.4</v>
      </c>
      <c r="C1146" s="1">
        <v>43315</v>
      </c>
      <c r="D1146">
        <v>1.85</v>
      </c>
      <c r="E1146" s="1">
        <v>43243</v>
      </c>
      <c r="F1146">
        <v>1.75</v>
      </c>
    </row>
    <row r="1147" spans="1:6" x14ac:dyDescent="0.25">
      <c r="A1147" s="1">
        <v>43318</v>
      </c>
      <c r="B1147">
        <v>2.37</v>
      </c>
      <c r="C1147" s="1">
        <v>43318</v>
      </c>
      <c r="D1147">
        <v>1.83</v>
      </c>
      <c r="E1147" s="1">
        <v>43244</v>
      </c>
      <c r="F1147">
        <v>1.75</v>
      </c>
    </row>
    <row r="1148" spans="1:6" x14ac:dyDescent="0.25">
      <c r="A1148" s="1">
        <v>43319</v>
      </c>
      <c r="B1148">
        <v>2.2999999999999998</v>
      </c>
      <c r="C1148" s="1">
        <v>43319</v>
      </c>
      <c r="D1148">
        <v>1.62</v>
      </c>
      <c r="E1148" s="1">
        <v>43245</v>
      </c>
      <c r="F1148">
        <v>1.75</v>
      </c>
    </row>
    <row r="1149" spans="1:6" x14ac:dyDescent="0.25">
      <c r="A1149" s="1">
        <v>43320</v>
      </c>
      <c r="B1149">
        <v>2.2999999999999998</v>
      </c>
      <c r="C1149" s="1">
        <v>43320</v>
      </c>
      <c r="D1149">
        <v>1.43</v>
      </c>
      <c r="E1149" s="1">
        <v>43248</v>
      </c>
      <c r="F1149">
        <v>1.75</v>
      </c>
    </row>
    <row r="1150" spans="1:6" x14ac:dyDescent="0.25">
      <c r="A1150" s="1">
        <v>43321</v>
      </c>
      <c r="B1150">
        <v>2.2999999999999998</v>
      </c>
      <c r="C1150" s="1">
        <v>43321</v>
      </c>
      <c r="D1150">
        <v>1.63</v>
      </c>
      <c r="E1150" s="1">
        <v>43249</v>
      </c>
      <c r="F1150">
        <v>1.75</v>
      </c>
    </row>
    <row r="1151" spans="1:6" x14ac:dyDescent="0.25">
      <c r="A1151" s="1">
        <v>43322</v>
      </c>
      <c r="B1151">
        <v>2.29</v>
      </c>
      <c r="C1151" s="1">
        <v>43322</v>
      </c>
      <c r="D1151">
        <v>1.83</v>
      </c>
      <c r="E1151" s="1">
        <v>43250</v>
      </c>
      <c r="F1151">
        <v>1.75</v>
      </c>
    </row>
    <row r="1152" spans="1:6" x14ac:dyDescent="0.25">
      <c r="A1152" s="1">
        <v>43325</v>
      </c>
      <c r="B1152">
        <v>2.4</v>
      </c>
      <c r="C1152" s="1">
        <v>43325</v>
      </c>
      <c r="D1152">
        <v>2.12</v>
      </c>
      <c r="E1152" s="1">
        <v>43251</v>
      </c>
      <c r="F1152">
        <v>1.75</v>
      </c>
    </row>
    <row r="1153" spans="1:6" x14ac:dyDescent="0.25">
      <c r="A1153" s="1">
        <v>43326</v>
      </c>
      <c r="B1153">
        <v>2.59</v>
      </c>
      <c r="C1153" s="1">
        <v>43326</v>
      </c>
      <c r="D1153">
        <v>2.33</v>
      </c>
      <c r="E1153" s="1">
        <v>43252</v>
      </c>
      <c r="F1153">
        <v>1.75</v>
      </c>
    </row>
    <row r="1154" spans="1:6" x14ac:dyDescent="0.25">
      <c r="A1154" s="1">
        <v>43327</v>
      </c>
      <c r="B1154">
        <v>2.6</v>
      </c>
      <c r="C1154" s="1">
        <v>43327</v>
      </c>
      <c r="D1154">
        <v>2.35</v>
      </c>
      <c r="E1154" s="1">
        <v>43255</v>
      </c>
      <c r="F1154">
        <v>1.75</v>
      </c>
    </row>
    <row r="1155" spans="1:6" x14ac:dyDescent="0.25">
      <c r="A1155" s="1">
        <v>43328</v>
      </c>
      <c r="B1155">
        <v>2.6</v>
      </c>
      <c r="C1155" s="1">
        <v>43328</v>
      </c>
      <c r="D1155">
        <v>2.5099999999999998</v>
      </c>
      <c r="E1155" s="1">
        <v>43256</v>
      </c>
      <c r="F1155">
        <v>1.75</v>
      </c>
    </row>
    <row r="1156" spans="1:6" x14ac:dyDescent="0.25">
      <c r="A1156" s="1">
        <v>43329</v>
      </c>
      <c r="B1156">
        <v>2.65</v>
      </c>
      <c r="C1156" s="1">
        <v>43329</v>
      </c>
      <c r="D1156">
        <v>2.59</v>
      </c>
      <c r="E1156" s="1">
        <v>43257</v>
      </c>
      <c r="F1156">
        <v>1.75</v>
      </c>
    </row>
    <row r="1157" spans="1:6" x14ac:dyDescent="0.25">
      <c r="A1157" s="1">
        <v>43332</v>
      </c>
      <c r="B1157">
        <v>2.7</v>
      </c>
      <c r="C1157" s="1">
        <v>43332</v>
      </c>
      <c r="D1157">
        <v>2.64</v>
      </c>
      <c r="E1157" s="1">
        <v>43258</v>
      </c>
      <c r="F1157">
        <v>1.75</v>
      </c>
    </row>
    <row r="1158" spans="1:6" x14ac:dyDescent="0.25">
      <c r="A1158" s="1">
        <v>43333</v>
      </c>
      <c r="B1158">
        <v>2.8</v>
      </c>
      <c r="C1158" s="1">
        <v>43333</v>
      </c>
      <c r="D1158">
        <v>2.64</v>
      </c>
      <c r="E1158" s="1">
        <v>43259</v>
      </c>
      <c r="F1158">
        <v>1.75</v>
      </c>
    </row>
    <row r="1159" spans="1:6" x14ac:dyDescent="0.25">
      <c r="A1159" s="1">
        <v>43334</v>
      </c>
      <c r="B1159">
        <v>2.7</v>
      </c>
      <c r="C1159" s="1">
        <v>43334</v>
      </c>
      <c r="D1159">
        <v>2.5499999999999998</v>
      </c>
      <c r="E1159" s="1">
        <v>43262</v>
      </c>
      <c r="F1159">
        <v>1.75</v>
      </c>
    </row>
    <row r="1160" spans="1:6" x14ac:dyDescent="0.25">
      <c r="A1160" s="1">
        <v>43335</v>
      </c>
      <c r="B1160">
        <v>2.62</v>
      </c>
      <c r="C1160" s="1">
        <v>43335</v>
      </c>
      <c r="D1160">
        <v>2.46</v>
      </c>
      <c r="E1160" s="1">
        <v>43263</v>
      </c>
      <c r="F1160">
        <v>1.75</v>
      </c>
    </row>
    <row r="1161" spans="1:6" x14ac:dyDescent="0.25">
      <c r="A1161" s="1">
        <v>43336</v>
      </c>
      <c r="B1161">
        <v>2.5</v>
      </c>
      <c r="C1161" s="1">
        <v>43336</v>
      </c>
      <c r="D1161">
        <v>2.4</v>
      </c>
      <c r="E1161" s="1">
        <v>43264</v>
      </c>
      <c r="F1161">
        <v>2</v>
      </c>
    </row>
    <row r="1162" spans="1:6" x14ac:dyDescent="0.25">
      <c r="A1162" s="1">
        <v>43339</v>
      </c>
      <c r="B1162">
        <v>2.65</v>
      </c>
      <c r="C1162" s="1">
        <v>43339</v>
      </c>
      <c r="D1162">
        <v>2.4500000000000002</v>
      </c>
      <c r="E1162" s="1">
        <v>43265</v>
      </c>
      <c r="F1162">
        <v>2</v>
      </c>
    </row>
    <row r="1163" spans="1:6" x14ac:dyDescent="0.25">
      <c r="A1163" s="1">
        <v>43340</v>
      </c>
      <c r="B1163">
        <v>2.66</v>
      </c>
      <c r="C1163" s="1">
        <v>43340</v>
      </c>
      <c r="D1163">
        <v>2.4300000000000002</v>
      </c>
      <c r="E1163" s="1">
        <v>43266</v>
      </c>
      <c r="F1163">
        <v>2</v>
      </c>
    </row>
    <row r="1164" spans="1:6" x14ac:dyDescent="0.25">
      <c r="A1164" s="1">
        <v>43341</v>
      </c>
      <c r="B1164">
        <v>2.7</v>
      </c>
      <c r="C1164" s="1">
        <v>43341</v>
      </c>
      <c r="D1164">
        <v>2.4</v>
      </c>
      <c r="E1164" s="1">
        <v>43269</v>
      </c>
      <c r="F1164">
        <v>2</v>
      </c>
    </row>
    <row r="1165" spans="1:6" x14ac:dyDescent="0.25">
      <c r="A1165" s="1">
        <v>43342</v>
      </c>
      <c r="B1165">
        <v>2.7</v>
      </c>
      <c r="C1165" s="1">
        <v>43342</v>
      </c>
      <c r="D1165">
        <v>2.2999999999999998</v>
      </c>
      <c r="E1165" s="1">
        <v>43270</v>
      </c>
      <c r="F1165">
        <v>2</v>
      </c>
    </row>
    <row r="1166" spans="1:6" x14ac:dyDescent="0.25">
      <c r="A1166" s="1">
        <v>43343</v>
      </c>
      <c r="B1166">
        <v>2.66</v>
      </c>
      <c r="C1166" s="1">
        <v>43343</v>
      </c>
      <c r="D1166">
        <v>2.34</v>
      </c>
      <c r="E1166" s="1">
        <v>43271</v>
      </c>
      <c r="F1166">
        <v>2</v>
      </c>
    </row>
    <row r="1167" spans="1:6" x14ac:dyDescent="0.25">
      <c r="A1167" s="1">
        <v>43346</v>
      </c>
      <c r="B1167">
        <v>2.6</v>
      </c>
      <c r="C1167" s="1">
        <v>43346</v>
      </c>
      <c r="D1167">
        <v>2.2799999999999998</v>
      </c>
      <c r="E1167" s="1">
        <v>43272</v>
      </c>
      <c r="F1167">
        <v>2</v>
      </c>
    </row>
    <row r="1168" spans="1:6" x14ac:dyDescent="0.25">
      <c r="A1168" s="1">
        <v>43347</v>
      </c>
      <c r="B1168">
        <v>2.5</v>
      </c>
      <c r="C1168" s="1">
        <v>43347</v>
      </c>
      <c r="D1168">
        <v>2.21</v>
      </c>
      <c r="E1168" s="1">
        <v>43273</v>
      </c>
      <c r="F1168">
        <v>2</v>
      </c>
    </row>
    <row r="1169" spans="1:6" x14ac:dyDescent="0.25">
      <c r="A1169" s="1">
        <v>43348</v>
      </c>
      <c r="B1169">
        <v>2.4</v>
      </c>
      <c r="C1169" s="1">
        <v>43348</v>
      </c>
      <c r="D1169">
        <v>2.1800000000000002</v>
      </c>
      <c r="E1169" s="1">
        <v>43276</v>
      </c>
      <c r="F1169">
        <v>2</v>
      </c>
    </row>
    <row r="1170" spans="1:6" x14ac:dyDescent="0.25">
      <c r="A1170" s="1">
        <v>43349</v>
      </c>
      <c r="B1170">
        <v>2.6</v>
      </c>
      <c r="C1170" s="1">
        <v>43349</v>
      </c>
      <c r="D1170">
        <v>2.5</v>
      </c>
      <c r="E1170" s="1">
        <v>43277</v>
      </c>
      <c r="F1170">
        <v>2</v>
      </c>
    </row>
    <row r="1171" spans="1:6" x14ac:dyDescent="0.25">
      <c r="A1171" s="1">
        <v>43350</v>
      </c>
      <c r="B1171">
        <v>2.69</v>
      </c>
      <c r="C1171" s="1">
        <v>43350</v>
      </c>
      <c r="D1171">
        <v>2.6</v>
      </c>
      <c r="E1171" s="1">
        <v>43278</v>
      </c>
      <c r="F1171">
        <v>2</v>
      </c>
    </row>
    <row r="1172" spans="1:6" x14ac:dyDescent="0.25">
      <c r="A1172" s="1">
        <v>43353</v>
      </c>
      <c r="B1172">
        <v>2.69</v>
      </c>
      <c r="C1172" s="1">
        <v>43353</v>
      </c>
      <c r="D1172">
        <v>2.57</v>
      </c>
      <c r="E1172" s="1">
        <v>43279</v>
      </c>
      <c r="F1172">
        <v>2</v>
      </c>
    </row>
    <row r="1173" spans="1:6" x14ac:dyDescent="0.25">
      <c r="A1173" s="1">
        <v>43354</v>
      </c>
      <c r="B1173">
        <v>2.7</v>
      </c>
      <c r="C1173" s="1">
        <v>43354</v>
      </c>
      <c r="D1173">
        <v>2.6</v>
      </c>
      <c r="E1173" s="1">
        <v>43280</v>
      </c>
      <c r="F1173">
        <v>2</v>
      </c>
    </row>
    <row r="1174" spans="1:6" x14ac:dyDescent="0.25">
      <c r="A1174" s="1">
        <v>43355</v>
      </c>
      <c r="B1174">
        <v>2.7</v>
      </c>
      <c r="C1174" s="1">
        <v>43355</v>
      </c>
      <c r="D1174">
        <v>2.5499999999999998</v>
      </c>
      <c r="E1174" s="1">
        <v>43283</v>
      </c>
      <c r="F1174">
        <v>2</v>
      </c>
    </row>
    <row r="1175" spans="1:6" x14ac:dyDescent="0.25">
      <c r="A1175" s="1">
        <v>43356</v>
      </c>
      <c r="B1175">
        <v>2.65</v>
      </c>
      <c r="C1175" s="1">
        <v>43356</v>
      </c>
      <c r="D1175">
        <v>2.5299999999999998</v>
      </c>
      <c r="E1175" s="1">
        <v>43284</v>
      </c>
      <c r="F1175">
        <v>2</v>
      </c>
    </row>
    <row r="1176" spans="1:6" x14ac:dyDescent="0.25">
      <c r="A1176" s="1">
        <v>43357</v>
      </c>
      <c r="B1176">
        <v>2.6</v>
      </c>
      <c r="C1176" s="1">
        <v>43357</v>
      </c>
      <c r="D1176">
        <v>2.5</v>
      </c>
      <c r="E1176" s="1">
        <v>43285</v>
      </c>
      <c r="F1176">
        <v>2</v>
      </c>
    </row>
    <row r="1177" spans="1:6" x14ac:dyDescent="0.25">
      <c r="A1177" s="1">
        <v>43360</v>
      </c>
      <c r="B1177">
        <v>2.62</v>
      </c>
      <c r="C1177" s="1">
        <v>43360</v>
      </c>
      <c r="D1177">
        <v>2.46</v>
      </c>
      <c r="E1177" s="1">
        <v>43286</v>
      </c>
      <c r="F1177">
        <v>2</v>
      </c>
    </row>
    <row r="1178" spans="1:6" x14ac:dyDescent="0.25">
      <c r="A1178" s="1">
        <v>43361</v>
      </c>
      <c r="B1178">
        <v>2.7</v>
      </c>
      <c r="C1178" s="1">
        <v>43361</v>
      </c>
      <c r="D1178">
        <v>2.68</v>
      </c>
      <c r="E1178" s="1">
        <v>43287</v>
      </c>
      <c r="F1178">
        <v>2</v>
      </c>
    </row>
    <row r="1179" spans="1:6" x14ac:dyDescent="0.25">
      <c r="A1179" s="1">
        <v>43362</v>
      </c>
      <c r="B1179">
        <v>2.68</v>
      </c>
      <c r="C1179" s="1">
        <v>43362</v>
      </c>
      <c r="D1179">
        <v>2.56</v>
      </c>
      <c r="E1179" s="1">
        <v>43290</v>
      </c>
      <c r="F1179">
        <v>2</v>
      </c>
    </row>
    <row r="1180" spans="1:6" x14ac:dyDescent="0.25">
      <c r="A1180" s="1">
        <v>43363</v>
      </c>
      <c r="B1180">
        <v>2.66</v>
      </c>
      <c r="C1180" s="1">
        <v>43363</v>
      </c>
      <c r="D1180">
        <v>2.52</v>
      </c>
      <c r="E1180" s="1">
        <v>43291</v>
      </c>
      <c r="F1180">
        <v>2</v>
      </c>
    </row>
    <row r="1181" spans="1:6" x14ac:dyDescent="0.25">
      <c r="A1181" s="1">
        <v>43364</v>
      </c>
      <c r="B1181">
        <v>2.65</v>
      </c>
      <c r="C1181" s="1">
        <v>43364</v>
      </c>
      <c r="D1181">
        <v>2.52</v>
      </c>
      <c r="E1181" s="1">
        <v>43292</v>
      </c>
      <c r="F1181">
        <v>2</v>
      </c>
    </row>
    <row r="1182" spans="1:6" x14ac:dyDescent="0.25">
      <c r="A1182" s="1">
        <v>43368</v>
      </c>
      <c r="B1182">
        <v>2.68</v>
      </c>
      <c r="C1182" s="1">
        <v>43368</v>
      </c>
      <c r="D1182">
        <v>2.54</v>
      </c>
      <c r="E1182" s="1">
        <v>43293</v>
      </c>
      <c r="F1182">
        <v>2</v>
      </c>
    </row>
    <row r="1183" spans="1:6" x14ac:dyDescent="0.25">
      <c r="A1183" s="1">
        <v>43369</v>
      </c>
      <c r="B1183">
        <v>2.69</v>
      </c>
      <c r="C1183" s="1">
        <v>43369</v>
      </c>
      <c r="D1183">
        <v>2.5499999999999998</v>
      </c>
      <c r="E1183" s="1">
        <v>43294</v>
      </c>
      <c r="F1183">
        <v>2</v>
      </c>
    </row>
    <row r="1184" spans="1:6" x14ac:dyDescent="0.25">
      <c r="A1184" s="1">
        <v>43370</v>
      </c>
      <c r="B1184">
        <v>2.69</v>
      </c>
      <c r="C1184" s="1">
        <v>43370</v>
      </c>
      <c r="D1184">
        <v>2.46</v>
      </c>
      <c r="E1184" s="1">
        <v>43297</v>
      </c>
      <c r="F1184">
        <v>2</v>
      </c>
    </row>
    <row r="1185" spans="1:6" x14ac:dyDescent="0.25">
      <c r="A1185" s="1">
        <v>43371</v>
      </c>
      <c r="B1185">
        <v>2.7</v>
      </c>
      <c r="C1185" s="1">
        <v>43371</v>
      </c>
      <c r="D1185">
        <v>2.44</v>
      </c>
      <c r="E1185" s="1">
        <v>43298</v>
      </c>
      <c r="F1185">
        <v>2</v>
      </c>
    </row>
    <row r="1186" spans="1:6" x14ac:dyDescent="0.25">
      <c r="A1186" s="1">
        <v>43372</v>
      </c>
      <c r="B1186">
        <v>2.88</v>
      </c>
      <c r="C1186" s="1">
        <v>43372</v>
      </c>
      <c r="D1186">
        <v>2.06</v>
      </c>
      <c r="E1186" s="1">
        <v>43299</v>
      </c>
      <c r="F1186">
        <v>2</v>
      </c>
    </row>
    <row r="1187" spans="1:6" x14ac:dyDescent="0.25">
      <c r="A1187" s="1">
        <v>43373</v>
      </c>
      <c r="B1187">
        <v>2.76</v>
      </c>
      <c r="C1187" s="1">
        <v>43373</v>
      </c>
      <c r="D1187">
        <v>2.65</v>
      </c>
      <c r="E1187" s="1">
        <v>43300</v>
      </c>
      <c r="F1187">
        <v>2</v>
      </c>
    </row>
    <row r="1188" spans="1:6" x14ac:dyDescent="0.25">
      <c r="A1188" s="1">
        <v>43381</v>
      </c>
      <c r="B1188">
        <v>2.65</v>
      </c>
      <c r="C1188" s="1">
        <v>43381</v>
      </c>
      <c r="D1188">
        <v>2.54</v>
      </c>
      <c r="E1188" s="1">
        <v>43301</v>
      </c>
      <c r="F1188">
        <v>2</v>
      </c>
    </row>
    <row r="1189" spans="1:6" x14ac:dyDescent="0.25">
      <c r="A1189" s="1">
        <v>43382</v>
      </c>
      <c r="B1189">
        <v>2.65</v>
      </c>
      <c r="C1189" s="1">
        <v>43382</v>
      </c>
      <c r="D1189">
        <v>2.52</v>
      </c>
      <c r="E1189" s="1">
        <v>43304</v>
      </c>
      <c r="F1189">
        <v>2</v>
      </c>
    </row>
    <row r="1190" spans="1:6" x14ac:dyDescent="0.25">
      <c r="A1190" s="1">
        <v>43383</v>
      </c>
      <c r="B1190">
        <v>2.65</v>
      </c>
      <c r="C1190" s="1">
        <v>43383</v>
      </c>
      <c r="D1190">
        <v>2.4</v>
      </c>
      <c r="E1190" s="1">
        <v>43305</v>
      </c>
      <c r="F1190">
        <v>2</v>
      </c>
    </row>
    <row r="1191" spans="1:6" x14ac:dyDescent="0.25">
      <c r="A1191" s="1">
        <v>43384</v>
      </c>
      <c r="B1191">
        <v>2.63</v>
      </c>
      <c r="C1191" s="1">
        <v>43384</v>
      </c>
      <c r="D1191">
        <v>2.37</v>
      </c>
      <c r="E1191" s="1">
        <v>43306</v>
      </c>
      <c r="F1191">
        <v>2</v>
      </c>
    </row>
    <row r="1192" spans="1:6" x14ac:dyDescent="0.25">
      <c r="A1192" s="1">
        <v>43385</v>
      </c>
      <c r="B1192">
        <v>2.6</v>
      </c>
      <c r="C1192" s="1">
        <v>43385</v>
      </c>
      <c r="D1192">
        <v>2.4500000000000002</v>
      </c>
      <c r="E1192" s="1">
        <v>43307</v>
      </c>
      <c r="F1192">
        <v>2</v>
      </c>
    </row>
    <row r="1193" spans="1:6" x14ac:dyDescent="0.25">
      <c r="A1193" s="1">
        <v>43388</v>
      </c>
      <c r="B1193">
        <v>2.62</v>
      </c>
      <c r="C1193" s="1">
        <v>43388</v>
      </c>
      <c r="D1193">
        <v>2.39</v>
      </c>
      <c r="E1193" s="1">
        <v>43308</v>
      </c>
      <c r="F1193">
        <v>2</v>
      </c>
    </row>
    <row r="1194" spans="1:6" x14ac:dyDescent="0.25">
      <c r="A1194" s="1">
        <v>43389</v>
      </c>
      <c r="B1194">
        <v>2.6</v>
      </c>
      <c r="C1194" s="1">
        <v>43389</v>
      </c>
      <c r="D1194">
        <v>2.38</v>
      </c>
      <c r="E1194" s="1">
        <v>43311</v>
      </c>
      <c r="F1194">
        <v>2</v>
      </c>
    </row>
    <row r="1195" spans="1:6" x14ac:dyDescent="0.25">
      <c r="A1195" s="1">
        <v>43390</v>
      </c>
      <c r="B1195">
        <v>2.6</v>
      </c>
      <c r="C1195" s="1">
        <v>43390</v>
      </c>
      <c r="D1195">
        <v>2.36</v>
      </c>
      <c r="E1195" s="1">
        <v>43312</v>
      </c>
      <c r="F1195">
        <v>2</v>
      </c>
    </row>
    <row r="1196" spans="1:6" x14ac:dyDescent="0.25">
      <c r="A1196" s="1">
        <v>43391</v>
      </c>
      <c r="B1196">
        <v>2.6</v>
      </c>
      <c r="C1196" s="1">
        <v>43391</v>
      </c>
      <c r="D1196">
        <v>2.44</v>
      </c>
      <c r="E1196" s="1">
        <v>43313</v>
      </c>
      <c r="F1196">
        <v>2</v>
      </c>
    </row>
    <row r="1197" spans="1:6" x14ac:dyDescent="0.25">
      <c r="A1197" s="1">
        <v>43392</v>
      </c>
      <c r="B1197">
        <v>2.61</v>
      </c>
      <c r="C1197" s="1">
        <v>43392</v>
      </c>
      <c r="D1197">
        <v>2.4500000000000002</v>
      </c>
      <c r="E1197" s="1">
        <v>43314</v>
      </c>
      <c r="F1197">
        <v>2</v>
      </c>
    </row>
    <row r="1198" spans="1:6" x14ac:dyDescent="0.25">
      <c r="A1198" s="1">
        <v>43395</v>
      </c>
      <c r="B1198">
        <v>2.63</v>
      </c>
      <c r="C1198" s="1">
        <v>43395</v>
      </c>
      <c r="D1198">
        <v>2.48</v>
      </c>
      <c r="E1198" s="1">
        <v>43315</v>
      </c>
      <c r="F1198">
        <v>2</v>
      </c>
    </row>
    <row r="1199" spans="1:6" x14ac:dyDescent="0.25">
      <c r="A1199" s="1">
        <v>43396</v>
      </c>
      <c r="B1199">
        <v>2.64</v>
      </c>
      <c r="C1199" s="1">
        <v>43396</v>
      </c>
      <c r="D1199">
        <v>2.46</v>
      </c>
      <c r="E1199" s="1">
        <v>43318</v>
      </c>
      <c r="F1199">
        <v>2</v>
      </c>
    </row>
    <row r="1200" spans="1:6" x14ac:dyDescent="0.25">
      <c r="A1200" s="1">
        <v>43397</v>
      </c>
      <c r="B1200">
        <v>2.63</v>
      </c>
      <c r="C1200" s="1">
        <v>43397</v>
      </c>
      <c r="D1200">
        <v>2.4</v>
      </c>
      <c r="E1200" s="1">
        <v>43319</v>
      </c>
      <c r="F1200">
        <v>2</v>
      </c>
    </row>
    <row r="1201" spans="1:6" x14ac:dyDescent="0.25">
      <c r="A1201" s="1">
        <v>43398</v>
      </c>
      <c r="B1201">
        <v>2.64</v>
      </c>
      <c r="C1201" s="1">
        <v>43398</v>
      </c>
      <c r="D1201">
        <v>2.23</v>
      </c>
      <c r="E1201" s="1">
        <v>43320</v>
      </c>
      <c r="F1201">
        <v>2</v>
      </c>
    </row>
    <row r="1202" spans="1:6" x14ac:dyDescent="0.25">
      <c r="A1202" s="1">
        <v>43399</v>
      </c>
      <c r="B1202">
        <v>2.65</v>
      </c>
      <c r="C1202" s="1">
        <v>43399</v>
      </c>
      <c r="D1202">
        <v>2.08</v>
      </c>
      <c r="E1202" s="1">
        <v>43321</v>
      </c>
      <c r="F1202">
        <v>2</v>
      </c>
    </row>
    <row r="1203" spans="1:6" x14ac:dyDescent="0.25">
      <c r="A1203" s="1">
        <v>43402</v>
      </c>
      <c r="B1203">
        <v>2.62</v>
      </c>
      <c r="C1203" s="1">
        <v>43402</v>
      </c>
      <c r="D1203">
        <v>1.86</v>
      </c>
      <c r="E1203" s="1">
        <v>43322</v>
      </c>
      <c r="F1203">
        <v>2</v>
      </c>
    </row>
    <row r="1204" spans="1:6" x14ac:dyDescent="0.25">
      <c r="A1204" s="1">
        <v>43403</v>
      </c>
      <c r="B1204">
        <v>2.6</v>
      </c>
      <c r="C1204" s="1">
        <v>43403</v>
      </c>
      <c r="D1204">
        <v>1.58</v>
      </c>
      <c r="E1204" s="1">
        <v>43325</v>
      </c>
      <c r="F1204">
        <v>2</v>
      </c>
    </row>
    <row r="1205" spans="1:6" x14ac:dyDescent="0.25">
      <c r="A1205" s="1">
        <v>43404</v>
      </c>
      <c r="B1205">
        <v>2.78</v>
      </c>
      <c r="C1205" s="1">
        <v>43404</v>
      </c>
      <c r="D1205">
        <v>2.4</v>
      </c>
      <c r="E1205" s="1">
        <v>43326</v>
      </c>
      <c r="F1205">
        <v>2</v>
      </c>
    </row>
    <row r="1206" spans="1:6" x14ac:dyDescent="0.25">
      <c r="A1206" s="1">
        <v>43405</v>
      </c>
      <c r="B1206">
        <v>2.7</v>
      </c>
      <c r="C1206" s="1">
        <v>43405</v>
      </c>
      <c r="D1206">
        <v>2.5499999999999998</v>
      </c>
      <c r="E1206" s="1">
        <v>43327</v>
      </c>
      <c r="F1206">
        <v>2</v>
      </c>
    </row>
    <row r="1207" spans="1:6" x14ac:dyDescent="0.25">
      <c r="A1207" s="1">
        <v>43406</v>
      </c>
      <c r="B1207">
        <v>2.63</v>
      </c>
      <c r="C1207" s="1">
        <v>43406</v>
      </c>
      <c r="D1207">
        <v>2.4900000000000002</v>
      </c>
      <c r="E1207" s="1">
        <v>43328</v>
      </c>
      <c r="F1207">
        <v>2</v>
      </c>
    </row>
    <row r="1208" spans="1:6" x14ac:dyDescent="0.25">
      <c r="A1208" s="1">
        <v>43409</v>
      </c>
      <c r="B1208">
        <v>2.63</v>
      </c>
      <c r="C1208" s="1">
        <v>43409</v>
      </c>
      <c r="D1208">
        <v>2.44</v>
      </c>
      <c r="E1208" s="1">
        <v>43329</v>
      </c>
      <c r="F1208">
        <v>2</v>
      </c>
    </row>
    <row r="1209" spans="1:6" x14ac:dyDescent="0.25">
      <c r="A1209" s="1">
        <v>43410</v>
      </c>
      <c r="B1209">
        <v>2.6</v>
      </c>
      <c r="C1209" s="1">
        <v>43410</v>
      </c>
      <c r="D1209">
        <v>2.2799999999999998</v>
      </c>
      <c r="E1209" s="1">
        <v>43332</v>
      </c>
      <c r="F1209">
        <v>2</v>
      </c>
    </row>
    <row r="1210" spans="1:6" x14ac:dyDescent="0.25">
      <c r="A1210" s="1">
        <v>43411</v>
      </c>
      <c r="B1210">
        <v>2.6</v>
      </c>
      <c r="C1210" s="1">
        <v>43411</v>
      </c>
      <c r="D1210">
        <v>2.1</v>
      </c>
      <c r="E1210" s="1">
        <v>43333</v>
      </c>
      <c r="F1210">
        <v>2</v>
      </c>
    </row>
    <row r="1211" spans="1:6" x14ac:dyDescent="0.25">
      <c r="A1211" s="1">
        <v>43412</v>
      </c>
      <c r="B1211">
        <v>2.59</v>
      </c>
      <c r="C1211" s="1">
        <v>43412</v>
      </c>
      <c r="D1211">
        <v>1.97</v>
      </c>
      <c r="E1211" s="1">
        <v>43334</v>
      </c>
      <c r="F1211">
        <v>2</v>
      </c>
    </row>
    <row r="1212" spans="1:6" x14ac:dyDescent="0.25">
      <c r="A1212" s="1">
        <v>43413</v>
      </c>
      <c r="B1212">
        <v>2.57</v>
      </c>
      <c r="C1212" s="1">
        <v>43413</v>
      </c>
      <c r="D1212">
        <v>2.0499999999999998</v>
      </c>
      <c r="E1212" s="1">
        <v>43335</v>
      </c>
      <c r="F1212">
        <v>2</v>
      </c>
    </row>
    <row r="1213" spans="1:6" x14ac:dyDescent="0.25">
      <c r="A1213" s="1">
        <v>43416</v>
      </c>
      <c r="B1213">
        <v>2.62</v>
      </c>
      <c r="C1213" s="1">
        <v>43416</v>
      </c>
      <c r="D1213">
        <v>2.31</v>
      </c>
      <c r="E1213" s="1">
        <v>43336</v>
      </c>
      <c r="F1213">
        <v>2</v>
      </c>
    </row>
    <row r="1214" spans="1:6" x14ac:dyDescent="0.25">
      <c r="A1214" s="1">
        <v>43417</v>
      </c>
      <c r="B1214">
        <v>2.65</v>
      </c>
      <c r="C1214" s="1">
        <v>43417</v>
      </c>
      <c r="D1214">
        <v>2.48</v>
      </c>
      <c r="E1214" s="1">
        <v>43339</v>
      </c>
      <c r="F1214">
        <v>2</v>
      </c>
    </row>
    <row r="1215" spans="1:6" x14ac:dyDescent="0.25">
      <c r="A1215" s="1">
        <v>43418</v>
      </c>
      <c r="B1215">
        <v>2.65</v>
      </c>
      <c r="C1215" s="1">
        <v>43418</v>
      </c>
      <c r="D1215">
        <v>2.34</v>
      </c>
      <c r="E1215" s="1">
        <v>43340</v>
      </c>
      <c r="F1215">
        <v>2</v>
      </c>
    </row>
    <row r="1216" spans="1:6" x14ac:dyDescent="0.25">
      <c r="A1216" s="1">
        <v>43419</v>
      </c>
      <c r="B1216">
        <v>2.62</v>
      </c>
      <c r="C1216" s="1">
        <v>43419</v>
      </c>
      <c r="D1216">
        <v>2.36</v>
      </c>
      <c r="E1216" s="1">
        <v>43341</v>
      </c>
      <c r="F1216">
        <v>2</v>
      </c>
    </row>
    <row r="1217" spans="1:6" x14ac:dyDescent="0.25">
      <c r="A1217" s="1">
        <v>43420</v>
      </c>
      <c r="B1217">
        <v>2.61</v>
      </c>
      <c r="C1217" s="1">
        <v>43420</v>
      </c>
      <c r="D1217">
        <v>2.35</v>
      </c>
      <c r="E1217" s="1">
        <v>43342</v>
      </c>
      <c r="F1217">
        <v>2</v>
      </c>
    </row>
    <row r="1218" spans="1:6" x14ac:dyDescent="0.25">
      <c r="A1218" s="1">
        <v>43423</v>
      </c>
      <c r="B1218">
        <v>2.65</v>
      </c>
      <c r="C1218" s="1">
        <v>43423</v>
      </c>
      <c r="D1218">
        <v>2.5499999999999998</v>
      </c>
      <c r="E1218" s="1">
        <v>43343</v>
      </c>
      <c r="F1218">
        <v>2</v>
      </c>
    </row>
    <row r="1219" spans="1:6" x14ac:dyDescent="0.25">
      <c r="A1219" s="1">
        <v>43424</v>
      </c>
      <c r="B1219">
        <v>2.7</v>
      </c>
      <c r="C1219" s="1">
        <v>43424</v>
      </c>
      <c r="D1219">
        <v>2.61</v>
      </c>
      <c r="E1219" s="1">
        <v>43346</v>
      </c>
      <c r="F1219">
        <v>2</v>
      </c>
    </row>
    <row r="1220" spans="1:6" x14ac:dyDescent="0.25">
      <c r="A1220" s="1">
        <v>43425</v>
      </c>
      <c r="B1220">
        <v>2.75</v>
      </c>
      <c r="C1220" s="1">
        <v>43425</v>
      </c>
      <c r="D1220">
        <v>2.58</v>
      </c>
      <c r="E1220" s="1">
        <v>43347</v>
      </c>
      <c r="F1220">
        <v>2</v>
      </c>
    </row>
    <row r="1221" spans="1:6" x14ac:dyDescent="0.25">
      <c r="A1221" s="1">
        <v>43426</v>
      </c>
      <c r="B1221">
        <v>2.65</v>
      </c>
      <c r="C1221" s="1">
        <v>43426</v>
      </c>
      <c r="D1221">
        <v>2.48</v>
      </c>
      <c r="E1221" s="1">
        <v>43348</v>
      </c>
      <c r="F1221">
        <v>2</v>
      </c>
    </row>
    <row r="1222" spans="1:6" x14ac:dyDescent="0.25">
      <c r="A1222" s="1">
        <v>43427</v>
      </c>
      <c r="B1222">
        <v>2.61</v>
      </c>
      <c r="C1222" s="1">
        <v>43427</v>
      </c>
      <c r="D1222">
        <v>2.35</v>
      </c>
      <c r="E1222" s="1">
        <v>43349</v>
      </c>
      <c r="F1222">
        <v>2</v>
      </c>
    </row>
    <row r="1223" spans="1:6" x14ac:dyDescent="0.25">
      <c r="A1223" s="1">
        <v>43430</v>
      </c>
      <c r="B1223">
        <v>2.66</v>
      </c>
      <c r="C1223" s="1">
        <v>43430</v>
      </c>
      <c r="D1223">
        <v>2.5</v>
      </c>
      <c r="E1223" s="1">
        <v>43350</v>
      </c>
      <c r="F1223">
        <v>2</v>
      </c>
    </row>
    <row r="1224" spans="1:6" x14ac:dyDescent="0.25">
      <c r="A1224" s="1">
        <v>43431</v>
      </c>
      <c r="B1224">
        <v>2.67</v>
      </c>
      <c r="C1224" s="1">
        <v>43431</v>
      </c>
      <c r="D1224">
        <v>2.56</v>
      </c>
      <c r="E1224" s="1">
        <v>43353</v>
      </c>
      <c r="F1224">
        <v>2</v>
      </c>
    </row>
    <row r="1225" spans="1:6" x14ac:dyDescent="0.25">
      <c r="A1225" s="1">
        <v>43432</v>
      </c>
      <c r="B1225">
        <v>2.7</v>
      </c>
      <c r="C1225" s="1">
        <v>43432</v>
      </c>
      <c r="D1225">
        <v>2.54</v>
      </c>
      <c r="E1225" s="1">
        <v>43354</v>
      </c>
      <c r="F1225">
        <v>2</v>
      </c>
    </row>
    <row r="1226" spans="1:6" x14ac:dyDescent="0.25">
      <c r="A1226" s="1">
        <v>43433</v>
      </c>
      <c r="B1226">
        <v>2.78</v>
      </c>
      <c r="C1226" s="1">
        <v>43433</v>
      </c>
      <c r="D1226">
        <v>2.2599999999999998</v>
      </c>
      <c r="E1226" s="1">
        <v>43355</v>
      </c>
      <c r="F1226">
        <v>2</v>
      </c>
    </row>
    <row r="1227" spans="1:6" x14ac:dyDescent="0.25">
      <c r="A1227" s="1">
        <v>43434</v>
      </c>
      <c r="B1227">
        <v>2.8</v>
      </c>
      <c r="C1227" s="1">
        <v>43434</v>
      </c>
      <c r="D1227">
        <v>2.65</v>
      </c>
      <c r="E1227" s="1">
        <v>43356</v>
      </c>
      <c r="F1227">
        <v>2</v>
      </c>
    </row>
    <row r="1228" spans="1:6" x14ac:dyDescent="0.25">
      <c r="A1228" s="1">
        <v>43437</v>
      </c>
      <c r="B1228">
        <v>2.65</v>
      </c>
      <c r="C1228" s="1">
        <v>43437</v>
      </c>
      <c r="D1228">
        <v>2.52</v>
      </c>
      <c r="E1228" s="1">
        <v>43357</v>
      </c>
      <c r="F1228">
        <v>2</v>
      </c>
    </row>
    <row r="1229" spans="1:6" x14ac:dyDescent="0.25">
      <c r="A1229" s="1">
        <v>43438</v>
      </c>
      <c r="B1229">
        <v>2.63</v>
      </c>
      <c r="C1229" s="1">
        <v>43438</v>
      </c>
      <c r="D1229">
        <v>2.4500000000000002</v>
      </c>
      <c r="E1229" s="1">
        <v>43360</v>
      </c>
      <c r="F1229">
        <v>2</v>
      </c>
    </row>
    <row r="1230" spans="1:6" x14ac:dyDescent="0.25">
      <c r="A1230" s="1">
        <v>43439</v>
      </c>
      <c r="B1230">
        <v>2.6</v>
      </c>
      <c r="C1230" s="1">
        <v>43439</v>
      </c>
      <c r="D1230">
        <v>2.25</v>
      </c>
      <c r="E1230" s="1">
        <v>43361</v>
      </c>
      <c r="F1230">
        <v>2</v>
      </c>
    </row>
    <row r="1231" spans="1:6" x14ac:dyDescent="0.25">
      <c r="A1231" s="1">
        <v>43440</v>
      </c>
      <c r="B1231">
        <v>2.6</v>
      </c>
      <c r="C1231" s="1">
        <v>43440</v>
      </c>
      <c r="D1231">
        <v>2.42</v>
      </c>
      <c r="E1231" s="1">
        <v>43362</v>
      </c>
      <c r="F1231">
        <v>2</v>
      </c>
    </row>
    <row r="1232" spans="1:6" x14ac:dyDescent="0.25">
      <c r="A1232" s="1">
        <v>43441</v>
      </c>
      <c r="B1232">
        <v>2.61</v>
      </c>
      <c r="C1232" s="1">
        <v>43441</v>
      </c>
      <c r="D1232">
        <v>2.42</v>
      </c>
      <c r="E1232" s="1">
        <v>43363</v>
      </c>
      <c r="F1232">
        <v>2</v>
      </c>
    </row>
    <row r="1233" spans="1:6" x14ac:dyDescent="0.25">
      <c r="A1233" s="1">
        <v>43444</v>
      </c>
      <c r="B1233">
        <v>2.6</v>
      </c>
      <c r="C1233" s="1">
        <v>43444</v>
      </c>
      <c r="D1233">
        <v>2.46</v>
      </c>
      <c r="E1233" s="1">
        <v>43364</v>
      </c>
      <c r="F1233">
        <v>2</v>
      </c>
    </row>
    <row r="1234" spans="1:6" x14ac:dyDescent="0.25">
      <c r="A1234" s="1">
        <v>43445</v>
      </c>
      <c r="B1234">
        <v>2.62</v>
      </c>
      <c r="C1234" s="1">
        <v>43445</v>
      </c>
      <c r="D1234">
        <v>2.4700000000000002</v>
      </c>
      <c r="E1234" s="1">
        <v>43367</v>
      </c>
      <c r="F1234">
        <v>2</v>
      </c>
    </row>
    <row r="1235" spans="1:6" x14ac:dyDescent="0.25">
      <c r="A1235" s="1">
        <v>43446</v>
      </c>
      <c r="B1235">
        <v>2.63</v>
      </c>
      <c r="C1235" s="1">
        <v>43446</v>
      </c>
      <c r="D1235">
        <v>2.4300000000000002</v>
      </c>
      <c r="E1235" s="1">
        <v>43368</v>
      </c>
      <c r="F1235">
        <v>2</v>
      </c>
    </row>
    <row r="1236" spans="1:6" x14ac:dyDescent="0.25">
      <c r="A1236" s="1">
        <v>43447</v>
      </c>
      <c r="B1236">
        <v>2.62</v>
      </c>
      <c r="C1236" s="1">
        <v>43447</v>
      </c>
      <c r="D1236">
        <v>2.5099999999999998</v>
      </c>
      <c r="E1236" s="1">
        <v>43369</v>
      </c>
      <c r="F1236">
        <v>2.25</v>
      </c>
    </row>
    <row r="1237" spans="1:6" x14ac:dyDescent="0.25">
      <c r="A1237" s="1">
        <v>43448</v>
      </c>
      <c r="B1237">
        <v>2.8</v>
      </c>
      <c r="C1237" s="1">
        <v>43448</v>
      </c>
      <c r="D1237">
        <v>2.66</v>
      </c>
      <c r="E1237" s="1">
        <v>43370</v>
      </c>
      <c r="F1237">
        <v>2.25</v>
      </c>
    </row>
    <row r="1238" spans="1:6" x14ac:dyDescent="0.25">
      <c r="A1238" s="1">
        <v>43451</v>
      </c>
      <c r="B1238">
        <v>2.7</v>
      </c>
      <c r="C1238" s="1">
        <v>43451</v>
      </c>
      <c r="D1238">
        <v>2.62</v>
      </c>
      <c r="E1238" s="1">
        <v>43371</v>
      </c>
      <c r="F1238">
        <v>2.25</v>
      </c>
    </row>
    <row r="1239" spans="1:6" x14ac:dyDescent="0.25">
      <c r="A1239" s="1">
        <v>43452</v>
      </c>
      <c r="B1239">
        <v>2.7</v>
      </c>
      <c r="C1239" s="1">
        <v>43452</v>
      </c>
      <c r="D1239">
        <v>2.68</v>
      </c>
      <c r="E1239" s="1">
        <v>43374</v>
      </c>
      <c r="F1239">
        <v>2.25</v>
      </c>
    </row>
    <row r="1240" spans="1:6" x14ac:dyDescent="0.25">
      <c r="A1240" s="1">
        <v>43453</v>
      </c>
      <c r="B1240">
        <v>2.7</v>
      </c>
      <c r="C1240" s="1">
        <v>43453</v>
      </c>
      <c r="D1240">
        <v>2.66</v>
      </c>
      <c r="E1240" s="1">
        <v>43375</v>
      </c>
      <c r="F1240">
        <v>2.25</v>
      </c>
    </row>
    <row r="1241" spans="1:6" x14ac:dyDescent="0.25">
      <c r="A1241" s="1">
        <v>43454</v>
      </c>
      <c r="B1241">
        <v>2.66</v>
      </c>
      <c r="C1241" s="1">
        <v>43454</v>
      </c>
      <c r="D1241">
        <v>2.57</v>
      </c>
      <c r="E1241" s="1">
        <v>43376</v>
      </c>
      <c r="F1241">
        <v>2.25</v>
      </c>
    </row>
    <row r="1242" spans="1:6" x14ac:dyDescent="0.25">
      <c r="A1242" s="1">
        <v>43455</v>
      </c>
      <c r="B1242">
        <v>2.63</v>
      </c>
      <c r="C1242" s="1">
        <v>43455</v>
      </c>
      <c r="D1242">
        <v>2.5</v>
      </c>
      <c r="E1242" s="1">
        <v>43377</v>
      </c>
      <c r="F1242">
        <v>2.25</v>
      </c>
    </row>
    <row r="1243" spans="1:6" x14ac:dyDescent="0.25">
      <c r="A1243" s="1">
        <v>43458</v>
      </c>
      <c r="B1243">
        <v>2.63</v>
      </c>
      <c r="C1243" s="1">
        <v>43458</v>
      </c>
      <c r="D1243">
        <v>2.3199999999999998</v>
      </c>
      <c r="E1243" s="1">
        <v>43378</v>
      </c>
      <c r="F1243">
        <v>2.25</v>
      </c>
    </row>
    <row r="1244" spans="1:6" x14ac:dyDescent="0.25">
      <c r="A1244" s="1">
        <v>43459</v>
      </c>
      <c r="B1244">
        <v>2.56</v>
      </c>
      <c r="C1244" s="1">
        <v>43459</v>
      </c>
      <c r="D1244">
        <v>2.0299999999999998</v>
      </c>
      <c r="E1244" s="1">
        <v>43381</v>
      </c>
      <c r="F1244">
        <v>2.25</v>
      </c>
    </row>
    <row r="1245" spans="1:6" x14ac:dyDescent="0.25">
      <c r="A1245" s="1">
        <v>43460</v>
      </c>
      <c r="B1245">
        <v>2.66</v>
      </c>
      <c r="C1245" s="1">
        <v>43460</v>
      </c>
      <c r="D1245">
        <v>2.04</v>
      </c>
      <c r="E1245" s="1">
        <v>43382</v>
      </c>
      <c r="F1245">
        <v>2.25</v>
      </c>
    </row>
    <row r="1246" spans="1:6" x14ac:dyDescent="0.25">
      <c r="A1246" s="1">
        <v>43461</v>
      </c>
      <c r="B1246">
        <v>3.54</v>
      </c>
      <c r="C1246" s="1">
        <v>43461</v>
      </c>
      <c r="D1246">
        <v>1.8</v>
      </c>
      <c r="E1246" s="1">
        <v>43383</v>
      </c>
      <c r="F1246">
        <v>2.25</v>
      </c>
    </row>
    <row r="1247" spans="1:6" x14ac:dyDescent="0.25">
      <c r="A1247" s="1">
        <v>43462</v>
      </c>
      <c r="B1247">
        <v>5</v>
      </c>
      <c r="C1247" s="1">
        <v>43462</v>
      </c>
      <c r="D1247">
        <v>1.46</v>
      </c>
      <c r="E1247" s="1">
        <v>43384</v>
      </c>
      <c r="F1247">
        <v>2.25</v>
      </c>
    </row>
    <row r="1248" spans="1:6" x14ac:dyDescent="0.25">
      <c r="A1248" s="1">
        <v>43463</v>
      </c>
      <c r="B1248">
        <v>2.96</v>
      </c>
      <c r="C1248" s="1">
        <v>43463</v>
      </c>
      <c r="D1248">
        <v>2.56</v>
      </c>
      <c r="E1248" s="1">
        <v>43385</v>
      </c>
      <c r="F1248">
        <v>2.25</v>
      </c>
    </row>
    <row r="1249" spans="1:6" x14ac:dyDescent="0.25">
      <c r="A1249" s="1">
        <v>43467</v>
      </c>
      <c r="B1249">
        <v>2.65</v>
      </c>
      <c r="C1249" s="1">
        <v>43467</v>
      </c>
      <c r="D1249">
        <v>2.3199999999999998</v>
      </c>
      <c r="E1249" s="1">
        <v>43388</v>
      </c>
      <c r="F1249">
        <v>2.25</v>
      </c>
    </row>
    <row r="1250" spans="1:6" x14ac:dyDescent="0.25">
      <c r="A1250" s="1">
        <v>43468</v>
      </c>
      <c r="B1250">
        <v>2.5499999999999998</v>
      </c>
      <c r="C1250" s="1">
        <v>43468</v>
      </c>
      <c r="D1250">
        <v>2</v>
      </c>
      <c r="E1250" s="1">
        <v>43389</v>
      </c>
      <c r="F1250">
        <v>2.25</v>
      </c>
    </row>
    <row r="1251" spans="1:6" x14ac:dyDescent="0.25">
      <c r="A1251" s="1">
        <v>43469</v>
      </c>
      <c r="B1251">
        <v>2.48</v>
      </c>
      <c r="C1251" s="1">
        <v>43469</v>
      </c>
      <c r="D1251">
        <v>1.67</v>
      </c>
      <c r="E1251" s="1">
        <v>43390</v>
      </c>
      <c r="F1251">
        <v>2.25</v>
      </c>
    </row>
    <row r="1252" spans="1:6" x14ac:dyDescent="0.25">
      <c r="A1252" s="1">
        <v>43472</v>
      </c>
      <c r="B1252">
        <v>2.4</v>
      </c>
      <c r="C1252" s="1">
        <v>43472</v>
      </c>
      <c r="D1252">
        <v>1.46</v>
      </c>
      <c r="E1252" s="1">
        <v>43391</v>
      </c>
      <c r="F1252">
        <v>2.25</v>
      </c>
    </row>
    <row r="1253" spans="1:6" x14ac:dyDescent="0.25">
      <c r="A1253" s="1">
        <v>43473</v>
      </c>
      <c r="B1253">
        <v>2.2999999999999998</v>
      </c>
      <c r="C1253" s="1">
        <v>43473</v>
      </c>
      <c r="D1253">
        <v>1.43</v>
      </c>
      <c r="E1253" s="1">
        <v>43392</v>
      </c>
      <c r="F1253">
        <v>2.25</v>
      </c>
    </row>
    <row r="1254" spans="1:6" x14ac:dyDescent="0.25">
      <c r="A1254" s="1">
        <v>43474</v>
      </c>
      <c r="B1254">
        <v>2.4</v>
      </c>
      <c r="C1254" s="1">
        <v>43474</v>
      </c>
      <c r="D1254">
        <v>1.58</v>
      </c>
      <c r="E1254" s="1">
        <v>43395</v>
      </c>
      <c r="F1254">
        <v>2.25</v>
      </c>
    </row>
    <row r="1255" spans="1:6" x14ac:dyDescent="0.25">
      <c r="A1255" s="1">
        <v>43475</v>
      </c>
      <c r="B1255">
        <v>2.6</v>
      </c>
      <c r="C1255" s="1">
        <v>43475</v>
      </c>
      <c r="D1255">
        <v>1.75</v>
      </c>
      <c r="E1255" s="1">
        <v>43396</v>
      </c>
      <c r="F1255">
        <v>2.25</v>
      </c>
    </row>
    <row r="1256" spans="1:6" x14ac:dyDescent="0.25">
      <c r="A1256" s="1">
        <v>43476</v>
      </c>
      <c r="B1256">
        <v>2.5299999999999998</v>
      </c>
      <c r="C1256" s="1">
        <v>43476</v>
      </c>
      <c r="D1256">
        <v>1.72</v>
      </c>
      <c r="E1256" s="1">
        <v>43397</v>
      </c>
      <c r="F1256">
        <v>2.25</v>
      </c>
    </row>
    <row r="1257" spans="1:6" x14ac:dyDescent="0.25">
      <c r="A1257" s="1">
        <v>43479</v>
      </c>
      <c r="B1257">
        <v>2.62</v>
      </c>
      <c r="C1257" s="1">
        <v>43479</v>
      </c>
      <c r="D1257">
        <v>1.89</v>
      </c>
      <c r="E1257" s="1">
        <v>43398</v>
      </c>
      <c r="F1257">
        <v>2.25</v>
      </c>
    </row>
    <row r="1258" spans="1:6" x14ac:dyDescent="0.25">
      <c r="A1258" s="1">
        <v>43480</v>
      </c>
      <c r="B1258">
        <v>2.65</v>
      </c>
      <c r="C1258" s="1">
        <v>43480</v>
      </c>
      <c r="D1258">
        <v>2.2599999999999998</v>
      </c>
      <c r="E1258" s="1">
        <v>43399</v>
      </c>
      <c r="F1258">
        <v>2.25</v>
      </c>
    </row>
    <row r="1259" spans="1:6" x14ac:dyDescent="0.25">
      <c r="A1259" s="1">
        <v>43481</v>
      </c>
      <c r="B1259">
        <v>2.66</v>
      </c>
      <c r="C1259" s="1">
        <v>43481</v>
      </c>
      <c r="D1259">
        <v>2.33</v>
      </c>
      <c r="E1259" s="1">
        <v>43402</v>
      </c>
      <c r="F1259">
        <v>2.25</v>
      </c>
    </row>
    <row r="1260" spans="1:6" x14ac:dyDescent="0.25">
      <c r="A1260" s="1">
        <v>43482</v>
      </c>
      <c r="B1260">
        <v>2.6</v>
      </c>
      <c r="C1260" s="1">
        <v>43482</v>
      </c>
      <c r="D1260">
        <v>2.2799999999999998</v>
      </c>
      <c r="E1260" s="1">
        <v>43403</v>
      </c>
      <c r="F1260">
        <v>2.25</v>
      </c>
    </row>
    <row r="1261" spans="1:6" x14ac:dyDescent="0.25">
      <c r="A1261" s="1">
        <v>43483</v>
      </c>
      <c r="B1261">
        <v>2.6</v>
      </c>
      <c r="C1261" s="1">
        <v>43483</v>
      </c>
      <c r="D1261">
        <v>2.2000000000000002</v>
      </c>
      <c r="E1261" s="1">
        <v>43404</v>
      </c>
      <c r="F1261">
        <v>2.25</v>
      </c>
    </row>
    <row r="1262" spans="1:6" x14ac:dyDescent="0.25">
      <c r="A1262" s="1">
        <v>43486</v>
      </c>
      <c r="B1262">
        <v>2.57</v>
      </c>
      <c r="C1262" s="1">
        <v>43486</v>
      </c>
      <c r="D1262">
        <v>2.25</v>
      </c>
      <c r="E1262" s="1">
        <v>43405</v>
      </c>
      <c r="F1262">
        <v>2.25</v>
      </c>
    </row>
    <row r="1263" spans="1:6" x14ac:dyDescent="0.25">
      <c r="A1263" s="1">
        <v>43487</v>
      </c>
      <c r="B1263">
        <v>2.5499999999999998</v>
      </c>
      <c r="C1263" s="1">
        <v>43487</v>
      </c>
      <c r="D1263">
        <v>2.2599999999999998</v>
      </c>
      <c r="E1263" s="1">
        <v>43406</v>
      </c>
      <c r="F1263">
        <v>2.25</v>
      </c>
    </row>
    <row r="1264" spans="1:6" x14ac:dyDescent="0.25">
      <c r="A1264" s="1">
        <v>43488</v>
      </c>
      <c r="B1264">
        <v>2.59</v>
      </c>
      <c r="C1264" s="1">
        <v>43488</v>
      </c>
      <c r="D1264">
        <v>2.2599999999999998</v>
      </c>
      <c r="E1264" s="1">
        <v>43409</v>
      </c>
      <c r="F1264">
        <v>2.25</v>
      </c>
    </row>
    <row r="1265" spans="1:6" x14ac:dyDescent="0.25">
      <c r="A1265" s="1">
        <v>43489</v>
      </c>
      <c r="B1265">
        <v>2.6</v>
      </c>
      <c r="C1265" s="1">
        <v>43489</v>
      </c>
      <c r="D1265">
        <v>2.2799999999999998</v>
      </c>
      <c r="E1265" s="1">
        <v>43410</v>
      </c>
      <c r="F1265">
        <v>2.25</v>
      </c>
    </row>
    <row r="1266" spans="1:6" x14ac:dyDescent="0.25">
      <c r="A1266" s="1">
        <v>43490</v>
      </c>
      <c r="B1266">
        <v>2.6</v>
      </c>
      <c r="C1266" s="1">
        <v>43490</v>
      </c>
      <c r="D1266">
        <v>2.37</v>
      </c>
      <c r="E1266" s="1">
        <v>43411</v>
      </c>
      <c r="F1266">
        <v>2.25</v>
      </c>
    </row>
    <row r="1267" spans="1:6" x14ac:dyDescent="0.25">
      <c r="A1267" s="1">
        <v>43493</v>
      </c>
      <c r="B1267">
        <v>2.6</v>
      </c>
      <c r="C1267" s="1">
        <v>43493</v>
      </c>
      <c r="D1267">
        <v>2.2000000000000002</v>
      </c>
      <c r="E1267" s="1">
        <v>43412</v>
      </c>
      <c r="F1267">
        <v>2.25</v>
      </c>
    </row>
    <row r="1268" spans="1:6" x14ac:dyDescent="0.25">
      <c r="A1268" s="1">
        <v>43494</v>
      </c>
      <c r="B1268">
        <v>2.68</v>
      </c>
      <c r="C1268" s="1">
        <v>43494</v>
      </c>
      <c r="D1268">
        <v>2.1</v>
      </c>
      <c r="E1268" s="1">
        <v>43413</v>
      </c>
      <c r="F1268">
        <v>2.25</v>
      </c>
    </row>
    <row r="1269" spans="1:6" x14ac:dyDescent="0.25">
      <c r="A1269" s="1">
        <v>43495</v>
      </c>
      <c r="B1269">
        <v>2.75</v>
      </c>
      <c r="C1269" s="1">
        <v>43495</v>
      </c>
      <c r="D1269">
        <v>2.0099999999999998</v>
      </c>
      <c r="E1269" s="1">
        <v>43416</v>
      </c>
      <c r="F1269">
        <v>2.25</v>
      </c>
    </row>
    <row r="1270" spans="1:6" x14ac:dyDescent="0.25">
      <c r="A1270" s="1">
        <v>43496</v>
      </c>
      <c r="B1270">
        <v>2.85</v>
      </c>
      <c r="C1270" s="1">
        <v>43496</v>
      </c>
      <c r="D1270">
        <v>2.25</v>
      </c>
      <c r="E1270" s="1">
        <v>43417</v>
      </c>
      <c r="F1270">
        <v>2.25</v>
      </c>
    </row>
    <row r="1271" spans="1:6" x14ac:dyDescent="0.25">
      <c r="A1271" s="1">
        <v>43497</v>
      </c>
      <c r="B1271">
        <v>2.75</v>
      </c>
      <c r="C1271" s="1">
        <v>43497</v>
      </c>
      <c r="D1271">
        <v>2.1</v>
      </c>
      <c r="E1271" s="1">
        <v>43418</v>
      </c>
      <c r="F1271">
        <v>2.25</v>
      </c>
    </row>
    <row r="1272" spans="1:6" x14ac:dyDescent="0.25">
      <c r="A1272" s="1">
        <v>43498</v>
      </c>
      <c r="B1272">
        <v>2.2999999999999998</v>
      </c>
      <c r="C1272" s="1">
        <v>43498</v>
      </c>
      <c r="D1272">
        <v>2.2599999999999998</v>
      </c>
      <c r="E1272" s="1">
        <v>43419</v>
      </c>
      <c r="F1272">
        <v>2.25</v>
      </c>
    </row>
    <row r="1273" spans="1:6" x14ac:dyDescent="0.25">
      <c r="A1273" s="1">
        <v>43499</v>
      </c>
      <c r="B1273">
        <v>2.33</v>
      </c>
      <c r="C1273" s="1">
        <v>43499</v>
      </c>
      <c r="D1273">
        <v>2.02</v>
      </c>
      <c r="E1273" s="1">
        <v>43420</v>
      </c>
      <c r="F1273">
        <v>2.25</v>
      </c>
    </row>
    <row r="1274" spans="1:6" x14ac:dyDescent="0.25">
      <c r="A1274" s="1">
        <v>43507</v>
      </c>
      <c r="B1274">
        <v>2.6</v>
      </c>
      <c r="C1274" s="1">
        <v>43507</v>
      </c>
      <c r="D1274">
        <v>2.2799999999999998</v>
      </c>
      <c r="E1274" s="1">
        <v>43423</v>
      </c>
      <c r="F1274">
        <v>2.25</v>
      </c>
    </row>
    <row r="1275" spans="1:6" x14ac:dyDescent="0.25">
      <c r="A1275" s="1">
        <v>43508</v>
      </c>
      <c r="B1275">
        <v>2.5499999999999998</v>
      </c>
      <c r="C1275" s="1">
        <v>43508</v>
      </c>
      <c r="D1275">
        <v>2.04</v>
      </c>
      <c r="E1275" s="1">
        <v>43424</v>
      </c>
      <c r="F1275">
        <v>2.25</v>
      </c>
    </row>
    <row r="1276" spans="1:6" x14ac:dyDescent="0.25">
      <c r="A1276" s="1">
        <v>43509</v>
      </c>
      <c r="B1276">
        <v>2.4300000000000002</v>
      </c>
      <c r="C1276" s="1">
        <v>43509</v>
      </c>
      <c r="D1276">
        <v>1.74</v>
      </c>
      <c r="E1276" s="1">
        <v>43425</v>
      </c>
      <c r="F1276">
        <v>2.25</v>
      </c>
    </row>
    <row r="1277" spans="1:6" x14ac:dyDescent="0.25">
      <c r="A1277" s="1">
        <v>43510</v>
      </c>
      <c r="B1277">
        <v>2.4</v>
      </c>
      <c r="C1277" s="1">
        <v>43510</v>
      </c>
      <c r="D1277">
        <v>1.74</v>
      </c>
      <c r="E1277" s="1">
        <v>43426</v>
      </c>
      <c r="F1277">
        <v>2.25</v>
      </c>
    </row>
    <row r="1278" spans="1:6" x14ac:dyDescent="0.25">
      <c r="A1278" s="1">
        <v>43511</v>
      </c>
      <c r="B1278">
        <v>2.38</v>
      </c>
      <c r="C1278" s="1">
        <v>43511</v>
      </c>
      <c r="D1278">
        <v>1.73</v>
      </c>
      <c r="E1278" s="1">
        <v>43427</v>
      </c>
      <c r="F1278">
        <v>2.25</v>
      </c>
    </row>
    <row r="1279" spans="1:6" x14ac:dyDescent="0.25">
      <c r="A1279" s="1">
        <v>43514</v>
      </c>
      <c r="B1279">
        <v>2.4</v>
      </c>
      <c r="C1279" s="1">
        <v>43514</v>
      </c>
      <c r="D1279">
        <v>1.84</v>
      </c>
      <c r="E1279" s="1">
        <v>43430</v>
      </c>
      <c r="F1279">
        <v>2.25</v>
      </c>
    </row>
    <row r="1280" spans="1:6" x14ac:dyDescent="0.25">
      <c r="A1280" s="1">
        <v>43515</v>
      </c>
      <c r="B1280">
        <v>2.4</v>
      </c>
      <c r="C1280" s="1">
        <v>43515</v>
      </c>
      <c r="D1280">
        <v>2</v>
      </c>
      <c r="E1280" s="1">
        <v>43431</v>
      </c>
      <c r="F1280">
        <v>2.25</v>
      </c>
    </row>
    <row r="1281" spans="1:6" x14ac:dyDescent="0.25">
      <c r="A1281" s="1">
        <v>43516</v>
      </c>
      <c r="B1281">
        <v>2.37</v>
      </c>
      <c r="C1281" s="1">
        <v>43516</v>
      </c>
      <c r="D1281">
        <v>1.89</v>
      </c>
      <c r="E1281" s="1">
        <v>43432</v>
      </c>
      <c r="F1281">
        <v>2.25</v>
      </c>
    </row>
    <row r="1282" spans="1:6" x14ac:dyDescent="0.25">
      <c r="A1282" s="1">
        <v>43517</v>
      </c>
      <c r="B1282">
        <v>2.2999999999999998</v>
      </c>
      <c r="C1282" s="1">
        <v>43517</v>
      </c>
      <c r="D1282">
        <v>2.0499999999999998</v>
      </c>
      <c r="E1282" s="1">
        <v>43433</v>
      </c>
      <c r="F1282">
        <v>2.25</v>
      </c>
    </row>
    <row r="1283" spans="1:6" x14ac:dyDescent="0.25">
      <c r="A1283" s="1">
        <v>43518</v>
      </c>
      <c r="B1283">
        <v>2.6</v>
      </c>
      <c r="C1283" s="1">
        <v>43518</v>
      </c>
      <c r="D1283">
        <v>2.44</v>
      </c>
      <c r="E1283" s="1">
        <v>43434</v>
      </c>
      <c r="F1283">
        <v>2.25</v>
      </c>
    </row>
    <row r="1284" spans="1:6" x14ac:dyDescent="0.25">
      <c r="A1284" s="1">
        <v>43521</v>
      </c>
      <c r="B1284">
        <v>2.65</v>
      </c>
      <c r="C1284" s="1">
        <v>43521</v>
      </c>
      <c r="D1284">
        <v>2.61</v>
      </c>
      <c r="E1284" s="1">
        <v>43437</v>
      </c>
      <c r="F1284">
        <v>2.25</v>
      </c>
    </row>
    <row r="1285" spans="1:6" x14ac:dyDescent="0.25">
      <c r="A1285" s="1">
        <v>43522</v>
      </c>
      <c r="B1285">
        <v>3</v>
      </c>
      <c r="C1285" s="1">
        <v>43522</v>
      </c>
      <c r="D1285">
        <v>2.73</v>
      </c>
      <c r="E1285" s="1">
        <v>43438</v>
      </c>
      <c r="F1285">
        <v>2.25</v>
      </c>
    </row>
    <row r="1286" spans="1:6" x14ac:dyDescent="0.25">
      <c r="A1286" s="1">
        <v>43523</v>
      </c>
      <c r="B1286">
        <v>3.1</v>
      </c>
      <c r="C1286" s="1">
        <v>43523</v>
      </c>
      <c r="D1286">
        <v>2.66</v>
      </c>
      <c r="E1286" s="1">
        <v>43439</v>
      </c>
      <c r="F1286">
        <v>2.25</v>
      </c>
    </row>
    <row r="1287" spans="1:6" x14ac:dyDescent="0.25">
      <c r="A1287" s="1">
        <v>43524</v>
      </c>
      <c r="B1287">
        <v>2.73</v>
      </c>
      <c r="C1287" s="1">
        <v>43524</v>
      </c>
      <c r="D1287">
        <v>2.6</v>
      </c>
      <c r="E1287" s="1">
        <v>43440</v>
      </c>
      <c r="F1287">
        <v>2.25</v>
      </c>
    </row>
    <row r="1288" spans="1:6" x14ac:dyDescent="0.25">
      <c r="A1288" s="1">
        <v>43525</v>
      </c>
      <c r="B1288">
        <v>2.5</v>
      </c>
      <c r="C1288" s="1">
        <v>43525</v>
      </c>
      <c r="D1288">
        <v>2.1800000000000002</v>
      </c>
      <c r="E1288" s="1">
        <v>43441</v>
      </c>
      <c r="F1288">
        <v>2.25</v>
      </c>
    </row>
    <row r="1289" spans="1:6" x14ac:dyDescent="0.25">
      <c r="A1289" s="1">
        <v>43528</v>
      </c>
      <c r="B1289">
        <v>2.37</v>
      </c>
      <c r="C1289" s="1">
        <v>43528</v>
      </c>
      <c r="D1289">
        <v>1.95</v>
      </c>
      <c r="E1289" s="1">
        <v>43444</v>
      </c>
      <c r="F1289">
        <v>2.25</v>
      </c>
    </row>
    <row r="1290" spans="1:6" x14ac:dyDescent="0.25">
      <c r="A1290" s="1">
        <v>43529</v>
      </c>
      <c r="B1290">
        <v>2.5499999999999998</v>
      </c>
      <c r="C1290" s="1">
        <v>43529</v>
      </c>
      <c r="D1290">
        <v>2.2799999999999998</v>
      </c>
      <c r="E1290" s="1">
        <v>43445</v>
      </c>
      <c r="F1290">
        <v>2.25</v>
      </c>
    </row>
    <row r="1291" spans="1:6" x14ac:dyDescent="0.25">
      <c r="A1291" s="1">
        <v>43530</v>
      </c>
      <c r="B1291">
        <v>2.4700000000000002</v>
      </c>
      <c r="C1291" s="1">
        <v>43530</v>
      </c>
      <c r="D1291">
        <v>2.09</v>
      </c>
      <c r="E1291" s="1">
        <v>43446</v>
      </c>
      <c r="F1291">
        <v>2.25</v>
      </c>
    </row>
    <row r="1292" spans="1:6" x14ac:dyDescent="0.25">
      <c r="A1292" s="1">
        <v>43531</v>
      </c>
      <c r="B1292">
        <v>2.4</v>
      </c>
      <c r="C1292" s="1">
        <v>43531</v>
      </c>
      <c r="D1292">
        <v>2.0699999999999998</v>
      </c>
      <c r="E1292" s="1">
        <v>43447</v>
      </c>
      <c r="F1292">
        <v>2.25</v>
      </c>
    </row>
    <row r="1293" spans="1:6" x14ac:dyDescent="0.25">
      <c r="A1293" s="1">
        <v>43532</v>
      </c>
      <c r="B1293">
        <v>2.35</v>
      </c>
      <c r="C1293" s="1">
        <v>43532</v>
      </c>
      <c r="D1293">
        <v>2.06</v>
      </c>
      <c r="E1293" s="1">
        <v>43448</v>
      </c>
      <c r="F1293">
        <v>2.25</v>
      </c>
    </row>
    <row r="1294" spans="1:6" x14ac:dyDescent="0.25">
      <c r="A1294" s="1">
        <v>43535</v>
      </c>
      <c r="B1294">
        <v>2.38</v>
      </c>
      <c r="C1294" s="1">
        <v>43535</v>
      </c>
      <c r="D1294">
        <v>2.1</v>
      </c>
      <c r="E1294" s="1">
        <v>43451</v>
      </c>
      <c r="F1294">
        <v>2.25</v>
      </c>
    </row>
    <row r="1295" spans="1:6" x14ac:dyDescent="0.25">
      <c r="A1295" s="1">
        <v>43536</v>
      </c>
      <c r="B1295">
        <v>2.58</v>
      </c>
      <c r="C1295" s="1">
        <v>43536</v>
      </c>
      <c r="D1295">
        <v>2.38</v>
      </c>
      <c r="E1295" s="1">
        <v>43452</v>
      </c>
      <c r="F1295">
        <v>2.25</v>
      </c>
    </row>
    <row r="1296" spans="1:6" x14ac:dyDescent="0.25">
      <c r="A1296" s="1">
        <v>43537</v>
      </c>
      <c r="B1296">
        <v>2.52</v>
      </c>
      <c r="C1296" s="1">
        <v>43537</v>
      </c>
      <c r="D1296">
        <v>2.09</v>
      </c>
      <c r="E1296" s="1">
        <v>43453</v>
      </c>
      <c r="F1296">
        <v>2.5</v>
      </c>
    </row>
    <row r="1297" spans="1:6" x14ac:dyDescent="0.25">
      <c r="A1297" s="1">
        <v>43538</v>
      </c>
      <c r="B1297">
        <v>2.58</v>
      </c>
      <c r="C1297" s="1">
        <v>43538</v>
      </c>
      <c r="D1297">
        <v>2.3199999999999998</v>
      </c>
      <c r="E1297" s="1">
        <v>43454</v>
      </c>
      <c r="F1297">
        <v>2.5</v>
      </c>
    </row>
    <row r="1298" spans="1:6" x14ac:dyDescent="0.25">
      <c r="A1298" s="1">
        <v>43539</v>
      </c>
      <c r="B1298">
        <v>2.8</v>
      </c>
      <c r="C1298" s="1">
        <v>43539</v>
      </c>
      <c r="D1298">
        <v>2.68</v>
      </c>
      <c r="E1298" s="1">
        <v>43455</v>
      </c>
      <c r="F1298">
        <v>2.5</v>
      </c>
    </row>
    <row r="1299" spans="1:6" x14ac:dyDescent="0.25">
      <c r="A1299" s="1">
        <v>43542</v>
      </c>
      <c r="B1299">
        <v>2.9</v>
      </c>
      <c r="C1299" s="1">
        <v>43542</v>
      </c>
      <c r="D1299">
        <v>2.77</v>
      </c>
      <c r="E1299" s="1">
        <v>43458</v>
      </c>
      <c r="F1299">
        <v>2.5</v>
      </c>
    </row>
    <row r="1300" spans="1:6" x14ac:dyDescent="0.25">
      <c r="A1300" s="1">
        <v>43543</v>
      </c>
      <c r="B1300">
        <v>2.9</v>
      </c>
      <c r="C1300" s="1">
        <v>43543</v>
      </c>
      <c r="D1300">
        <v>2.68</v>
      </c>
      <c r="E1300" s="1">
        <v>43459</v>
      </c>
      <c r="F1300">
        <v>2.5</v>
      </c>
    </row>
    <row r="1301" spans="1:6" x14ac:dyDescent="0.25">
      <c r="A1301" s="1">
        <v>43544</v>
      </c>
      <c r="B1301">
        <v>2.9</v>
      </c>
      <c r="C1301" s="1">
        <v>43544</v>
      </c>
      <c r="D1301">
        <v>2.75</v>
      </c>
      <c r="E1301" s="1">
        <v>43460</v>
      </c>
      <c r="F1301">
        <v>2.5</v>
      </c>
    </row>
    <row r="1302" spans="1:6" x14ac:dyDescent="0.25">
      <c r="A1302" s="1">
        <v>43545</v>
      </c>
      <c r="B1302">
        <v>2.8</v>
      </c>
      <c r="C1302" s="1">
        <v>43545</v>
      </c>
      <c r="D1302">
        <v>2.69</v>
      </c>
      <c r="E1302" s="1">
        <v>43461</v>
      </c>
      <c r="F1302">
        <v>2.5</v>
      </c>
    </row>
    <row r="1303" spans="1:6" x14ac:dyDescent="0.25">
      <c r="A1303" s="1">
        <v>43546</v>
      </c>
      <c r="B1303">
        <v>2.72</v>
      </c>
      <c r="C1303" s="1">
        <v>43546</v>
      </c>
      <c r="D1303">
        <v>2.63</v>
      </c>
      <c r="E1303" s="1">
        <v>43462</v>
      </c>
      <c r="F1303">
        <v>2.5</v>
      </c>
    </row>
    <row r="1304" spans="1:6" x14ac:dyDescent="0.25">
      <c r="A1304" s="1">
        <v>43549</v>
      </c>
      <c r="B1304">
        <v>2.8</v>
      </c>
      <c r="C1304" s="1">
        <v>43549</v>
      </c>
      <c r="D1304">
        <v>2.5499999999999998</v>
      </c>
      <c r="E1304" s="1">
        <v>43465</v>
      </c>
      <c r="F1304">
        <v>2.5</v>
      </c>
    </row>
    <row r="1305" spans="1:6" x14ac:dyDescent="0.25">
      <c r="A1305" s="1">
        <v>43550</v>
      </c>
      <c r="B1305">
        <v>3.13</v>
      </c>
      <c r="C1305" s="1">
        <v>43550</v>
      </c>
      <c r="D1305">
        <v>2.5099999999999998</v>
      </c>
      <c r="E1305" s="1">
        <v>43466</v>
      </c>
      <c r="F1305">
        <v>2.5</v>
      </c>
    </row>
    <row r="1306" spans="1:6" x14ac:dyDescent="0.25">
      <c r="A1306" s="1">
        <v>43551</v>
      </c>
      <c r="B1306">
        <v>3.25</v>
      </c>
      <c r="C1306" s="1">
        <v>43551</v>
      </c>
      <c r="D1306">
        <v>2.3199999999999998</v>
      </c>
      <c r="E1306" s="1">
        <v>43467</v>
      </c>
      <c r="F1306">
        <v>2.5</v>
      </c>
    </row>
    <row r="1307" spans="1:6" x14ac:dyDescent="0.25">
      <c r="A1307" s="1">
        <v>43552</v>
      </c>
      <c r="B1307">
        <v>3.4</v>
      </c>
      <c r="C1307" s="1">
        <v>43552</v>
      </c>
      <c r="D1307">
        <v>2.0699999999999998</v>
      </c>
      <c r="E1307" s="1">
        <v>43468</v>
      </c>
      <c r="F1307">
        <v>2.5</v>
      </c>
    </row>
    <row r="1308" spans="1:6" x14ac:dyDescent="0.25">
      <c r="A1308" s="1">
        <v>43553</v>
      </c>
      <c r="B1308">
        <v>3</v>
      </c>
      <c r="C1308" s="1">
        <v>43553</v>
      </c>
      <c r="D1308">
        <v>2.5099999999999998</v>
      </c>
      <c r="E1308" s="1">
        <v>43469</v>
      </c>
      <c r="F1308">
        <v>2.5</v>
      </c>
    </row>
    <row r="1309" spans="1:6" x14ac:dyDescent="0.25">
      <c r="A1309" s="1">
        <v>43556</v>
      </c>
      <c r="B1309">
        <v>2.65</v>
      </c>
      <c r="C1309" s="1">
        <v>43556</v>
      </c>
      <c r="D1309">
        <v>2.34</v>
      </c>
      <c r="E1309" s="1">
        <v>43472</v>
      </c>
      <c r="F1309">
        <v>2.5</v>
      </c>
    </row>
    <row r="1310" spans="1:6" x14ac:dyDescent="0.25">
      <c r="A1310" s="1">
        <v>43557</v>
      </c>
      <c r="B1310">
        <v>2.5</v>
      </c>
      <c r="C1310" s="1">
        <v>43557</v>
      </c>
      <c r="D1310">
        <v>2</v>
      </c>
      <c r="E1310" s="1">
        <v>43473</v>
      </c>
      <c r="F1310">
        <v>2.5</v>
      </c>
    </row>
    <row r="1311" spans="1:6" x14ac:dyDescent="0.25">
      <c r="A1311" s="1">
        <v>43558</v>
      </c>
      <c r="B1311">
        <v>2.35</v>
      </c>
      <c r="C1311" s="1">
        <v>43558</v>
      </c>
      <c r="D1311">
        <v>1.69</v>
      </c>
      <c r="E1311" s="1">
        <v>43474</v>
      </c>
      <c r="F1311">
        <v>2.5</v>
      </c>
    </row>
    <row r="1312" spans="1:6" x14ac:dyDescent="0.25">
      <c r="A1312" s="1">
        <v>43559</v>
      </c>
      <c r="B1312">
        <v>2.2999999999999998</v>
      </c>
      <c r="C1312" s="1">
        <v>43559</v>
      </c>
      <c r="D1312">
        <v>1.45</v>
      </c>
      <c r="E1312" s="1">
        <v>43475</v>
      </c>
      <c r="F1312">
        <v>2.5</v>
      </c>
    </row>
    <row r="1313" spans="1:6" x14ac:dyDescent="0.25">
      <c r="A1313" s="1">
        <v>43563</v>
      </c>
      <c r="B1313">
        <v>2.48</v>
      </c>
      <c r="C1313" s="1">
        <v>43563</v>
      </c>
      <c r="D1313">
        <v>1.44</v>
      </c>
      <c r="E1313" s="1">
        <v>43476</v>
      </c>
      <c r="F1313">
        <v>2.5</v>
      </c>
    </row>
    <row r="1314" spans="1:6" x14ac:dyDescent="0.25">
      <c r="A1314" s="1">
        <v>43564</v>
      </c>
      <c r="B1314">
        <v>2.4500000000000002</v>
      </c>
      <c r="C1314" s="1">
        <v>43564</v>
      </c>
      <c r="D1314">
        <v>1.83</v>
      </c>
      <c r="E1314" s="1">
        <v>43479</v>
      </c>
      <c r="F1314">
        <v>2.5</v>
      </c>
    </row>
    <row r="1315" spans="1:6" x14ac:dyDescent="0.25">
      <c r="A1315" s="1">
        <v>43565</v>
      </c>
      <c r="B1315">
        <v>2.7</v>
      </c>
      <c r="C1315" s="1">
        <v>43565</v>
      </c>
      <c r="D1315">
        <v>2.2999999999999998</v>
      </c>
      <c r="E1315" s="1">
        <v>43480</v>
      </c>
      <c r="F1315">
        <v>2.5</v>
      </c>
    </row>
    <row r="1316" spans="1:6" x14ac:dyDescent="0.25">
      <c r="A1316" s="1">
        <v>43566</v>
      </c>
      <c r="B1316">
        <v>2.66</v>
      </c>
      <c r="C1316" s="1">
        <v>43566</v>
      </c>
      <c r="D1316">
        <v>2.75</v>
      </c>
      <c r="E1316" s="1">
        <v>43481</v>
      </c>
      <c r="F1316">
        <v>2.5</v>
      </c>
    </row>
    <row r="1317" spans="1:6" x14ac:dyDescent="0.25">
      <c r="A1317" s="1">
        <v>43567</v>
      </c>
      <c r="B1317">
        <v>2.7</v>
      </c>
      <c r="C1317" s="1">
        <v>43567</v>
      </c>
      <c r="D1317">
        <v>2.66</v>
      </c>
      <c r="E1317" s="1">
        <v>43482</v>
      </c>
      <c r="F1317">
        <v>2.5</v>
      </c>
    </row>
    <row r="1318" spans="1:6" x14ac:dyDescent="0.25">
      <c r="A1318" s="1">
        <v>43570</v>
      </c>
      <c r="B1318">
        <v>2.95</v>
      </c>
      <c r="C1318" s="1">
        <v>43570</v>
      </c>
      <c r="D1318">
        <v>2.82</v>
      </c>
      <c r="E1318" s="1">
        <v>43483</v>
      </c>
      <c r="F1318">
        <v>2.5</v>
      </c>
    </row>
    <row r="1319" spans="1:6" x14ac:dyDescent="0.25">
      <c r="A1319" s="1">
        <v>43571</v>
      </c>
      <c r="B1319">
        <v>3.1</v>
      </c>
      <c r="C1319" s="1">
        <v>43571</v>
      </c>
      <c r="D1319">
        <v>2.92</v>
      </c>
      <c r="E1319" s="1">
        <v>43486</v>
      </c>
      <c r="F1319">
        <v>2.5</v>
      </c>
    </row>
    <row r="1320" spans="1:6" x14ac:dyDescent="0.25">
      <c r="A1320" s="1">
        <v>43572</v>
      </c>
      <c r="B1320">
        <v>3.2</v>
      </c>
      <c r="C1320" s="1">
        <v>43572</v>
      </c>
      <c r="D1320">
        <v>3.02</v>
      </c>
      <c r="E1320" s="1">
        <v>43487</v>
      </c>
      <c r="F1320">
        <v>2.5</v>
      </c>
    </row>
    <row r="1321" spans="1:6" x14ac:dyDescent="0.25">
      <c r="A1321" s="1">
        <v>43573</v>
      </c>
      <c r="B1321">
        <v>3</v>
      </c>
      <c r="C1321" s="1">
        <v>43573</v>
      </c>
      <c r="D1321">
        <v>2.82</v>
      </c>
      <c r="E1321" s="1">
        <v>43488</v>
      </c>
      <c r="F1321">
        <v>2.5</v>
      </c>
    </row>
    <row r="1322" spans="1:6" x14ac:dyDescent="0.25">
      <c r="A1322" s="1">
        <v>43574</v>
      </c>
      <c r="B1322">
        <v>2.7</v>
      </c>
      <c r="C1322" s="1">
        <v>43574</v>
      </c>
      <c r="D1322">
        <v>2.68</v>
      </c>
      <c r="E1322" s="1">
        <v>43489</v>
      </c>
      <c r="F1322">
        <v>2.5</v>
      </c>
    </row>
    <row r="1323" spans="1:6" x14ac:dyDescent="0.25">
      <c r="A1323" s="1">
        <v>43577</v>
      </c>
      <c r="B1323">
        <v>2.65</v>
      </c>
      <c r="C1323" s="1">
        <v>43577</v>
      </c>
      <c r="D1323">
        <v>2.57</v>
      </c>
      <c r="E1323" s="1">
        <v>43490</v>
      </c>
      <c r="F1323">
        <v>2.5</v>
      </c>
    </row>
    <row r="1324" spans="1:6" x14ac:dyDescent="0.25">
      <c r="A1324" s="1">
        <v>43578</v>
      </c>
      <c r="B1324">
        <v>2.8</v>
      </c>
      <c r="C1324" s="1">
        <v>43578</v>
      </c>
      <c r="D1324">
        <v>2.85</v>
      </c>
      <c r="E1324" s="1">
        <v>43493</v>
      </c>
      <c r="F1324">
        <v>2.5</v>
      </c>
    </row>
    <row r="1325" spans="1:6" x14ac:dyDescent="0.25">
      <c r="A1325" s="1">
        <v>43579</v>
      </c>
      <c r="B1325">
        <v>2.95</v>
      </c>
      <c r="C1325" s="1">
        <v>43579</v>
      </c>
      <c r="D1325">
        <v>2.8</v>
      </c>
      <c r="E1325" s="1">
        <v>43494</v>
      </c>
      <c r="F1325">
        <v>2.5</v>
      </c>
    </row>
    <row r="1326" spans="1:6" x14ac:dyDescent="0.25">
      <c r="A1326" s="1">
        <v>43580</v>
      </c>
      <c r="B1326">
        <v>2.8</v>
      </c>
      <c r="C1326" s="1">
        <v>43580</v>
      </c>
      <c r="D1326">
        <v>2.8</v>
      </c>
      <c r="E1326" s="1">
        <v>43495</v>
      </c>
      <c r="F1326">
        <v>2.5</v>
      </c>
    </row>
    <row r="1327" spans="1:6" x14ac:dyDescent="0.25">
      <c r="A1327" s="1">
        <v>43581</v>
      </c>
      <c r="B1327">
        <v>2.74</v>
      </c>
      <c r="C1327" s="1">
        <v>43581</v>
      </c>
      <c r="D1327">
        <v>2.5</v>
      </c>
      <c r="E1327" s="1">
        <v>43496</v>
      </c>
      <c r="F1327">
        <v>2.5</v>
      </c>
    </row>
    <row r="1328" spans="1:6" x14ac:dyDescent="0.25">
      <c r="A1328" s="1">
        <v>43583</v>
      </c>
      <c r="B1328">
        <v>2.7</v>
      </c>
      <c r="C1328" s="1">
        <v>43583</v>
      </c>
      <c r="D1328">
        <v>2.0699999999999998</v>
      </c>
      <c r="E1328" s="1">
        <v>43497</v>
      </c>
      <c r="F1328">
        <v>2.5</v>
      </c>
    </row>
    <row r="1329" spans="1:6" x14ac:dyDescent="0.25">
      <c r="A1329" s="1">
        <v>43584</v>
      </c>
      <c r="B1329">
        <v>2.88</v>
      </c>
      <c r="C1329" s="1">
        <v>43584</v>
      </c>
      <c r="D1329">
        <v>1.71</v>
      </c>
      <c r="E1329" s="1">
        <v>43500</v>
      </c>
      <c r="F1329">
        <v>2.5</v>
      </c>
    </row>
    <row r="1330" spans="1:6" x14ac:dyDescent="0.25">
      <c r="A1330" s="1">
        <v>43585</v>
      </c>
      <c r="B1330">
        <v>2.75</v>
      </c>
      <c r="C1330" s="1">
        <v>43585</v>
      </c>
      <c r="D1330">
        <v>2.1</v>
      </c>
      <c r="E1330" s="1">
        <v>43501</v>
      </c>
      <c r="F1330">
        <v>2.5</v>
      </c>
    </row>
    <row r="1331" spans="1:6" x14ac:dyDescent="0.25">
      <c r="A1331" s="1">
        <v>43590</v>
      </c>
      <c r="B1331">
        <v>2.46</v>
      </c>
      <c r="C1331" s="1">
        <v>43590</v>
      </c>
      <c r="D1331">
        <v>1.79</v>
      </c>
      <c r="E1331" s="1">
        <v>43502</v>
      </c>
      <c r="F1331">
        <v>2.5</v>
      </c>
    </row>
    <row r="1332" spans="1:6" x14ac:dyDescent="0.25">
      <c r="A1332" s="1">
        <v>43591</v>
      </c>
      <c r="B1332">
        <v>2.5</v>
      </c>
      <c r="C1332" s="1">
        <v>43591</v>
      </c>
      <c r="D1332">
        <v>1.65</v>
      </c>
      <c r="E1332" s="1">
        <v>43503</v>
      </c>
      <c r="F1332">
        <v>2.5</v>
      </c>
    </row>
    <row r="1333" spans="1:6" x14ac:dyDescent="0.25">
      <c r="A1333" s="1">
        <v>43592</v>
      </c>
      <c r="B1333">
        <v>2.2999999999999998</v>
      </c>
      <c r="C1333" s="1">
        <v>43592</v>
      </c>
      <c r="D1333">
        <v>1.41</v>
      </c>
      <c r="E1333" s="1">
        <v>43504</v>
      </c>
      <c r="F1333">
        <v>2.5</v>
      </c>
    </row>
    <row r="1334" spans="1:6" x14ac:dyDescent="0.25">
      <c r="A1334" s="1">
        <v>43593</v>
      </c>
      <c r="B1334">
        <v>2.2999999999999998</v>
      </c>
      <c r="C1334" s="1">
        <v>43593</v>
      </c>
      <c r="D1334">
        <v>1.18</v>
      </c>
      <c r="E1334" s="1">
        <v>43507</v>
      </c>
      <c r="F1334">
        <v>2.5</v>
      </c>
    </row>
    <row r="1335" spans="1:6" x14ac:dyDescent="0.25">
      <c r="A1335" s="1">
        <v>43594</v>
      </c>
      <c r="B1335">
        <v>2.2999999999999998</v>
      </c>
      <c r="C1335" s="1">
        <v>43594</v>
      </c>
      <c r="D1335">
        <v>1.55</v>
      </c>
      <c r="E1335" s="1">
        <v>43508</v>
      </c>
      <c r="F1335">
        <v>2.5</v>
      </c>
    </row>
    <row r="1336" spans="1:6" x14ac:dyDescent="0.25">
      <c r="A1336" s="1">
        <v>43595</v>
      </c>
      <c r="B1336">
        <v>2.44</v>
      </c>
      <c r="C1336" s="1">
        <v>43595</v>
      </c>
      <c r="D1336">
        <v>1.85</v>
      </c>
      <c r="E1336" s="1">
        <v>43509</v>
      </c>
      <c r="F1336">
        <v>2.5</v>
      </c>
    </row>
    <row r="1337" spans="1:6" x14ac:dyDescent="0.25">
      <c r="A1337" s="1">
        <v>43598</v>
      </c>
      <c r="B1337">
        <v>2.5</v>
      </c>
      <c r="C1337" s="1">
        <v>43598</v>
      </c>
      <c r="D1337">
        <v>2.17</v>
      </c>
      <c r="E1337" s="1">
        <v>43510</v>
      </c>
      <c r="F1337">
        <v>2.5</v>
      </c>
    </row>
    <row r="1338" spans="1:6" x14ac:dyDescent="0.25">
      <c r="A1338" s="1">
        <v>43599</v>
      </c>
      <c r="B1338">
        <v>2.6</v>
      </c>
      <c r="C1338" s="1">
        <v>43599</v>
      </c>
      <c r="D1338">
        <v>2.42</v>
      </c>
      <c r="E1338" s="1">
        <v>43511</v>
      </c>
      <c r="F1338">
        <v>2.5</v>
      </c>
    </row>
    <row r="1339" spans="1:6" x14ac:dyDescent="0.25">
      <c r="A1339" s="1">
        <v>43600</v>
      </c>
      <c r="B1339">
        <v>2.63</v>
      </c>
      <c r="C1339" s="1">
        <v>43600</v>
      </c>
      <c r="D1339">
        <v>2.54</v>
      </c>
      <c r="E1339" s="1">
        <v>43514</v>
      </c>
      <c r="F1339">
        <v>2.5</v>
      </c>
    </row>
    <row r="1340" spans="1:6" x14ac:dyDescent="0.25">
      <c r="A1340" s="1">
        <v>43601</v>
      </c>
      <c r="B1340">
        <v>2.6</v>
      </c>
      <c r="C1340" s="1">
        <v>43601</v>
      </c>
      <c r="D1340">
        <v>2.29</v>
      </c>
      <c r="E1340" s="1">
        <v>43515</v>
      </c>
      <c r="F1340">
        <v>2.5</v>
      </c>
    </row>
    <row r="1341" spans="1:6" x14ac:dyDescent="0.25">
      <c r="A1341" s="1">
        <v>43602</v>
      </c>
      <c r="B1341">
        <v>2.56</v>
      </c>
      <c r="C1341" s="1">
        <v>43602</v>
      </c>
      <c r="D1341">
        <v>2.15</v>
      </c>
      <c r="E1341" s="1">
        <v>43516</v>
      </c>
      <c r="F1341">
        <v>2.5</v>
      </c>
    </row>
    <row r="1342" spans="1:6" x14ac:dyDescent="0.25">
      <c r="A1342" s="1">
        <v>43605</v>
      </c>
      <c r="B1342">
        <v>2.71</v>
      </c>
      <c r="C1342" s="1">
        <v>43605</v>
      </c>
      <c r="D1342">
        <v>2.6</v>
      </c>
      <c r="E1342" s="1">
        <v>43517</v>
      </c>
      <c r="F1342">
        <v>2.5</v>
      </c>
    </row>
    <row r="1343" spans="1:6" x14ac:dyDescent="0.25">
      <c r="A1343" s="1">
        <v>43606</v>
      </c>
      <c r="B1343">
        <v>2.81</v>
      </c>
      <c r="C1343" s="1">
        <v>43606</v>
      </c>
      <c r="D1343">
        <v>2.77</v>
      </c>
      <c r="E1343" s="1">
        <v>43518</v>
      </c>
      <c r="F1343">
        <v>2.5</v>
      </c>
    </row>
    <row r="1344" spans="1:6" x14ac:dyDescent="0.25">
      <c r="A1344" s="1">
        <v>43607</v>
      </c>
      <c r="B1344">
        <v>2.72</v>
      </c>
      <c r="C1344" s="1">
        <v>43607</v>
      </c>
      <c r="D1344">
        <v>2.64</v>
      </c>
      <c r="E1344" s="1">
        <v>43521</v>
      </c>
      <c r="F1344">
        <v>2.5</v>
      </c>
    </row>
    <row r="1345" spans="1:6" x14ac:dyDescent="0.25">
      <c r="A1345" s="1">
        <v>43608</v>
      </c>
      <c r="B1345">
        <v>2.6</v>
      </c>
      <c r="C1345" s="1">
        <v>43608</v>
      </c>
      <c r="D1345">
        <v>2.6</v>
      </c>
      <c r="E1345" s="1">
        <v>43522</v>
      </c>
      <c r="F1345">
        <v>2.5</v>
      </c>
    </row>
    <row r="1346" spans="1:6" x14ac:dyDescent="0.25">
      <c r="A1346" s="1">
        <v>43609</v>
      </c>
      <c r="B1346">
        <v>2.57</v>
      </c>
      <c r="C1346" s="1">
        <v>43609</v>
      </c>
      <c r="D1346">
        <v>2.35</v>
      </c>
      <c r="E1346" s="1">
        <v>43523</v>
      </c>
      <c r="F1346">
        <v>2.5</v>
      </c>
    </row>
    <row r="1347" spans="1:6" x14ac:dyDescent="0.25">
      <c r="A1347" s="1">
        <v>43612</v>
      </c>
      <c r="B1347">
        <v>2.8</v>
      </c>
      <c r="C1347" s="1">
        <v>43612</v>
      </c>
      <c r="D1347">
        <v>2.68</v>
      </c>
      <c r="E1347" s="1">
        <v>43524</v>
      </c>
      <c r="F1347">
        <v>2.5</v>
      </c>
    </row>
    <row r="1348" spans="1:6" x14ac:dyDescent="0.25">
      <c r="A1348" s="1">
        <v>43613</v>
      </c>
      <c r="B1348">
        <v>3</v>
      </c>
      <c r="C1348" s="1">
        <v>43613</v>
      </c>
      <c r="D1348">
        <v>2.82</v>
      </c>
      <c r="E1348" s="1">
        <v>43525</v>
      </c>
      <c r="F1348">
        <v>2.5</v>
      </c>
    </row>
    <row r="1349" spans="1:6" x14ac:dyDescent="0.25">
      <c r="A1349" s="1">
        <v>43614</v>
      </c>
      <c r="B1349">
        <v>3</v>
      </c>
      <c r="C1349" s="1">
        <v>43614</v>
      </c>
      <c r="D1349">
        <v>2.5</v>
      </c>
      <c r="E1349" s="1">
        <v>43528</v>
      </c>
      <c r="F1349">
        <v>2.5</v>
      </c>
    </row>
    <row r="1350" spans="1:6" x14ac:dyDescent="0.25">
      <c r="A1350" s="1">
        <v>43615</v>
      </c>
      <c r="B1350">
        <v>2.7</v>
      </c>
      <c r="C1350" s="1">
        <v>43615</v>
      </c>
      <c r="D1350">
        <v>2.08</v>
      </c>
      <c r="E1350" s="1">
        <v>43529</v>
      </c>
      <c r="F1350">
        <v>2.5</v>
      </c>
    </row>
    <row r="1351" spans="1:6" x14ac:dyDescent="0.25">
      <c r="A1351" s="1">
        <v>43616</v>
      </c>
      <c r="B1351">
        <v>2.65</v>
      </c>
      <c r="C1351" s="1">
        <v>43616</v>
      </c>
      <c r="D1351">
        <v>2.2200000000000002</v>
      </c>
      <c r="E1351" s="1">
        <v>43530</v>
      </c>
      <c r="F1351">
        <v>2.5</v>
      </c>
    </row>
    <row r="1352" spans="1:6" x14ac:dyDescent="0.25">
      <c r="A1352" s="1">
        <v>43619</v>
      </c>
      <c r="B1352">
        <v>2.5</v>
      </c>
      <c r="C1352" s="1">
        <v>43619</v>
      </c>
      <c r="D1352">
        <v>2.02</v>
      </c>
      <c r="E1352" s="1">
        <v>43531</v>
      </c>
      <c r="F1352">
        <v>2.5</v>
      </c>
    </row>
    <row r="1353" spans="1:6" x14ac:dyDescent="0.25">
      <c r="A1353" s="1">
        <v>43620</v>
      </c>
      <c r="B1353">
        <v>2.4</v>
      </c>
      <c r="C1353" s="1">
        <v>43620</v>
      </c>
      <c r="D1353">
        <v>1.75</v>
      </c>
      <c r="E1353" s="1">
        <v>43532</v>
      </c>
      <c r="F1353">
        <v>2.5</v>
      </c>
    </row>
    <row r="1354" spans="1:6" x14ac:dyDescent="0.25">
      <c r="A1354" s="1">
        <v>43621</v>
      </c>
      <c r="B1354">
        <v>2.4700000000000002</v>
      </c>
      <c r="C1354" s="1">
        <v>43621</v>
      </c>
      <c r="D1354">
        <v>1.61</v>
      </c>
      <c r="E1354" s="1">
        <v>43535</v>
      </c>
      <c r="F1354">
        <v>2.5</v>
      </c>
    </row>
    <row r="1355" spans="1:6" x14ac:dyDescent="0.25">
      <c r="A1355" s="1">
        <v>43622</v>
      </c>
      <c r="B1355">
        <v>2.5</v>
      </c>
      <c r="C1355" s="1">
        <v>43622</v>
      </c>
      <c r="D1355">
        <v>1.54</v>
      </c>
      <c r="E1355" s="1">
        <v>43536</v>
      </c>
      <c r="F1355">
        <v>2.5</v>
      </c>
    </row>
    <row r="1356" spans="1:6" x14ac:dyDescent="0.25">
      <c r="A1356" s="1">
        <v>43626</v>
      </c>
      <c r="B1356">
        <v>2.5499999999999998</v>
      </c>
      <c r="C1356" s="1">
        <v>43626</v>
      </c>
      <c r="D1356">
        <v>1.86</v>
      </c>
      <c r="E1356" s="1">
        <v>43537</v>
      </c>
      <c r="F1356">
        <v>2.5</v>
      </c>
    </row>
    <row r="1357" spans="1:6" x14ac:dyDescent="0.25">
      <c r="A1357" s="1">
        <v>43627</v>
      </c>
      <c r="B1357">
        <v>2.57</v>
      </c>
      <c r="C1357" s="1">
        <v>43627</v>
      </c>
      <c r="D1357">
        <v>2.0699999999999998</v>
      </c>
      <c r="E1357" s="1">
        <v>43538</v>
      </c>
      <c r="F1357">
        <v>2.5</v>
      </c>
    </row>
    <row r="1358" spans="1:6" x14ac:dyDescent="0.25">
      <c r="A1358" s="1">
        <v>43628</v>
      </c>
      <c r="B1358">
        <v>2.59</v>
      </c>
      <c r="C1358" s="1">
        <v>43628</v>
      </c>
      <c r="D1358">
        <v>1.96</v>
      </c>
      <c r="E1358" s="1">
        <v>43539</v>
      </c>
      <c r="F1358">
        <v>2.5</v>
      </c>
    </row>
    <row r="1359" spans="1:6" x14ac:dyDescent="0.25">
      <c r="A1359" s="1">
        <v>43629</v>
      </c>
      <c r="B1359">
        <v>2.5499999999999998</v>
      </c>
      <c r="C1359" s="1">
        <v>43629</v>
      </c>
      <c r="D1359">
        <v>1.94</v>
      </c>
      <c r="E1359" s="1">
        <v>43542</v>
      </c>
      <c r="F1359">
        <v>2.5</v>
      </c>
    </row>
    <row r="1360" spans="1:6" x14ac:dyDescent="0.25">
      <c r="A1360" s="1">
        <v>43630</v>
      </c>
      <c r="B1360">
        <v>2.5499999999999998</v>
      </c>
      <c r="C1360" s="1">
        <v>43630</v>
      </c>
      <c r="D1360">
        <v>1.74</v>
      </c>
      <c r="E1360" s="1">
        <v>43543</v>
      </c>
      <c r="F1360">
        <v>2.5</v>
      </c>
    </row>
    <row r="1361" spans="1:6" x14ac:dyDescent="0.25">
      <c r="A1361" s="1">
        <v>43633</v>
      </c>
      <c r="B1361">
        <v>2.5</v>
      </c>
      <c r="C1361" s="1">
        <v>43633</v>
      </c>
      <c r="D1361">
        <v>1.81</v>
      </c>
      <c r="E1361" s="1">
        <v>43544</v>
      </c>
      <c r="F1361">
        <v>2.5</v>
      </c>
    </row>
    <row r="1362" spans="1:6" x14ac:dyDescent="0.25">
      <c r="A1362" s="1">
        <v>43634</v>
      </c>
      <c r="B1362">
        <v>2.38</v>
      </c>
      <c r="C1362" s="1">
        <v>43634</v>
      </c>
      <c r="D1362">
        <v>1.62</v>
      </c>
      <c r="E1362" s="1">
        <v>43545</v>
      </c>
      <c r="F1362">
        <v>2.5</v>
      </c>
    </row>
    <row r="1363" spans="1:6" x14ac:dyDescent="0.25">
      <c r="A1363" s="1">
        <v>43635</v>
      </c>
      <c r="B1363">
        <v>2.36</v>
      </c>
      <c r="C1363" s="1">
        <v>43635</v>
      </c>
      <c r="D1363">
        <v>1.46</v>
      </c>
      <c r="E1363" s="1">
        <v>43546</v>
      </c>
      <c r="F1363">
        <v>2.5</v>
      </c>
    </row>
    <row r="1364" spans="1:6" x14ac:dyDescent="0.25">
      <c r="A1364" s="1">
        <v>43636</v>
      </c>
      <c r="B1364">
        <v>2.44</v>
      </c>
      <c r="C1364" s="1">
        <v>43636</v>
      </c>
      <c r="D1364">
        <v>1.26</v>
      </c>
      <c r="E1364" s="1">
        <v>43549</v>
      </c>
      <c r="F1364">
        <v>2.5</v>
      </c>
    </row>
    <row r="1365" spans="1:6" x14ac:dyDescent="0.25">
      <c r="A1365" s="1">
        <v>43637</v>
      </c>
      <c r="B1365">
        <v>2.2999999999999998</v>
      </c>
      <c r="C1365" s="1">
        <v>43637</v>
      </c>
      <c r="D1365">
        <v>1.1299999999999999</v>
      </c>
      <c r="E1365" s="1">
        <v>43550</v>
      </c>
      <c r="F1365">
        <v>2.5</v>
      </c>
    </row>
    <row r="1366" spans="1:6" x14ac:dyDescent="0.25">
      <c r="A1366" s="1">
        <v>43640</v>
      </c>
      <c r="B1366">
        <v>2.4500000000000002</v>
      </c>
      <c r="C1366" s="1">
        <v>43640</v>
      </c>
      <c r="D1366">
        <v>1.01</v>
      </c>
      <c r="E1366" s="1">
        <v>43551</v>
      </c>
      <c r="F1366">
        <v>2.5</v>
      </c>
    </row>
    <row r="1367" spans="1:6" x14ac:dyDescent="0.25">
      <c r="A1367" s="1">
        <v>43641</v>
      </c>
      <c r="B1367">
        <v>2.6</v>
      </c>
      <c r="C1367" s="1">
        <v>43641</v>
      </c>
      <c r="D1367">
        <v>1.04</v>
      </c>
      <c r="E1367" s="1">
        <v>43552</v>
      </c>
      <c r="F1367">
        <v>2.5</v>
      </c>
    </row>
    <row r="1368" spans="1:6" x14ac:dyDescent="0.25">
      <c r="A1368" s="1">
        <v>43642</v>
      </c>
      <c r="B1368">
        <v>2.6</v>
      </c>
      <c r="C1368" s="1">
        <v>43642</v>
      </c>
      <c r="D1368">
        <v>1</v>
      </c>
      <c r="E1368" s="1">
        <v>43553</v>
      </c>
      <c r="F1368">
        <v>2.5</v>
      </c>
    </row>
    <row r="1369" spans="1:6" x14ac:dyDescent="0.25">
      <c r="A1369" s="1">
        <v>43643</v>
      </c>
      <c r="B1369">
        <v>2.7</v>
      </c>
      <c r="C1369" s="1">
        <v>43643</v>
      </c>
      <c r="D1369">
        <v>0.98</v>
      </c>
      <c r="E1369" s="1">
        <v>43556</v>
      </c>
      <c r="F1369">
        <v>2.5</v>
      </c>
    </row>
    <row r="1370" spans="1:6" x14ac:dyDescent="0.25">
      <c r="A1370" s="1">
        <v>43644</v>
      </c>
      <c r="B1370">
        <v>2.63</v>
      </c>
      <c r="C1370" s="1">
        <v>43644</v>
      </c>
      <c r="D1370">
        <v>1.4</v>
      </c>
      <c r="E1370" s="1">
        <v>43557</v>
      </c>
      <c r="F1370">
        <v>2.5</v>
      </c>
    </row>
    <row r="1371" spans="1:6" x14ac:dyDescent="0.25">
      <c r="A1371" s="1">
        <v>43647</v>
      </c>
      <c r="B1371">
        <v>2.29</v>
      </c>
      <c r="C1371" s="1">
        <v>43647</v>
      </c>
      <c r="D1371">
        <v>1.08</v>
      </c>
      <c r="E1371" s="1">
        <v>43558</v>
      </c>
      <c r="F1371">
        <v>2.5</v>
      </c>
    </row>
    <row r="1372" spans="1:6" x14ac:dyDescent="0.25">
      <c r="A1372" s="1">
        <v>43648</v>
      </c>
      <c r="B1372">
        <v>2.2000000000000002</v>
      </c>
      <c r="C1372" s="1">
        <v>43648</v>
      </c>
      <c r="D1372">
        <v>0.95</v>
      </c>
      <c r="E1372" s="1">
        <v>43559</v>
      </c>
      <c r="F1372">
        <v>2.5</v>
      </c>
    </row>
    <row r="1373" spans="1:6" x14ac:dyDescent="0.25">
      <c r="A1373" s="1">
        <v>43649</v>
      </c>
      <c r="B1373">
        <v>2.16</v>
      </c>
      <c r="C1373" s="1">
        <v>43649</v>
      </c>
      <c r="D1373">
        <v>0.9</v>
      </c>
      <c r="E1373" s="1">
        <v>43560</v>
      </c>
      <c r="F1373">
        <v>2.5</v>
      </c>
    </row>
    <row r="1374" spans="1:6" x14ac:dyDescent="0.25">
      <c r="A1374" s="1">
        <v>43650</v>
      </c>
      <c r="B1374">
        <v>2.14</v>
      </c>
      <c r="C1374" s="1">
        <v>43650</v>
      </c>
      <c r="D1374">
        <v>0.87</v>
      </c>
      <c r="E1374" s="1">
        <v>43563</v>
      </c>
      <c r="F1374">
        <v>2.5</v>
      </c>
    </row>
    <row r="1375" spans="1:6" x14ac:dyDescent="0.25">
      <c r="A1375" s="1">
        <v>43651</v>
      </c>
      <c r="B1375">
        <v>2.2200000000000002</v>
      </c>
      <c r="C1375" s="1">
        <v>43651</v>
      </c>
      <c r="D1375">
        <v>1.08</v>
      </c>
      <c r="E1375" s="1">
        <v>43564</v>
      </c>
      <c r="F1375">
        <v>2.5</v>
      </c>
    </row>
    <row r="1376" spans="1:6" x14ac:dyDescent="0.25">
      <c r="A1376" s="1">
        <v>43654</v>
      </c>
      <c r="B1376">
        <v>2.41</v>
      </c>
      <c r="C1376" s="1">
        <v>43654</v>
      </c>
      <c r="D1376">
        <v>1.46</v>
      </c>
      <c r="E1376" s="1">
        <v>43565</v>
      </c>
      <c r="F1376">
        <v>2.5</v>
      </c>
    </row>
    <row r="1377" spans="1:6" x14ac:dyDescent="0.25">
      <c r="A1377" s="1">
        <v>43655</v>
      </c>
      <c r="B1377">
        <v>2.5</v>
      </c>
      <c r="C1377" s="1">
        <v>43655</v>
      </c>
      <c r="D1377">
        <v>1.79</v>
      </c>
      <c r="E1377" s="1">
        <v>43566</v>
      </c>
      <c r="F1377">
        <v>2.5</v>
      </c>
    </row>
    <row r="1378" spans="1:6" x14ac:dyDescent="0.25">
      <c r="A1378" s="1">
        <v>43656</v>
      </c>
      <c r="B1378">
        <v>2.46</v>
      </c>
      <c r="C1378" s="1">
        <v>43656</v>
      </c>
      <c r="D1378">
        <v>1.83</v>
      </c>
      <c r="E1378" s="1">
        <v>43567</v>
      </c>
      <c r="F1378">
        <v>2.5</v>
      </c>
    </row>
    <row r="1379" spans="1:6" x14ac:dyDescent="0.25">
      <c r="A1379" s="1">
        <v>43657</v>
      </c>
      <c r="B1379">
        <v>2.4500000000000002</v>
      </c>
      <c r="C1379" s="1">
        <v>43657</v>
      </c>
      <c r="D1379">
        <v>2.0150000000000001</v>
      </c>
      <c r="E1379" s="1">
        <v>43570</v>
      </c>
      <c r="F1379">
        <v>2.5</v>
      </c>
    </row>
    <row r="1380" spans="1:6" x14ac:dyDescent="0.25">
      <c r="A1380" s="1">
        <v>43658</v>
      </c>
      <c r="B1380">
        <v>2.5</v>
      </c>
      <c r="C1380" s="1">
        <v>43658</v>
      </c>
      <c r="D1380">
        <v>2.25</v>
      </c>
      <c r="E1380" s="1">
        <v>43571</v>
      </c>
      <c r="F1380">
        <v>2.5</v>
      </c>
    </row>
    <row r="1381" spans="1:6" x14ac:dyDescent="0.25">
      <c r="A1381" s="1">
        <v>43661</v>
      </c>
      <c r="B1381">
        <v>2.67</v>
      </c>
      <c r="C1381" s="1">
        <v>43661</v>
      </c>
      <c r="D1381">
        <v>2.63</v>
      </c>
      <c r="E1381" s="1">
        <v>43572</v>
      </c>
      <c r="F1381">
        <v>2.5</v>
      </c>
    </row>
    <row r="1382" spans="1:6" x14ac:dyDescent="0.25">
      <c r="A1382" s="1">
        <v>43662</v>
      </c>
      <c r="B1382">
        <v>2.8</v>
      </c>
      <c r="C1382" s="1">
        <v>43662</v>
      </c>
      <c r="D1382">
        <v>2.75</v>
      </c>
      <c r="E1382" s="1">
        <v>43573</v>
      </c>
      <c r="F1382">
        <v>2.5</v>
      </c>
    </row>
    <row r="1383" spans="1:6" x14ac:dyDescent="0.25">
      <c r="A1383" s="1">
        <v>43663</v>
      </c>
      <c r="B1383">
        <v>2.9</v>
      </c>
      <c r="C1383" s="1">
        <v>43663</v>
      </c>
      <c r="D1383">
        <v>2.75</v>
      </c>
      <c r="E1383" s="1">
        <v>43574</v>
      </c>
      <c r="F1383">
        <v>2.5</v>
      </c>
    </row>
    <row r="1384" spans="1:6" x14ac:dyDescent="0.25">
      <c r="A1384" s="1">
        <v>43664</v>
      </c>
      <c r="B1384">
        <v>3.1</v>
      </c>
      <c r="C1384" s="1">
        <v>43664</v>
      </c>
      <c r="D1384">
        <v>2.8</v>
      </c>
      <c r="E1384" s="1">
        <v>43577</v>
      </c>
      <c r="F1384">
        <v>2.5</v>
      </c>
    </row>
    <row r="1385" spans="1:6" x14ac:dyDescent="0.25">
      <c r="A1385" s="1">
        <v>43665</v>
      </c>
      <c r="B1385">
        <v>3</v>
      </c>
      <c r="C1385" s="1">
        <v>43665</v>
      </c>
      <c r="D1385">
        <v>2.86</v>
      </c>
      <c r="E1385" s="1">
        <v>43578</v>
      </c>
      <c r="F1385">
        <v>2.5</v>
      </c>
    </row>
    <row r="1386" spans="1:6" x14ac:dyDescent="0.25">
      <c r="A1386" s="1">
        <v>43668</v>
      </c>
      <c r="B1386">
        <v>2.8</v>
      </c>
      <c r="C1386" s="1">
        <v>43668</v>
      </c>
      <c r="D1386">
        <v>2.69</v>
      </c>
      <c r="E1386" s="1">
        <v>43579</v>
      </c>
      <c r="F1386">
        <v>2.5</v>
      </c>
    </row>
    <row r="1387" spans="1:6" x14ac:dyDescent="0.25">
      <c r="A1387" s="1">
        <v>43669</v>
      </c>
      <c r="B1387">
        <v>2.7</v>
      </c>
      <c r="C1387" s="1">
        <v>43669</v>
      </c>
      <c r="D1387">
        <v>2.57</v>
      </c>
      <c r="E1387" s="1">
        <v>43580</v>
      </c>
      <c r="F1387">
        <v>2.5</v>
      </c>
    </row>
    <row r="1388" spans="1:6" x14ac:dyDescent="0.25">
      <c r="A1388" s="1">
        <v>43670</v>
      </c>
      <c r="B1388">
        <v>2.5499999999999998</v>
      </c>
      <c r="C1388" s="1">
        <v>43670</v>
      </c>
      <c r="D1388">
        <v>2.5</v>
      </c>
      <c r="E1388" s="1">
        <v>43581</v>
      </c>
      <c r="F1388">
        <v>2.5</v>
      </c>
    </row>
    <row r="1389" spans="1:6" x14ac:dyDescent="0.25">
      <c r="A1389" s="1">
        <v>43671</v>
      </c>
      <c r="B1389">
        <v>2.67</v>
      </c>
      <c r="C1389" s="1">
        <v>43671</v>
      </c>
      <c r="D1389">
        <v>2.65</v>
      </c>
      <c r="E1389" s="1">
        <v>43584</v>
      </c>
      <c r="F1389">
        <v>2.5</v>
      </c>
    </row>
    <row r="1390" spans="1:6" x14ac:dyDescent="0.25">
      <c r="A1390" s="1">
        <v>43672</v>
      </c>
      <c r="B1390">
        <v>2.8</v>
      </c>
      <c r="C1390" s="1">
        <v>43672</v>
      </c>
      <c r="D1390">
        <v>2.65</v>
      </c>
      <c r="E1390" s="1">
        <v>43585</v>
      </c>
      <c r="F1390">
        <v>2.5</v>
      </c>
    </row>
    <row r="1391" spans="1:6" x14ac:dyDescent="0.25">
      <c r="A1391" s="1">
        <v>43675</v>
      </c>
      <c r="B1391">
        <v>2.85</v>
      </c>
      <c r="C1391" s="1">
        <v>43675</v>
      </c>
      <c r="D1391">
        <v>2.64</v>
      </c>
      <c r="E1391" s="1">
        <v>43586</v>
      </c>
      <c r="F1391">
        <v>2.5</v>
      </c>
    </row>
    <row r="1392" spans="1:6" x14ac:dyDescent="0.25">
      <c r="A1392" s="1">
        <v>43676</v>
      </c>
      <c r="B1392">
        <v>2.85</v>
      </c>
      <c r="C1392" s="1">
        <v>43676</v>
      </c>
      <c r="D1392">
        <v>2.63</v>
      </c>
      <c r="E1392" s="1">
        <v>43587</v>
      </c>
      <c r="F1392">
        <v>2.5</v>
      </c>
    </row>
    <row r="1393" spans="1:6" x14ac:dyDescent="0.25">
      <c r="A1393" s="1">
        <v>43677</v>
      </c>
      <c r="B1393">
        <v>2.7</v>
      </c>
      <c r="C1393" s="1">
        <v>43677</v>
      </c>
      <c r="D1393">
        <v>2.68</v>
      </c>
      <c r="E1393" s="1">
        <v>43588</v>
      </c>
      <c r="F1393">
        <v>2.5</v>
      </c>
    </row>
    <row r="1394" spans="1:6" x14ac:dyDescent="0.25">
      <c r="A1394" s="1">
        <v>43678</v>
      </c>
      <c r="B1394">
        <v>2.65</v>
      </c>
      <c r="C1394" s="1">
        <v>43678</v>
      </c>
      <c r="D1394">
        <v>2.65</v>
      </c>
      <c r="E1394" s="1">
        <v>43591</v>
      </c>
      <c r="F1394">
        <v>2.5</v>
      </c>
    </row>
    <row r="1395" spans="1:6" x14ac:dyDescent="0.25">
      <c r="A1395" s="1">
        <v>43679</v>
      </c>
      <c r="B1395">
        <v>2.65</v>
      </c>
      <c r="C1395" s="1">
        <v>43679</v>
      </c>
      <c r="D1395">
        <v>2.65</v>
      </c>
      <c r="E1395" s="1">
        <v>43592</v>
      </c>
      <c r="F1395">
        <v>2.5</v>
      </c>
    </row>
    <row r="1396" spans="1:6" x14ac:dyDescent="0.25">
      <c r="A1396" s="1">
        <v>43682</v>
      </c>
      <c r="B1396">
        <v>2.65</v>
      </c>
      <c r="C1396" s="1">
        <v>43682</v>
      </c>
      <c r="D1396">
        <v>2.5499999999999998</v>
      </c>
      <c r="E1396" s="1">
        <v>43593</v>
      </c>
      <c r="F1396">
        <v>2.5</v>
      </c>
    </row>
    <row r="1397" spans="1:6" x14ac:dyDescent="0.25">
      <c r="A1397" s="1">
        <v>43683</v>
      </c>
      <c r="B1397">
        <v>2.6</v>
      </c>
      <c r="C1397" s="1">
        <v>43683</v>
      </c>
      <c r="D1397">
        <v>2.27</v>
      </c>
      <c r="E1397" s="1">
        <v>43594</v>
      </c>
      <c r="F1397">
        <v>2.5</v>
      </c>
    </row>
    <row r="1398" spans="1:6" x14ac:dyDescent="0.25">
      <c r="A1398" s="1">
        <v>43684</v>
      </c>
      <c r="B1398">
        <v>2.5</v>
      </c>
      <c r="C1398" s="1">
        <v>43684</v>
      </c>
      <c r="D1398">
        <v>2.23</v>
      </c>
      <c r="E1398" s="1">
        <v>43595</v>
      </c>
      <c r="F1398">
        <v>2.5</v>
      </c>
    </row>
    <row r="1399" spans="1:6" x14ac:dyDescent="0.25">
      <c r="A1399" s="1">
        <v>43685</v>
      </c>
      <c r="B1399">
        <v>2.57</v>
      </c>
      <c r="C1399" s="1">
        <v>43685</v>
      </c>
      <c r="D1399">
        <v>2.5099999999999998</v>
      </c>
      <c r="E1399" s="1">
        <v>43598</v>
      </c>
      <c r="F1399">
        <v>2.5</v>
      </c>
    </row>
    <row r="1400" spans="1:6" x14ac:dyDescent="0.25">
      <c r="A1400" s="1">
        <v>43686</v>
      </c>
      <c r="B1400">
        <v>2.64</v>
      </c>
      <c r="C1400" s="1">
        <v>43686</v>
      </c>
      <c r="D1400">
        <v>2.61</v>
      </c>
      <c r="E1400" s="1">
        <v>43599</v>
      </c>
      <c r="F1400">
        <v>2.5</v>
      </c>
    </row>
    <row r="1401" spans="1:6" x14ac:dyDescent="0.25">
      <c r="A1401" s="1">
        <v>43689</v>
      </c>
      <c r="B1401">
        <v>2.66</v>
      </c>
      <c r="C1401" s="1">
        <v>43689</v>
      </c>
      <c r="D1401">
        <v>2.65</v>
      </c>
      <c r="E1401" s="1">
        <v>43600</v>
      </c>
      <c r="F1401">
        <v>2.5</v>
      </c>
    </row>
    <row r="1402" spans="1:6" x14ac:dyDescent="0.25">
      <c r="A1402" s="1">
        <v>43690</v>
      </c>
      <c r="B1402">
        <v>2.9</v>
      </c>
      <c r="C1402" s="1">
        <v>43690</v>
      </c>
      <c r="D1402">
        <v>2.7</v>
      </c>
      <c r="E1402" s="1">
        <v>43601</v>
      </c>
      <c r="F1402">
        <v>2.5</v>
      </c>
    </row>
    <row r="1403" spans="1:6" x14ac:dyDescent="0.25">
      <c r="A1403" s="1">
        <v>43691</v>
      </c>
      <c r="B1403">
        <v>2.9</v>
      </c>
      <c r="C1403" s="1">
        <v>43691</v>
      </c>
      <c r="D1403">
        <v>2.72</v>
      </c>
      <c r="E1403" s="1">
        <v>43602</v>
      </c>
      <c r="F1403">
        <v>2.5</v>
      </c>
    </row>
    <row r="1404" spans="1:6" x14ac:dyDescent="0.25">
      <c r="A1404" s="1">
        <v>43692</v>
      </c>
      <c r="B1404">
        <v>2.85</v>
      </c>
      <c r="C1404" s="1">
        <v>43692</v>
      </c>
      <c r="D1404">
        <v>2.68</v>
      </c>
      <c r="E1404" s="1">
        <v>43605</v>
      </c>
      <c r="F1404">
        <v>2.5</v>
      </c>
    </row>
    <row r="1405" spans="1:6" x14ac:dyDescent="0.25">
      <c r="A1405" s="1">
        <v>43693</v>
      </c>
      <c r="B1405">
        <v>2.8</v>
      </c>
      <c r="C1405" s="1">
        <v>43693</v>
      </c>
      <c r="D1405">
        <v>2.6859999999999999</v>
      </c>
      <c r="E1405" s="1">
        <v>43606</v>
      </c>
      <c r="F1405">
        <v>2.5</v>
      </c>
    </row>
    <row r="1406" spans="1:6" x14ac:dyDescent="0.25">
      <c r="A1406" s="1">
        <v>43696</v>
      </c>
      <c r="B1406">
        <v>2.75</v>
      </c>
      <c r="C1406" s="1">
        <v>43696</v>
      </c>
      <c r="D1406">
        <v>2.68</v>
      </c>
      <c r="E1406" s="1">
        <v>43607</v>
      </c>
      <c r="F1406">
        <v>2.5</v>
      </c>
    </row>
    <row r="1407" spans="1:6" x14ac:dyDescent="0.25">
      <c r="A1407" s="1">
        <v>43697</v>
      </c>
      <c r="B1407">
        <v>2.8</v>
      </c>
      <c r="C1407" s="1">
        <v>43697</v>
      </c>
      <c r="D1407">
        <v>2.65</v>
      </c>
      <c r="E1407" s="1">
        <v>43608</v>
      </c>
      <c r="F1407">
        <v>2.5</v>
      </c>
    </row>
    <row r="1408" spans="1:6" x14ac:dyDescent="0.25">
      <c r="A1408" s="1">
        <v>43698</v>
      </c>
      <c r="B1408">
        <v>2.75</v>
      </c>
      <c r="C1408" s="1">
        <v>43698</v>
      </c>
      <c r="D1408">
        <v>2.6</v>
      </c>
      <c r="E1408" s="1">
        <v>43609</v>
      </c>
      <c r="F1408">
        <v>2.5</v>
      </c>
    </row>
    <row r="1409" spans="1:6" x14ac:dyDescent="0.25">
      <c r="A1409" s="1">
        <v>43699</v>
      </c>
      <c r="B1409">
        <v>2.7</v>
      </c>
      <c r="C1409" s="1">
        <v>43699</v>
      </c>
      <c r="D1409">
        <v>2.56</v>
      </c>
      <c r="E1409" s="1">
        <v>43612</v>
      </c>
      <c r="F1409">
        <v>2.5</v>
      </c>
    </row>
    <row r="1410" spans="1:6" x14ac:dyDescent="0.25">
      <c r="A1410" s="1">
        <v>43700</v>
      </c>
      <c r="B1410">
        <v>2.66</v>
      </c>
      <c r="C1410" s="1">
        <v>43700</v>
      </c>
      <c r="D1410">
        <v>2.6</v>
      </c>
      <c r="E1410" s="1">
        <v>43613</v>
      </c>
      <c r="F1410">
        <v>2.5</v>
      </c>
    </row>
    <row r="1411" spans="1:6" x14ac:dyDescent="0.25">
      <c r="A1411" s="1">
        <v>43703</v>
      </c>
      <c r="B1411">
        <v>2.9</v>
      </c>
      <c r="C1411" s="1">
        <v>43703</v>
      </c>
      <c r="D1411">
        <v>2.65</v>
      </c>
      <c r="E1411" s="1">
        <v>43614</v>
      </c>
      <c r="F1411">
        <v>2.5</v>
      </c>
    </row>
    <row r="1412" spans="1:6" x14ac:dyDescent="0.25">
      <c r="A1412" s="1">
        <v>43704</v>
      </c>
      <c r="B1412">
        <v>2.95</v>
      </c>
      <c r="C1412" s="1">
        <v>43704</v>
      </c>
      <c r="D1412">
        <v>2.7</v>
      </c>
      <c r="E1412" s="1">
        <v>43615</v>
      </c>
      <c r="F1412">
        <v>2.5</v>
      </c>
    </row>
    <row r="1413" spans="1:6" x14ac:dyDescent="0.25">
      <c r="A1413" s="1">
        <v>43705</v>
      </c>
      <c r="B1413">
        <v>2.9</v>
      </c>
      <c r="C1413" s="1">
        <v>43705</v>
      </c>
      <c r="D1413">
        <v>2.62</v>
      </c>
      <c r="E1413" s="1">
        <v>43616</v>
      </c>
      <c r="F1413">
        <v>2.5</v>
      </c>
    </row>
    <row r="1414" spans="1:6" x14ac:dyDescent="0.25">
      <c r="A1414" s="1">
        <v>43706</v>
      </c>
      <c r="B1414">
        <v>2.85</v>
      </c>
      <c r="C1414" s="1">
        <v>43706</v>
      </c>
      <c r="D1414">
        <v>2.5</v>
      </c>
      <c r="E1414" s="1">
        <v>43619</v>
      </c>
      <c r="F1414">
        <v>2.5</v>
      </c>
    </row>
    <row r="1415" spans="1:6" x14ac:dyDescent="0.25">
      <c r="A1415" s="1">
        <v>43707</v>
      </c>
      <c r="B1415">
        <v>2.75</v>
      </c>
      <c r="C1415" s="1">
        <v>43707</v>
      </c>
      <c r="D1415">
        <v>2.6</v>
      </c>
      <c r="E1415" s="1">
        <v>43620</v>
      </c>
      <c r="F1415">
        <v>2.5</v>
      </c>
    </row>
    <row r="1416" spans="1:6" x14ac:dyDescent="0.25">
      <c r="A1416" s="1">
        <v>43710</v>
      </c>
      <c r="B1416">
        <v>2.7</v>
      </c>
      <c r="C1416" s="1">
        <v>43710</v>
      </c>
      <c r="D1416">
        <v>2.56</v>
      </c>
      <c r="E1416" s="1">
        <v>43621</v>
      </c>
      <c r="F1416">
        <v>2.5</v>
      </c>
    </row>
    <row r="1417" spans="1:6" x14ac:dyDescent="0.25">
      <c r="A1417" s="1">
        <v>43711</v>
      </c>
      <c r="B1417">
        <v>2.7</v>
      </c>
      <c r="C1417" s="1">
        <v>43711</v>
      </c>
      <c r="D1417">
        <v>2.52</v>
      </c>
      <c r="E1417" s="1">
        <v>43622</v>
      </c>
      <c r="F1417">
        <v>2.5</v>
      </c>
    </row>
    <row r="1418" spans="1:6" x14ac:dyDescent="0.25">
      <c r="A1418" s="1">
        <v>43712</v>
      </c>
      <c r="B1418">
        <v>2.65</v>
      </c>
      <c r="C1418" s="1">
        <v>43712</v>
      </c>
      <c r="D1418">
        <v>2.4500000000000002</v>
      </c>
      <c r="E1418" s="1">
        <v>43623</v>
      </c>
      <c r="F1418">
        <v>2.5</v>
      </c>
    </row>
    <row r="1419" spans="1:6" x14ac:dyDescent="0.25">
      <c r="A1419" s="1">
        <v>43713</v>
      </c>
      <c r="B1419">
        <v>2.65</v>
      </c>
      <c r="C1419" s="1">
        <v>43713</v>
      </c>
      <c r="D1419">
        <v>2.5499999999999998</v>
      </c>
      <c r="E1419" s="1">
        <v>43626</v>
      </c>
      <c r="F1419">
        <v>2.5</v>
      </c>
    </row>
    <row r="1420" spans="1:6" x14ac:dyDescent="0.25">
      <c r="A1420" s="1">
        <v>43714</v>
      </c>
      <c r="B1420">
        <v>2.7</v>
      </c>
      <c r="C1420" s="1">
        <v>43714</v>
      </c>
      <c r="D1420">
        <v>2.61</v>
      </c>
      <c r="E1420" s="1">
        <v>43627</v>
      </c>
      <c r="F1420">
        <v>2.5</v>
      </c>
    </row>
    <row r="1421" spans="1:6" x14ac:dyDescent="0.25">
      <c r="A1421" s="1">
        <v>43717</v>
      </c>
      <c r="B1421">
        <v>2.7</v>
      </c>
      <c r="C1421" s="1">
        <v>43717</v>
      </c>
      <c r="D1421">
        <v>2.62</v>
      </c>
      <c r="E1421" s="1">
        <v>43628</v>
      </c>
      <c r="F1421">
        <v>2.5</v>
      </c>
    </row>
    <row r="1422" spans="1:6" x14ac:dyDescent="0.25">
      <c r="A1422" s="1">
        <v>43718</v>
      </c>
      <c r="B1422">
        <v>2.75</v>
      </c>
      <c r="C1422" s="1">
        <v>43718</v>
      </c>
      <c r="D1422">
        <v>2.57</v>
      </c>
      <c r="E1422" s="1">
        <v>43629</v>
      </c>
      <c r="F1422">
        <v>2.5</v>
      </c>
    </row>
    <row r="1423" spans="1:6" x14ac:dyDescent="0.25">
      <c r="A1423" s="1">
        <v>43719</v>
      </c>
      <c r="B1423">
        <v>2.72</v>
      </c>
      <c r="C1423" s="1">
        <v>43719</v>
      </c>
      <c r="D1423">
        <v>2.4700000000000002</v>
      </c>
      <c r="E1423" s="1">
        <v>43630</v>
      </c>
      <c r="F1423">
        <v>2.5</v>
      </c>
    </row>
    <row r="1424" spans="1:6" x14ac:dyDescent="0.25">
      <c r="A1424" s="1">
        <v>43720</v>
      </c>
      <c r="B1424">
        <v>2.7</v>
      </c>
      <c r="C1424" s="1">
        <v>43720</v>
      </c>
      <c r="D1424">
        <v>2.38</v>
      </c>
      <c r="E1424" s="1">
        <v>43633</v>
      </c>
      <c r="F1424">
        <v>2.5</v>
      </c>
    </row>
    <row r="1425" spans="1:6" x14ac:dyDescent="0.25">
      <c r="A1425" s="1">
        <v>43724</v>
      </c>
      <c r="B1425">
        <v>2.66</v>
      </c>
      <c r="C1425" s="1">
        <v>43724</v>
      </c>
      <c r="D1425">
        <v>2.35</v>
      </c>
      <c r="E1425" s="1">
        <v>43634</v>
      </c>
      <c r="F1425">
        <v>2.5</v>
      </c>
    </row>
    <row r="1426" spans="1:6" x14ac:dyDescent="0.25">
      <c r="A1426" s="1">
        <v>43725</v>
      </c>
      <c r="B1426">
        <v>2.65</v>
      </c>
      <c r="C1426" s="1">
        <v>43725</v>
      </c>
      <c r="D1426">
        <v>2.58</v>
      </c>
      <c r="E1426" s="1">
        <v>43635</v>
      </c>
      <c r="F1426">
        <v>2.5</v>
      </c>
    </row>
    <row r="1427" spans="1:6" x14ac:dyDescent="0.25">
      <c r="A1427" s="1">
        <v>43726</v>
      </c>
      <c r="B1427">
        <v>2.7</v>
      </c>
      <c r="C1427" s="1">
        <v>43726</v>
      </c>
      <c r="D1427">
        <v>2.65</v>
      </c>
      <c r="E1427" s="1">
        <v>43636</v>
      </c>
      <c r="F1427">
        <v>2.5</v>
      </c>
    </row>
    <row r="1428" spans="1:6" x14ac:dyDescent="0.25">
      <c r="A1428" s="1">
        <v>43727</v>
      </c>
      <c r="B1428">
        <v>2.75</v>
      </c>
      <c r="C1428" s="1">
        <v>43727</v>
      </c>
      <c r="D1428">
        <v>2.75</v>
      </c>
      <c r="E1428" s="1">
        <v>43637</v>
      </c>
      <c r="F1428">
        <v>2.5</v>
      </c>
    </row>
    <row r="1429" spans="1:6" x14ac:dyDescent="0.25">
      <c r="A1429" s="1">
        <v>43728</v>
      </c>
      <c r="B1429">
        <v>2.9</v>
      </c>
      <c r="C1429" s="1">
        <v>43728</v>
      </c>
      <c r="D1429">
        <v>2.78</v>
      </c>
      <c r="E1429" s="1">
        <v>43640</v>
      </c>
      <c r="F1429">
        <v>2.5</v>
      </c>
    </row>
    <row r="1430" spans="1:6" x14ac:dyDescent="0.25">
      <c r="A1430" s="1">
        <v>43731</v>
      </c>
      <c r="B1430">
        <v>2.76</v>
      </c>
      <c r="C1430" s="1">
        <v>43731</v>
      </c>
      <c r="D1430">
        <v>2.78</v>
      </c>
      <c r="E1430" s="1">
        <v>43641</v>
      </c>
      <c r="F1430">
        <v>2.5</v>
      </c>
    </row>
    <row r="1431" spans="1:6" x14ac:dyDescent="0.25">
      <c r="A1431" s="1">
        <v>43732</v>
      </c>
      <c r="B1431">
        <v>2.65</v>
      </c>
      <c r="C1431" s="1">
        <v>43732</v>
      </c>
      <c r="D1431">
        <v>2.38</v>
      </c>
      <c r="E1431" s="1">
        <v>43642</v>
      </c>
      <c r="F1431">
        <v>2.5</v>
      </c>
    </row>
    <row r="1432" spans="1:6" x14ac:dyDescent="0.25">
      <c r="A1432" s="1">
        <v>43733</v>
      </c>
      <c r="B1432">
        <v>2.4500000000000002</v>
      </c>
      <c r="C1432" s="1">
        <v>43733</v>
      </c>
      <c r="D1432">
        <v>2.0499999999999998</v>
      </c>
      <c r="E1432" s="1">
        <v>43643</v>
      </c>
      <c r="F1432">
        <v>2.5</v>
      </c>
    </row>
    <row r="1433" spans="1:6" x14ac:dyDescent="0.25">
      <c r="A1433" s="1">
        <v>43734</v>
      </c>
      <c r="B1433">
        <v>2.57</v>
      </c>
      <c r="C1433" s="1">
        <v>43734</v>
      </c>
      <c r="D1433">
        <v>1.64</v>
      </c>
      <c r="E1433" s="1">
        <v>43644</v>
      </c>
      <c r="F1433">
        <v>2.5</v>
      </c>
    </row>
    <row r="1434" spans="1:6" x14ac:dyDescent="0.25">
      <c r="A1434" s="1">
        <v>43735</v>
      </c>
      <c r="B1434">
        <v>2</v>
      </c>
      <c r="C1434" s="1">
        <v>43735</v>
      </c>
      <c r="D1434">
        <v>1.31</v>
      </c>
      <c r="E1434" s="1">
        <v>43647</v>
      </c>
      <c r="F1434">
        <v>2.5</v>
      </c>
    </row>
    <row r="1435" spans="1:6" x14ac:dyDescent="0.25">
      <c r="A1435" s="1">
        <v>43737</v>
      </c>
      <c r="B1435">
        <v>2.75</v>
      </c>
      <c r="C1435" s="1">
        <v>43737</v>
      </c>
      <c r="D1435">
        <v>1.24</v>
      </c>
      <c r="E1435" s="1">
        <v>43648</v>
      </c>
      <c r="F1435">
        <v>2.5</v>
      </c>
    </row>
    <row r="1436" spans="1:6" x14ac:dyDescent="0.25">
      <c r="A1436" s="1">
        <v>43738</v>
      </c>
      <c r="B1436">
        <v>2.9</v>
      </c>
      <c r="C1436" s="1">
        <v>43738</v>
      </c>
      <c r="D1436">
        <v>2.65</v>
      </c>
      <c r="E1436" s="1">
        <v>43649</v>
      </c>
      <c r="F1436">
        <v>2.5</v>
      </c>
    </row>
    <row r="1437" spans="1:6" x14ac:dyDescent="0.25">
      <c r="A1437" s="1">
        <v>43746</v>
      </c>
      <c r="B1437">
        <v>2.7</v>
      </c>
      <c r="C1437" s="1">
        <v>43746</v>
      </c>
      <c r="D1437">
        <v>2.65</v>
      </c>
      <c r="E1437" s="1">
        <v>43650</v>
      </c>
      <c r="F1437">
        <v>2.5</v>
      </c>
    </row>
    <row r="1438" spans="1:6" x14ac:dyDescent="0.25">
      <c r="A1438" s="1">
        <v>43747</v>
      </c>
      <c r="B1438">
        <v>2.73</v>
      </c>
      <c r="C1438" s="1">
        <v>43747</v>
      </c>
      <c r="D1438">
        <v>2.2200000000000002</v>
      </c>
      <c r="E1438" s="1">
        <v>43651</v>
      </c>
      <c r="F1438">
        <v>2.5</v>
      </c>
    </row>
    <row r="1439" spans="1:6" x14ac:dyDescent="0.25">
      <c r="A1439" s="1">
        <v>43748</v>
      </c>
      <c r="B1439">
        <v>2.65</v>
      </c>
      <c r="C1439" s="1">
        <v>43748</v>
      </c>
      <c r="D1439">
        <v>2.04</v>
      </c>
      <c r="E1439" s="1">
        <v>43654</v>
      </c>
      <c r="F1439">
        <v>2.5</v>
      </c>
    </row>
    <row r="1440" spans="1:6" x14ac:dyDescent="0.25">
      <c r="A1440" s="1">
        <v>43749</v>
      </c>
      <c r="B1440">
        <v>2.4500000000000002</v>
      </c>
      <c r="C1440" s="1">
        <v>43749</v>
      </c>
      <c r="D1440">
        <v>1.91</v>
      </c>
      <c r="E1440" s="1">
        <v>43655</v>
      </c>
      <c r="F1440">
        <v>2.5</v>
      </c>
    </row>
    <row r="1441" spans="1:6" x14ac:dyDescent="0.25">
      <c r="A1441" s="1">
        <v>43750</v>
      </c>
      <c r="B1441">
        <v>2.52</v>
      </c>
      <c r="C1441" s="1">
        <v>43750</v>
      </c>
      <c r="D1441">
        <v>2.21</v>
      </c>
      <c r="E1441" s="1">
        <v>43656</v>
      </c>
      <c r="F1441">
        <v>2.5</v>
      </c>
    </row>
    <row r="1442" spans="1:6" x14ac:dyDescent="0.25">
      <c r="A1442" s="1">
        <v>43752</v>
      </c>
      <c r="B1442">
        <v>2.65</v>
      </c>
      <c r="C1442" s="1">
        <v>43752</v>
      </c>
      <c r="D1442">
        <v>2.57</v>
      </c>
      <c r="E1442" s="1">
        <v>43657</v>
      </c>
      <c r="F1442">
        <v>2.5</v>
      </c>
    </row>
    <row r="1443" spans="1:6" x14ac:dyDescent="0.25">
      <c r="A1443" s="1">
        <v>43753</v>
      </c>
      <c r="B1443">
        <v>2.8</v>
      </c>
      <c r="C1443" s="1">
        <v>43753</v>
      </c>
      <c r="D1443">
        <v>2.73</v>
      </c>
      <c r="E1443" s="1">
        <v>43658</v>
      </c>
      <c r="F1443">
        <v>2.5</v>
      </c>
    </row>
    <row r="1444" spans="1:6" x14ac:dyDescent="0.25">
      <c r="A1444" s="1">
        <v>43754</v>
      </c>
      <c r="B1444">
        <v>2.85</v>
      </c>
      <c r="C1444" s="1">
        <v>43754</v>
      </c>
      <c r="D1444">
        <v>2.72</v>
      </c>
      <c r="E1444" s="1">
        <v>43661</v>
      </c>
      <c r="F1444">
        <v>2.5</v>
      </c>
    </row>
    <row r="1445" spans="1:6" x14ac:dyDescent="0.25">
      <c r="A1445" s="1">
        <v>43755</v>
      </c>
      <c r="B1445">
        <v>2.8</v>
      </c>
      <c r="C1445" s="1">
        <v>43755</v>
      </c>
      <c r="D1445">
        <v>2.6</v>
      </c>
      <c r="E1445" s="1">
        <v>43662</v>
      </c>
      <c r="F1445">
        <v>2.5</v>
      </c>
    </row>
    <row r="1446" spans="1:6" x14ac:dyDescent="0.25">
      <c r="A1446" s="1">
        <v>43756</v>
      </c>
      <c r="B1446">
        <v>2.75</v>
      </c>
      <c r="C1446" s="1">
        <v>43756</v>
      </c>
      <c r="D1446">
        <v>2.63</v>
      </c>
      <c r="E1446" s="1">
        <v>43663</v>
      </c>
      <c r="F1446">
        <v>2.5</v>
      </c>
    </row>
    <row r="1447" spans="1:6" x14ac:dyDescent="0.25">
      <c r="A1447" s="1">
        <v>43759</v>
      </c>
      <c r="B1447">
        <v>2.81</v>
      </c>
      <c r="C1447" s="1">
        <v>43759</v>
      </c>
      <c r="D1447">
        <v>2.7</v>
      </c>
      <c r="E1447" s="1">
        <v>43664</v>
      </c>
      <c r="F1447">
        <v>2.5</v>
      </c>
    </row>
    <row r="1448" spans="1:6" x14ac:dyDescent="0.25">
      <c r="A1448" s="1">
        <v>43760</v>
      </c>
      <c r="B1448">
        <v>2.95</v>
      </c>
      <c r="C1448" s="1">
        <v>43760</v>
      </c>
      <c r="D1448">
        <v>2.83</v>
      </c>
      <c r="E1448" s="1">
        <v>43665</v>
      </c>
      <c r="F1448">
        <v>2.5</v>
      </c>
    </row>
    <row r="1449" spans="1:6" x14ac:dyDescent="0.25">
      <c r="A1449" s="1">
        <v>43761</v>
      </c>
      <c r="B1449">
        <v>2.95</v>
      </c>
      <c r="C1449" s="1">
        <v>43761</v>
      </c>
      <c r="D1449">
        <v>2.67</v>
      </c>
      <c r="E1449" s="1">
        <v>43668</v>
      </c>
      <c r="F1449">
        <v>2.5</v>
      </c>
    </row>
    <row r="1450" spans="1:6" x14ac:dyDescent="0.25">
      <c r="A1450" s="1">
        <v>43762</v>
      </c>
      <c r="B1450">
        <v>2.68</v>
      </c>
      <c r="C1450" s="1">
        <v>43762</v>
      </c>
      <c r="D1450">
        <v>2.46</v>
      </c>
      <c r="E1450" s="1">
        <v>43669</v>
      </c>
      <c r="F1450">
        <v>2.5</v>
      </c>
    </row>
    <row r="1451" spans="1:6" x14ac:dyDescent="0.25">
      <c r="A1451" s="1">
        <v>43763</v>
      </c>
      <c r="B1451">
        <v>2.95</v>
      </c>
      <c r="C1451" s="1">
        <v>43763</v>
      </c>
      <c r="D1451">
        <v>2.52</v>
      </c>
      <c r="E1451" s="1">
        <v>43670</v>
      </c>
      <c r="F1451">
        <v>2.5</v>
      </c>
    </row>
    <row r="1452" spans="1:6" x14ac:dyDescent="0.25">
      <c r="A1452" s="1">
        <v>43766</v>
      </c>
      <c r="B1452">
        <v>2.9</v>
      </c>
      <c r="C1452" s="1">
        <v>43766</v>
      </c>
      <c r="D1452">
        <v>2.4900000000000002</v>
      </c>
      <c r="E1452" s="1">
        <v>43671</v>
      </c>
      <c r="F1452">
        <v>2.5</v>
      </c>
    </row>
    <row r="1453" spans="1:6" x14ac:dyDescent="0.25">
      <c r="A1453" s="1">
        <v>43767</v>
      </c>
      <c r="B1453">
        <v>2.85</v>
      </c>
      <c r="C1453" s="1">
        <v>43767</v>
      </c>
      <c r="D1453">
        <v>2.38</v>
      </c>
      <c r="E1453" s="1">
        <v>43672</v>
      </c>
      <c r="F1453">
        <v>2.5</v>
      </c>
    </row>
    <row r="1454" spans="1:6" x14ac:dyDescent="0.25">
      <c r="A1454" s="1">
        <v>43768</v>
      </c>
      <c r="B1454">
        <v>2.85</v>
      </c>
      <c r="C1454" s="1">
        <v>43768</v>
      </c>
      <c r="D1454">
        <v>2.31</v>
      </c>
      <c r="E1454" s="1">
        <v>43675</v>
      </c>
      <c r="F1454">
        <v>2.5</v>
      </c>
    </row>
    <row r="1455" spans="1:6" x14ac:dyDescent="0.25">
      <c r="A1455" s="1">
        <v>43769</v>
      </c>
      <c r="B1455">
        <v>2.8</v>
      </c>
      <c r="C1455" s="1">
        <v>43769</v>
      </c>
      <c r="D1455">
        <v>2.61</v>
      </c>
      <c r="E1455" s="1">
        <v>43676</v>
      </c>
      <c r="F1455">
        <v>2.5</v>
      </c>
    </row>
    <row r="1456" spans="1:6" x14ac:dyDescent="0.25">
      <c r="A1456" s="1">
        <v>43770</v>
      </c>
      <c r="B1456">
        <v>2.65</v>
      </c>
      <c r="C1456" s="1">
        <v>43770</v>
      </c>
      <c r="D1456">
        <v>2.31</v>
      </c>
      <c r="E1456" s="1">
        <v>43677</v>
      </c>
      <c r="F1456">
        <v>2.25</v>
      </c>
    </row>
    <row r="1457" spans="1:6" x14ac:dyDescent="0.25">
      <c r="A1457" s="1">
        <v>43773</v>
      </c>
      <c r="B1457">
        <v>2.6</v>
      </c>
      <c r="C1457" s="1">
        <v>43773</v>
      </c>
      <c r="D1457">
        <v>2.09</v>
      </c>
      <c r="E1457" s="1">
        <v>43678</v>
      </c>
      <c r="F1457">
        <v>2.25</v>
      </c>
    </row>
    <row r="1458" spans="1:6" x14ac:dyDescent="0.25">
      <c r="A1458" s="1">
        <v>43774</v>
      </c>
      <c r="B1458">
        <v>2.5</v>
      </c>
      <c r="C1458" s="1">
        <v>43774</v>
      </c>
      <c r="D1458">
        <v>1.9</v>
      </c>
      <c r="E1458" s="1">
        <v>43679</v>
      </c>
      <c r="F1458">
        <v>2.25</v>
      </c>
    </row>
    <row r="1459" spans="1:6" x14ac:dyDescent="0.25">
      <c r="A1459" s="1">
        <v>43775</v>
      </c>
      <c r="B1459">
        <v>2.5</v>
      </c>
      <c r="C1459" s="1">
        <v>43775</v>
      </c>
      <c r="D1459">
        <v>1.8</v>
      </c>
      <c r="E1459" s="1">
        <v>43682</v>
      </c>
      <c r="F1459">
        <v>2.25</v>
      </c>
    </row>
    <row r="1460" spans="1:6" x14ac:dyDescent="0.25">
      <c r="A1460" s="1">
        <v>43776</v>
      </c>
      <c r="B1460">
        <v>2.52</v>
      </c>
      <c r="C1460" s="1">
        <v>43776</v>
      </c>
      <c r="D1460">
        <v>1.92</v>
      </c>
      <c r="E1460" s="1">
        <v>43683</v>
      </c>
      <c r="F1460">
        <v>2.25</v>
      </c>
    </row>
    <row r="1461" spans="1:6" x14ac:dyDescent="0.25">
      <c r="A1461" s="1">
        <v>43777</v>
      </c>
      <c r="B1461">
        <v>2.5499999999999998</v>
      </c>
      <c r="C1461" s="1">
        <v>43777</v>
      </c>
      <c r="D1461">
        <v>1.91</v>
      </c>
      <c r="E1461" s="1">
        <v>43684</v>
      </c>
      <c r="F1461">
        <v>2.25</v>
      </c>
    </row>
    <row r="1462" spans="1:6" x14ac:dyDescent="0.25">
      <c r="A1462" s="1">
        <v>43780</v>
      </c>
      <c r="B1462">
        <v>2.5499999999999998</v>
      </c>
      <c r="C1462" s="1">
        <v>43780</v>
      </c>
      <c r="D1462">
        <v>2.0499999999999998</v>
      </c>
      <c r="E1462" s="1">
        <v>43685</v>
      </c>
      <c r="F1462">
        <v>2.25</v>
      </c>
    </row>
    <row r="1463" spans="1:6" x14ac:dyDescent="0.25">
      <c r="A1463" s="1">
        <v>43781</v>
      </c>
      <c r="B1463">
        <v>2.65</v>
      </c>
      <c r="C1463" s="1">
        <v>43781</v>
      </c>
      <c r="D1463">
        <v>2.4</v>
      </c>
      <c r="E1463" s="1">
        <v>43686</v>
      </c>
      <c r="F1463">
        <v>2.25</v>
      </c>
    </row>
    <row r="1464" spans="1:6" x14ac:dyDescent="0.25">
      <c r="A1464" s="1">
        <v>43782</v>
      </c>
      <c r="B1464">
        <v>2.76</v>
      </c>
      <c r="C1464" s="1">
        <v>43782</v>
      </c>
      <c r="D1464">
        <v>2.6</v>
      </c>
      <c r="E1464" s="1">
        <v>43689</v>
      </c>
      <c r="F1464">
        <v>2.25</v>
      </c>
    </row>
    <row r="1465" spans="1:6" x14ac:dyDescent="0.25">
      <c r="A1465" s="1">
        <v>43783</v>
      </c>
      <c r="B1465">
        <v>2.76</v>
      </c>
      <c r="C1465" s="1">
        <v>43783</v>
      </c>
      <c r="D1465">
        <v>2.68</v>
      </c>
      <c r="E1465" s="1">
        <v>43690</v>
      </c>
      <c r="F1465">
        <v>2.25</v>
      </c>
    </row>
    <row r="1466" spans="1:6" x14ac:dyDescent="0.25">
      <c r="A1466" s="1">
        <v>43784</v>
      </c>
      <c r="B1466">
        <v>2.95</v>
      </c>
      <c r="C1466" s="1">
        <v>43784</v>
      </c>
      <c r="D1466">
        <v>2.72</v>
      </c>
      <c r="E1466" s="1">
        <v>43691</v>
      </c>
      <c r="F1466">
        <v>2.25</v>
      </c>
    </row>
    <row r="1467" spans="1:6" x14ac:dyDescent="0.25">
      <c r="A1467" s="1">
        <v>43787</v>
      </c>
      <c r="B1467">
        <v>2.85</v>
      </c>
      <c r="C1467" s="1">
        <v>43787</v>
      </c>
      <c r="D1467">
        <v>2.72</v>
      </c>
      <c r="E1467" s="1">
        <v>43692</v>
      </c>
      <c r="F1467">
        <v>2.25</v>
      </c>
    </row>
    <row r="1468" spans="1:6" x14ac:dyDescent="0.25">
      <c r="A1468" s="1">
        <v>43788</v>
      </c>
      <c r="B1468">
        <v>2.7</v>
      </c>
      <c r="C1468" s="1">
        <v>43788</v>
      </c>
      <c r="D1468">
        <v>2.35</v>
      </c>
      <c r="E1468" s="1">
        <v>43693</v>
      </c>
      <c r="F1468">
        <v>2.25</v>
      </c>
    </row>
    <row r="1469" spans="1:6" x14ac:dyDescent="0.25">
      <c r="A1469" s="1">
        <v>43789</v>
      </c>
      <c r="B1469">
        <v>2.5299999999999998</v>
      </c>
      <c r="C1469" s="1">
        <v>43789</v>
      </c>
      <c r="D1469">
        <v>1.91</v>
      </c>
      <c r="E1469" s="1">
        <v>43696</v>
      </c>
      <c r="F1469">
        <v>2.25</v>
      </c>
    </row>
    <row r="1470" spans="1:6" x14ac:dyDescent="0.25">
      <c r="A1470" s="1">
        <v>43790</v>
      </c>
      <c r="B1470">
        <v>2.4500000000000002</v>
      </c>
      <c r="C1470" s="1">
        <v>43790</v>
      </c>
      <c r="D1470">
        <v>1.86</v>
      </c>
      <c r="E1470" s="1">
        <v>43697</v>
      </c>
      <c r="F1470">
        <v>2.25</v>
      </c>
    </row>
    <row r="1471" spans="1:6" x14ac:dyDescent="0.25">
      <c r="A1471" s="1">
        <v>43791</v>
      </c>
      <c r="B1471">
        <v>2.5</v>
      </c>
      <c r="C1471" s="1">
        <v>43791</v>
      </c>
      <c r="D1471">
        <v>1.96</v>
      </c>
      <c r="E1471" s="1">
        <v>43698</v>
      </c>
      <c r="F1471">
        <v>2.25</v>
      </c>
    </row>
    <row r="1472" spans="1:6" x14ac:dyDescent="0.25">
      <c r="A1472" s="1">
        <v>43794</v>
      </c>
      <c r="B1472">
        <v>2.65</v>
      </c>
      <c r="C1472" s="1">
        <v>43794</v>
      </c>
      <c r="D1472">
        <v>2.2400000000000002</v>
      </c>
      <c r="E1472" s="1">
        <v>43699</v>
      </c>
      <c r="F1472">
        <v>2.25</v>
      </c>
    </row>
    <row r="1473" spans="1:6" x14ac:dyDescent="0.25">
      <c r="A1473" s="1">
        <v>43795</v>
      </c>
      <c r="B1473">
        <v>2.75</v>
      </c>
      <c r="C1473" s="1">
        <v>43795</v>
      </c>
      <c r="D1473">
        <v>2.33</v>
      </c>
      <c r="E1473" s="1">
        <v>43700</v>
      </c>
      <c r="F1473">
        <v>2.25</v>
      </c>
    </row>
    <row r="1474" spans="1:6" x14ac:dyDescent="0.25">
      <c r="A1474" s="1">
        <v>43796</v>
      </c>
      <c r="B1474">
        <v>2.79</v>
      </c>
      <c r="C1474" s="1">
        <v>43796</v>
      </c>
      <c r="D1474">
        <v>2.2400000000000002</v>
      </c>
      <c r="E1474" s="1">
        <v>43703</v>
      </c>
      <c r="F1474">
        <v>2.25</v>
      </c>
    </row>
    <row r="1475" spans="1:6" x14ac:dyDescent="0.25">
      <c r="A1475" s="1">
        <v>43797</v>
      </c>
      <c r="B1475">
        <v>2.7</v>
      </c>
      <c r="C1475" s="1">
        <v>43797</v>
      </c>
      <c r="D1475">
        <v>2.1</v>
      </c>
      <c r="E1475" s="1">
        <v>43704</v>
      </c>
      <c r="F1475">
        <v>2.25</v>
      </c>
    </row>
    <row r="1476" spans="1:6" x14ac:dyDescent="0.25">
      <c r="A1476" s="1">
        <v>43798</v>
      </c>
      <c r="B1476">
        <v>2.64</v>
      </c>
      <c r="C1476" s="1">
        <v>43798</v>
      </c>
      <c r="D1476">
        <v>2.4</v>
      </c>
      <c r="E1476" s="1">
        <v>43705</v>
      </c>
      <c r="F1476">
        <v>2.25</v>
      </c>
    </row>
    <row r="1477" spans="1:6" x14ac:dyDescent="0.25">
      <c r="A1477" s="1">
        <v>43801</v>
      </c>
      <c r="B1477">
        <v>2.5499999999999998</v>
      </c>
      <c r="C1477" s="1">
        <v>43801</v>
      </c>
      <c r="D1477">
        <v>2.25</v>
      </c>
      <c r="E1477" s="1">
        <v>43706</v>
      </c>
      <c r="F1477">
        <v>2.25</v>
      </c>
    </row>
    <row r="1478" spans="1:6" x14ac:dyDescent="0.25">
      <c r="A1478" s="1">
        <v>43802</v>
      </c>
      <c r="B1478">
        <v>2.5</v>
      </c>
      <c r="C1478" s="1">
        <v>43802</v>
      </c>
      <c r="D1478">
        <v>2.15</v>
      </c>
      <c r="E1478" s="1">
        <v>43707</v>
      </c>
      <c r="F1478">
        <v>2.25</v>
      </c>
    </row>
    <row r="1479" spans="1:6" x14ac:dyDescent="0.25">
      <c r="A1479" s="1">
        <v>43803</v>
      </c>
      <c r="B1479">
        <v>2.4500000000000002</v>
      </c>
      <c r="C1479" s="1">
        <v>43803</v>
      </c>
      <c r="D1479">
        <v>2</v>
      </c>
      <c r="E1479" s="1">
        <v>43710</v>
      </c>
      <c r="F1479">
        <v>2.25</v>
      </c>
    </row>
    <row r="1480" spans="1:6" x14ac:dyDescent="0.25">
      <c r="A1480" s="1">
        <v>43804</v>
      </c>
      <c r="B1480">
        <v>2.42</v>
      </c>
      <c r="C1480" s="1">
        <v>43804</v>
      </c>
      <c r="D1480">
        <v>1.93</v>
      </c>
      <c r="E1480" s="1">
        <v>43711</v>
      </c>
      <c r="F1480">
        <v>2.25</v>
      </c>
    </row>
    <row r="1481" spans="1:6" x14ac:dyDescent="0.25">
      <c r="A1481" s="1">
        <v>43805</v>
      </c>
      <c r="B1481">
        <v>2.4300000000000002</v>
      </c>
      <c r="C1481" s="1">
        <v>43805</v>
      </c>
      <c r="D1481">
        <v>2.08</v>
      </c>
      <c r="E1481" s="1">
        <v>43712</v>
      </c>
      <c r="F1481">
        <v>2.25</v>
      </c>
    </row>
    <row r="1482" spans="1:6" x14ac:dyDescent="0.25">
      <c r="A1482" s="1">
        <v>43808</v>
      </c>
      <c r="B1482">
        <v>2.5</v>
      </c>
      <c r="C1482" s="1">
        <v>43808</v>
      </c>
      <c r="D1482">
        <v>2.35</v>
      </c>
      <c r="E1482" s="1">
        <v>43713</v>
      </c>
      <c r="F1482">
        <v>2.25</v>
      </c>
    </row>
    <row r="1483" spans="1:6" x14ac:dyDescent="0.25">
      <c r="A1483" s="1">
        <v>43809</v>
      </c>
      <c r="B1483">
        <v>2.5</v>
      </c>
      <c r="C1483" s="1">
        <v>43809</v>
      </c>
      <c r="D1483">
        <v>2.21</v>
      </c>
      <c r="E1483" s="1">
        <v>43714</v>
      </c>
      <c r="F1483">
        <v>2.25</v>
      </c>
    </row>
    <row r="1484" spans="1:6" x14ac:dyDescent="0.25">
      <c r="A1484" s="1">
        <v>43810</v>
      </c>
      <c r="B1484">
        <v>2.5</v>
      </c>
      <c r="C1484" s="1">
        <v>43810</v>
      </c>
      <c r="D1484">
        <v>2.1</v>
      </c>
      <c r="E1484" s="1">
        <v>43717</v>
      </c>
      <c r="F1484">
        <v>2.25</v>
      </c>
    </row>
    <row r="1485" spans="1:6" x14ac:dyDescent="0.25">
      <c r="A1485" s="1">
        <v>43811</v>
      </c>
      <c r="B1485">
        <v>2.4500000000000002</v>
      </c>
      <c r="C1485" s="1">
        <v>43811</v>
      </c>
      <c r="D1485">
        <v>2.06</v>
      </c>
      <c r="E1485" s="1">
        <v>43718</v>
      </c>
      <c r="F1485">
        <v>2.25</v>
      </c>
    </row>
    <row r="1486" spans="1:6" x14ac:dyDescent="0.25">
      <c r="A1486" s="1">
        <v>43812</v>
      </c>
      <c r="B1486">
        <v>2.4700000000000002</v>
      </c>
      <c r="C1486" s="1">
        <v>43812</v>
      </c>
      <c r="D1486">
        <v>2.14</v>
      </c>
      <c r="E1486" s="1">
        <v>43719</v>
      </c>
      <c r="F1486">
        <v>2.25</v>
      </c>
    </row>
    <row r="1487" spans="1:6" x14ac:dyDescent="0.25">
      <c r="A1487" s="1">
        <v>43815</v>
      </c>
      <c r="B1487">
        <v>2.54</v>
      </c>
      <c r="C1487" s="1">
        <v>43815</v>
      </c>
      <c r="D1487">
        <v>2.4500000000000002</v>
      </c>
      <c r="E1487" s="1">
        <v>43720</v>
      </c>
      <c r="F1487">
        <v>2.25</v>
      </c>
    </row>
    <row r="1488" spans="1:6" x14ac:dyDescent="0.25">
      <c r="A1488" s="1">
        <v>43816</v>
      </c>
      <c r="B1488">
        <v>2.6</v>
      </c>
      <c r="C1488" s="1">
        <v>43816</v>
      </c>
      <c r="D1488">
        <v>2.52</v>
      </c>
      <c r="E1488" s="1">
        <v>43721</v>
      </c>
      <c r="F1488">
        <v>2.25</v>
      </c>
    </row>
    <row r="1489" spans="1:6" x14ac:dyDescent="0.25">
      <c r="A1489" s="1">
        <v>43817</v>
      </c>
      <c r="B1489">
        <v>2.66</v>
      </c>
      <c r="C1489" s="1">
        <v>43817</v>
      </c>
      <c r="D1489">
        <v>2.5</v>
      </c>
      <c r="E1489" s="1">
        <v>43724</v>
      </c>
      <c r="F1489">
        <v>2.25</v>
      </c>
    </row>
    <row r="1490" spans="1:6" x14ac:dyDescent="0.25">
      <c r="A1490" s="1">
        <v>43818</v>
      </c>
      <c r="B1490">
        <v>2.6</v>
      </c>
      <c r="C1490" s="1">
        <v>43818</v>
      </c>
      <c r="D1490">
        <v>2.0699999999999998</v>
      </c>
      <c r="E1490" s="1">
        <v>43725</v>
      </c>
      <c r="F1490">
        <v>2.25</v>
      </c>
    </row>
    <row r="1491" spans="1:6" x14ac:dyDescent="0.25">
      <c r="A1491" s="1">
        <v>43819</v>
      </c>
      <c r="B1491">
        <v>2.5</v>
      </c>
      <c r="C1491" s="1">
        <v>43819</v>
      </c>
      <c r="D1491">
        <v>1.83</v>
      </c>
      <c r="E1491" s="1">
        <v>43726</v>
      </c>
      <c r="F1491">
        <v>2</v>
      </c>
    </row>
    <row r="1492" spans="1:6" x14ac:dyDescent="0.25">
      <c r="A1492" s="1">
        <v>43822</v>
      </c>
      <c r="B1492">
        <v>2.2999999999999998</v>
      </c>
      <c r="C1492" s="1">
        <v>43822</v>
      </c>
      <c r="D1492">
        <v>1.57</v>
      </c>
      <c r="E1492" s="1">
        <v>43727</v>
      </c>
      <c r="F1492">
        <v>2</v>
      </c>
    </row>
    <row r="1493" spans="1:6" x14ac:dyDescent="0.25">
      <c r="A1493" s="1">
        <v>43823</v>
      </c>
      <c r="B1493">
        <v>2.1</v>
      </c>
      <c r="C1493" s="1">
        <v>43823</v>
      </c>
      <c r="D1493">
        <v>1.1299999999999999</v>
      </c>
      <c r="E1493" s="1">
        <v>43728</v>
      </c>
      <c r="F1493">
        <v>2</v>
      </c>
    </row>
    <row r="1494" spans="1:6" x14ac:dyDescent="0.25">
      <c r="A1494" s="1">
        <v>43824</v>
      </c>
      <c r="B1494">
        <v>2.56</v>
      </c>
      <c r="C1494" s="1">
        <v>43824</v>
      </c>
      <c r="D1494">
        <v>0.97</v>
      </c>
      <c r="E1494" s="1">
        <v>43731</v>
      </c>
      <c r="F1494">
        <v>2</v>
      </c>
    </row>
    <row r="1495" spans="1:6" x14ac:dyDescent="0.25">
      <c r="A1495" s="1">
        <v>43825</v>
      </c>
      <c r="B1495">
        <v>2.65</v>
      </c>
      <c r="C1495" s="1">
        <v>43825</v>
      </c>
      <c r="D1495">
        <v>0.88</v>
      </c>
      <c r="E1495" s="1">
        <v>43732</v>
      </c>
      <c r="F1495">
        <v>2</v>
      </c>
    </row>
    <row r="1496" spans="1:6" x14ac:dyDescent="0.25">
      <c r="A1496" s="1">
        <v>43826</v>
      </c>
      <c r="B1496">
        <v>2.8</v>
      </c>
      <c r="C1496" s="1">
        <v>43826</v>
      </c>
      <c r="D1496">
        <v>1.1000000000000001</v>
      </c>
      <c r="E1496" s="1">
        <v>43733</v>
      </c>
      <c r="F1496">
        <v>2</v>
      </c>
    </row>
    <row r="1497" spans="1:6" x14ac:dyDescent="0.25">
      <c r="A1497" s="1">
        <v>43829</v>
      </c>
      <c r="B1497">
        <v>2.7</v>
      </c>
      <c r="C1497" s="1">
        <v>43829</v>
      </c>
      <c r="D1497">
        <v>1.21</v>
      </c>
      <c r="E1497" s="1">
        <v>43734</v>
      </c>
      <c r="F1497">
        <v>2</v>
      </c>
    </row>
    <row r="1498" spans="1:6" x14ac:dyDescent="0.25">
      <c r="A1498" s="1">
        <v>43830</v>
      </c>
      <c r="B1498">
        <v>3</v>
      </c>
      <c r="C1498" s="1">
        <v>43830</v>
      </c>
      <c r="D1498">
        <v>1.8</v>
      </c>
      <c r="E1498" s="1">
        <v>43735</v>
      </c>
      <c r="F1498">
        <v>2</v>
      </c>
    </row>
    <row r="1499" spans="1:6" x14ac:dyDescent="0.25">
      <c r="A1499" s="1">
        <v>43832</v>
      </c>
      <c r="B1499">
        <v>2.5</v>
      </c>
      <c r="C1499" s="1">
        <v>43832</v>
      </c>
      <c r="D1499">
        <v>1.48</v>
      </c>
      <c r="E1499" s="1">
        <v>43738</v>
      </c>
      <c r="F1499">
        <v>2</v>
      </c>
    </row>
    <row r="1500" spans="1:6" x14ac:dyDescent="0.25">
      <c r="A1500" s="1">
        <v>43833</v>
      </c>
      <c r="B1500">
        <v>2.2999999999999998</v>
      </c>
      <c r="C1500" s="1">
        <v>43833</v>
      </c>
      <c r="D1500">
        <v>1.19</v>
      </c>
      <c r="E1500" s="1">
        <v>43739</v>
      </c>
      <c r="F1500">
        <v>2</v>
      </c>
    </row>
    <row r="1501" spans="1:6" x14ac:dyDescent="0.25">
      <c r="A1501" s="1">
        <v>43836</v>
      </c>
      <c r="B1501">
        <v>2.2000000000000002</v>
      </c>
      <c r="C1501" s="1">
        <v>43836</v>
      </c>
      <c r="D1501">
        <v>1.02</v>
      </c>
      <c r="E1501" s="1">
        <v>43740</v>
      </c>
      <c r="F1501">
        <v>2</v>
      </c>
    </row>
    <row r="1502" spans="1:6" x14ac:dyDescent="0.25">
      <c r="A1502" s="1">
        <v>43837</v>
      </c>
      <c r="B1502">
        <v>2.35</v>
      </c>
      <c r="C1502" s="1">
        <v>43837</v>
      </c>
      <c r="D1502">
        <v>1.23</v>
      </c>
      <c r="E1502" s="1">
        <v>43741</v>
      </c>
      <c r="F1502">
        <v>2</v>
      </c>
    </row>
    <row r="1503" spans="1:6" x14ac:dyDescent="0.25">
      <c r="A1503" s="1">
        <v>43838</v>
      </c>
      <c r="B1503">
        <v>2.4</v>
      </c>
      <c r="C1503" s="1">
        <v>43838</v>
      </c>
      <c r="D1503">
        <v>1.57</v>
      </c>
      <c r="E1503" s="1">
        <v>43742</v>
      </c>
      <c r="F1503">
        <v>2</v>
      </c>
    </row>
    <row r="1504" spans="1:6" x14ac:dyDescent="0.25">
      <c r="A1504" s="1">
        <v>43839</v>
      </c>
      <c r="B1504">
        <v>2.5</v>
      </c>
      <c r="C1504" s="1">
        <v>43839</v>
      </c>
      <c r="D1504">
        <v>1.7</v>
      </c>
      <c r="E1504" s="1">
        <v>43745</v>
      </c>
      <c r="F1504">
        <v>2</v>
      </c>
    </row>
    <row r="1505" spans="1:6" x14ac:dyDescent="0.25">
      <c r="A1505" s="1">
        <v>43840</v>
      </c>
      <c r="B1505">
        <v>2.52</v>
      </c>
      <c r="C1505" s="1">
        <v>43840</v>
      </c>
      <c r="D1505">
        <v>1.78</v>
      </c>
      <c r="E1505" s="1">
        <v>43746</v>
      </c>
      <c r="F1505">
        <v>2</v>
      </c>
    </row>
    <row r="1506" spans="1:6" x14ac:dyDescent="0.25">
      <c r="A1506" s="1">
        <v>43843</v>
      </c>
      <c r="B1506">
        <v>2.5499999999999998</v>
      </c>
      <c r="C1506" s="1">
        <v>43843</v>
      </c>
      <c r="D1506">
        <v>2.0699999999999998</v>
      </c>
      <c r="E1506" s="1">
        <v>43747</v>
      </c>
      <c r="F1506">
        <v>2</v>
      </c>
    </row>
    <row r="1507" spans="1:6" x14ac:dyDescent="0.25">
      <c r="A1507" s="1">
        <v>43844</v>
      </c>
      <c r="B1507">
        <v>2.68</v>
      </c>
      <c r="C1507" s="1">
        <v>43844</v>
      </c>
      <c r="D1507">
        <v>2.54</v>
      </c>
      <c r="E1507" s="1">
        <v>43748</v>
      </c>
      <c r="F1507">
        <v>2</v>
      </c>
    </row>
    <row r="1508" spans="1:6" x14ac:dyDescent="0.25">
      <c r="A1508" s="1">
        <v>43845</v>
      </c>
      <c r="B1508">
        <v>2.86</v>
      </c>
      <c r="C1508" s="1">
        <v>43845</v>
      </c>
      <c r="D1508">
        <v>2.67</v>
      </c>
      <c r="E1508" s="1">
        <v>43749</v>
      </c>
      <c r="F1508">
        <v>2</v>
      </c>
    </row>
    <row r="1509" spans="1:6" x14ac:dyDescent="0.25">
      <c r="A1509" s="1">
        <v>43846</v>
      </c>
      <c r="B1509">
        <v>2.75</v>
      </c>
      <c r="C1509" s="1">
        <v>43846</v>
      </c>
      <c r="D1509">
        <v>2.63</v>
      </c>
      <c r="E1509" s="1">
        <v>43752</v>
      </c>
      <c r="F1509">
        <v>2</v>
      </c>
    </row>
    <row r="1510" spans="1:6" x14ac:dyDescent="0.25">
      <c r="A1510" s="1">
        <v>43847</v>
      </c>
      <c r="B1510">
        <v>2.78</v>
      </c>
      <c r="C1510" s="1">
        <v>43847</v>
      </c>
      <c r="D1510">
        <v>2.52</v>
      </c>
      <c r="E1510" s="1">
        <v>43753</v>
      </c>
      <c r="F1510">
        <v>2</v>
      </c>
    </row>
    <row r="1511" spans="1:6" x14ac:dyDescent="0.25">
      <c r="A1511" s="1">
        <v>43849</v>
      </c>
      <c r="B1511">
        <v>2.6</v>
      </c>
      <c r="C1511" s="1">
        <v>43849</v>
      </c>
      <c r="D1511">
        <v>2.41</v>
      </c>
      <c r="E1511" s="1">
        <v>43754</v>
      </c>
      <c r="F1511">
        <v>2</v>
      </c>
    </row>
    <row r="1512" spans="1:6" x14ac:dyDescent="0.25">
      <c r="A1512" s="1">
        <v>43850</v>
      </c>
      <c r="B1512">
        <v>2.6</v>
      </c>
      <c r="C1512" s="1">
        <v>43850</v>
      </c>
      <c r="D1512">
        <v>2.2599999999999998</v>
      </c>
      <c r="E1512" s="1">
        <v>43755</v>
      </c>
      <c r="F1512">
        <v>2</v>
      </c>
    </row>
    <row r="1513" spans="1:6" x14ac:dyDescent="0.25">
      <c r="A1513" s="1">
        <v>43851</v>
      </c>
      <c r="B1513">
        <v>2.59</v>
      </c>
      <c r="C1513" s="1">
        <v>43851</v>
      </c>
      <c r="D1513">
        <v>1.9</v>
      </c>
      <c r="E1513" s="1">
        <v>43756</v>
      </c>
      <c r="F1513">
        <v>2</v>
      </c>
    </row>
    <row r="1514" spans="1:6" x14ac:dyDescent="0.25">
      <c r="A1514" s="1">
        <v>43852</v>
      </c>
      <c r="B1514">
        <v>2.6</v>
      </c>
      <c r="C1514" s="1">
        <v>43852</v>
      </c>
      <c r="D1514">
        <v>1.57</v>
      </c>
      <c r="E1514" s="1">
        <v>43759</v>
      </c>
      <c r="F1514">
        <v>2</v>
      </c>
    </row>
    <row r="1515" spans="1:6" x14ac:dyDescent="0.25">
      <c r="A1515" s="1">
        <v>43853</v>
      </c>
      <c r="B1515">
        <v>2.6</v>
      </c>
      <c r="C1515" s="1">
        <v>43853</v>
      </c>
      <c r="D1515">
        <v>2.4500000000000002</v>
      </c>
      <c r="E1515" s="1">
        <v>43760</v>
      </c>
      <c r="F1515">
        <v>2</v>
      </c>
    </row>
    <row r="1516" spans="1:6" x14ac:dyDescent="0.25">
      <c r="A1516" s="1">
        <v>43864</v>
      </c>
      <c r="B1516">
        <v>2.6</v>
      </c>
      <c r="C1516" s="1">
        <v>43864</v>
      </c>
      <c r="D1516">
        <v>2.5099999999999998</v>
      </c>
      <c r="E1516" s="1">
        <v>43761</v>
      </c>
      <c r="F1516">
        <v>2</v>
      </c>
    </row>
    <row r="1517" spans="1:6" x14ac:dyDescent="0.25">
      <c r="A1517" s="1">
        <v>43865</v>
      </c>
      <c r="B1517">
        <v>2.5</v>
      </c>
      <c r="C1517" s="1">
        <v>43865</v>
      </c>
      <c r="D1517">
        <v>2.2999999999999998</v>
      </c>
      <c r="E1517" s="1">
        <v>43762</v>
      </c>
      <c r="F1517">
        <v>2</v>
      </c>
    </row>
    <row r="1518" spans="1:6" x14ac:dyDescent="0.25">
      <c r="A1518" s="1">
        <v>43866</v>
      </c>
      <c r="B1518">
        <v>2.4</v>
      </c>
      <c r="C1518" s="1">
        <v>43866</v>
      </c>
      <c r="D1518">
        <v>2.11</v>
      </c>
      <c r="E1518" s="1">
        <v>43763</v>
      </c>
      <c r="F1518">
        <v>2</v>
      </c>
    </row>
    <row r="1519" spans="1:6" x14ac:dyDescent="0.25">
      <c r="A1519" s="1">
        <v>43867</v>
      </c>
      <c r="B1519">
        <v>2.2999999999999998</v>
      </c>
      <c r="C1519" s="1">
        <v>43867</v>
      </c>
      <c r="D1519">
        <v>1.87</v>
      </c>
      <c r="E1519" s="1">
        <v>43766</v>
      </c>
      <c r="F1519">
        <v>2</v>
      </c>
    </row>
    <row r="1520" spans="1:6" x14ac:dyDescent="0.25">
      <c r="A1520" s="1">
        <v>43868</v>
      </c>
      <c r="B1520">
        <v>2.2000000000000002</v>
      </c>
      <c r="C1520" s="1">
        <v>43868</v>
      </c>
      <c r="D1520">
        <v>1.85</v>
      </c>
      <c r="E1520" s="1">
        <v>43767</v>
      </c>
      <c r="F1520">
        <v>2</v>
      </c>
    </row>
    <row r="1521" spans="1:6" x14ac:dyDescent="0.25">
      <c r="A1521" s="1">
        <v>43871</v>
      </c>
      <c r="B1521">
        <v>2.27</v>
      </c>
      <c r="C1521" s="1">
        <v>43871</v>
      </c>
      <c r="D1521">
        <v>1.68</v>
      </c>
      <c r="E1521" s="1">
        <v>43768</v>
      </c>
      <c r="F1521">
        <v>1.75</v>
      </c>
    </row>
    <row r="1522" spans="1:6" x14ac:dyDescent="0.25">
      <c r="A1522" s="1">
        <v>43872</v>
      </c>
      <c r="B1522">
        <v>2.2999999999999998</v>
      </c>
      <c r="C1522" s="1">
        <v>43872</v>
      </c>
      <c r="D1522">
        <v>1.6</v>
      </c>
      <c r="E1522" s="1">
        <v>43769</v>
      </c>
      <c r="F1522">
        <v>1.75</v>
      </c>
    </row>
    <row r="1523" spans="1:6" x14ac:dyDescent="0.25">
      <c r="A1523" s="1">
        <v>43873</v>
      </c>
      <c r="B1523">
        <v>2.38</v>
      </c>
      <c r="C1523" s="1">
        <v>43873</v>
      </c>
      <c r="D1523">
        <v>1.56</v>
      </c>
      <c r="E1523" s="1">
        <v>43770</v>
      </c>
      <c r="F1523">
        <v>1.75</v>
      </c>
    </row>
    <row r="1524" spans="1:6" x14ac:dyDescent="0.25">
      <c r="A1524" s="1">
        <v>43874</v>
      </c>
      <c r="B1524">
        <v>2.38</v>
      </c>
      <c r="C1524" s="1">
        <v>43874</v>
      </c>
      <c r="D1524">
        <v>1.5</v>
      </c>
      <c r="E1524" s="1">
        <v>43773</v>
      </c>
      <c r="F1524">
        <v>1.75</v>
      </c>
    </row>
    <row r="1525" spans="1:6" x14ac:dyDescent="0.25">
      <c r="A1525" s="1">
        <v>43875</v>
      </c>
      <c r="B1525">
        <v>2.2999999999999998</v>
      </c>
      <c r="C1525" s="1">
        <v>43875</v>
      </c>
      <c r="D1525">
        <v>1.3</v>
      </c>
      <c r="E1525" s="1">
        <v>43774</v>
      </c>
      <c r="F1525">
        <v>1.75</v>
      </c>
    </row>
    <row r="1526" spans="1:6" x14ac:dyDescent="0.25">
      <c r="A1526" s="1">
        <v>43878</v>
      </c>
      <c r="B1526">
        <v>2.2599999999999998</v>
      </c>
      <c r="C1526" s="1">
        <v>43878</v>
      </c>
      <c r="D1526">
        <v>1.46</v>
      </c>
      <c r="E1526" s="1">
        <v>43775</v>
      </c>
      <c r="F1526">
        <v>1.75</v>
      </c>
    </row>
    <row r="1527" spans="1:6" x14ac:dyDescent="0.25">
      <c r="A1527" s="1">
        <v>43879</v>
      </c>
      <c r="B1527">
        <v>2.2999999999999998</v>
      </c>
      <c r="C1527" s="1">
        <v>43879</v>
      </c>
      <c r="D1527">
        <v>1.53</v>
      </c>
      <c r="E1527" s="1">
        <v>43776</v>
      </c>
      <c r="F1527">
        <v>1.75</v>
      </c>
    </row>
    <row r="1528" spans="1:6" x14ac:dyDescent="0.25">
      <c r="A1528" s="1">
        <v>43880</v>
      </c>
      <c r="B1528">
        <v>2.2999999999999998</v>
      </c>
      <c r="C1528" s="1">
        <v>43880</v>
      </c>
      <c r="D1528">
        <v>1.65</v>
      </c>
      <c r="E1528" s="1">
        <v>43777</v>
      </c>
      <c r="F1528">
        <v>1.75</v>
      </c>
    </row>
    <row r="1529" spans="1:6" x14ac:dyDescent="0.25">
      <c r="A1529" s="1">
        <v>43881</v>
      </c>
      <c r="B1529">
        <v>2.2999999999999998</v>
      </c>
      <c r="C1529" s="1">
        <v>43881</v>
      </c>
      <c r="D1529">
        <v>1.43</v>
      </c>
      <c r="E1529" s="1">
        <v>43780</v>
      </c>
      <c r="F1529">
        <v>1.75</v>
      </c>
    </row>
    <row r="1530" spans="1:6" x14ac:dyDescent="0.25">
      <c r="A1530" s="1">
        <v>43882</v>
      </c>
      <c r="B1530">
        <v>2.2000000000000002</v>
      </c>
      <c r="C1530" s="1">
        <v>43882</v>
      </c>
      <c r="D1530">
        <v>1.4</v>
      </c>
      <c r="E1530" s="1">
        <v>43781</v>
      </c>
      <c r="F1530">
        <v>1.75</v>
      </c>
    </row>
    <row r="1531" spans="1:6" x14ac:dyDescent="0.25">
      <c r="A1531" s="1">
        <v>43885</v>
      </c>
      <c r="B1531">
        <v>2.2999999999999998</v>
      </c>
      <c r="C1531" s="1">
        <v>43885</v>
      </c>
      <c r="D1531">
        <v>1.54</v>
      </c>
      <c r="E1531" s="1">
        <v>43782</v>
      </c>
      <c r="F1531">
        <v>1.75</v>
      </c>
    </row>
    <row r="1532" spans="1:6" x14ac:dyDescent="0.25">
      <c r="A1532" s="1">
        <v>43886</v>
      </c>
      <c r="B1532">
        <v>2.2599999999999998</v>
      </c>
      <c r="C1532" s="1">
        <v>43886</v>
      </c>
      <c r="D1532">
        <v>1.62</v>
      </c>
      <c r="E1532" s="1">
        <v>43783</v>
      </c>
      <c r="F1532">
        <v>1.75</v>
      </c>
    </row>
    <row r="1533" spans="1:6" x14ac:dyDescent="0.25">
      <c r="A1533" s="1">
        <v>43887</v>
      </c>
      <c r="B1533">
        <v>2.2999999999999998</v>
      </c>
      <c r="C1533" s="1">
        <v>43887</v>
      </c>
      <c r="D1533">
        <v>1.52</v>
      </c>
      <c r="E1533" s="1">
        <v>43784</v>
      </c>
      <c r="F1533">
        <v>1.75</v>
      </c>
    </row>
    <row r="1534" spans="1:6" x14ac:dyDescent="0.25">
      <c r="A1534" s="1">
        <v>43888</v>
      </c>
      <c r="B1534">
        <v>2.2599999999999998</v>
      </c>
      <c r="C1534" s="1">
        <v>43888</v>
      </c>
      <c r="D1534">
        <v>1.37</v>
      </c>
      <c r="E1534" s="1">
        <v>43787</v>
      </c>
      <c r="F1534">
        <v>1.75</v>
      </c>
    </row>
    <row r="1535" spans="1:6" x14ac:dyDescent="0.25">
      <c r="A1535" s="1">
        <v>43889</v>
      </c>
      <c r="B1535">
        <v>2.38</v>
      </c>
      <c r="C1535" s="1">
        <v>43889</v>
      </c>
      <c r="D1535">
        <v>1.65</v>
      </c>
      <c r="E1535" s="1">
        <v>43788</v>
      </c>
      <c r="F1535">
        <v>1.75</v>
      </c>
    </row>
    <row r="1536" spans="1:6" x14ac:dyDescent="0.25">
      <c r="A1536" s="1">
        <v>43892</v>
      </c>
      <c r="B1536">
        <v>2.2000000000000002</v>
      </c>
      <c r="C1536" s="1">
        <v>43892</v>
      </c>
      <c r="D1536">
        <v>1.73</v>
      </c>
      <c r="E1536" s="1">
        <v>43789</v>
      </c>
      <c r="F1536">
        <v>1.75</v>
      </c>
    </row>
    <row r="1537" spans="1:6" x14ac:dyDescent="0.25">
      <c r="A1537" s="1">
        <v>43893</v>
      </c>
      <c r="B1537">
        <v>2.2000000000000002</v>
      </c>
      <c r="C1537" s="1">
        <v>43893</v>
      </c>
      <c r="D1537">
        <v>1.65</v>
      </c>
      <c r="E1537" s="1">
        <v>43790</v>
      </c>
      <c r="F1537">
        <v>1.75</v>
      </c>
    </row>
    <row r="1538" spans="1:6" x14ac:dyDescent="0.25">
      <c r="A1538" s="1">
        <v>43894</v>
      </c>
      <c r="B1538">
        <v>2.1</v>
      </c>
      <c r="C1538" s="1">
        <v>43894</v>
      </c>
      <c r="D1538">
        <v>1.49</v>
      </c>
      <c r="E1538" s="1">
        <v>43791</v>
      </c>
      <c r="F1538">
        <v>1.75</v>
      </c>
    </row>
    <row r="1539" spans="1:6" x14ac:dyDescent="0.25">
      <c r="A1539" s="1">
        <v>43895</v>
      </c>
      <c r="B1539">
        <v>2.1</v>
      </c>
      <c r="C1539" s="1">
        <v>43895</v>
      </c>
      <c r="D1539">
        <v>1.47</v>
      </c>
      <c r="E1539" s="1">
        <v>43794</v>
      </c>
      <c r="F1539">
        <v>1.75</v>
      </c>
    </row>
    <row r="1540" spans="1:6" x14ac:dyDescent="0.25">
      <c r="A1540" s="1">
        <v>43896</v>
      </c>
      <c r="B1540">
        <v>2.02</v>
      </c>
      <c r="C1540" s="1">
        <v>43896</v>
      </c>
      <c r="D1540">
        <v>1.39</v>
      </c>
      <c r="E1540" s="1">
        <v>43795</v>
      </c>
      <c r="F1540">
        <v>1.75</v>
      </c>
    </row>
    <row r="1541" spans="1:6" x14ac:dyDescent="0.25">
      <c r="A1541" s="1">
        <v>43899</v>
      </c>
      <c r="B1541">
        <v>2.0099999999999998</v>
      </c>
      <c r="C1541" s="1">
        <v>43899</v>
      </c>
      <c r="D1541">
        <v>1.6</v>
      </c>
      <c r="E1541" s="1">
        <v>43796</v>
      </c>
      <c r="F1541">
        <v>1.75</v>
      </c>
    </row>
    <row r="1542" spans="1:6" x14ac:dyDescent="0.25">
      <c r="A1542" s="1">
        <v>43900</v>
      </c>
      <c r="B1542">
        <v>2.2400000000000002</v>
      </c>
      <c r="C1542" s="1">
        <v>43900</v>
      </c>
      <c r="D1542">
        <v>2.0299999999999998</v>
      </c>
      <c r="E1542" s="1">
        <v>43797</v>
      </c>
      <c r="F1542">
        <v>1.75</v>
      </c>
    </row>
    <row r="1543" spans="1:6" x14ac:dyDescent="0.25">
      <c r="A1543" s="1">
        <v>43901</v>
      </c>
      <c r="B1543">
        <v>2.2999999999999998</v>
      </c>
      <c r="C1543" s="1">
        <v>43901</v>
      </c>
      <c r="D1543">
        <v>2.13</v>
      </c>
      <c r="E1543" s="1">
        <v>43798</v>
      </c>
      <c r="F1543">
        <v>1.75</v>
      </c>
    </row>
    <row r="1544" spans="1:6" x14ac:dyDescent="0.25">
      <c r="A1544" s="1">
        <v>43902</v>
      </c>
      <c r="B1544">
        <v>2.2400000000000002</v>
      </c>
      <c r="C1544" s="1">
        <v>43902</v>
      </c>
      <c r="D1544">
        <v>1.67</v>
      </c>
      <c r="E1544" s="1">
        <v>43801</v>
      </c>
      <c r="F1544">
        <v>1.75</v>
      </c>
    </row>
    <row r="1545" spans="1:6" x14ac:dyDescent="0.25">
      <c r="A1545" s="1">
        <v>43903</v>
      </c>
      <c r="B1545">
        <v>2.1</v>
      </c>
      <c r="C1545" s="1">
        <v>43903</v>
      </c>
      <c r="D1545">
        <v>1.43</v>
      </c>
      <c r="E1545" s="1">
        <v>43802</v>
      </c>
      <c r="F1545">
        <v>1.75</v>
      </c>
    </row>
    <row r="1546" spans="1:6" x14ac:dyDescent="0.25">
      <c r="A1546" s="1">
        <v>43906</v>
      </c>
      <c r="B1546">
        <v>2</v>
      </c>
      <c r="C1546" s="1">
        <v>43906</v>
      </c>
      <c r="D1546">
        <v>1.25</v>
      </c>
      <c r="E1546" s="1">
        <v>43803</v>
      </c>
      <c r="F1546">
        <v>1.75</v>
      </c>
    </row>
    <row r="1547" spans="1:6" x14ac:dyDescent="0.25">
      <c r="A1547" s="1">
        <v>43907</v>
      </c>
      <c r="B1547">
        <v>1.9</v>
      </c>
      <c r="C1547" s="1">
        <v>43907</v>
      </c>
      <c r="D1547">
        <v>1.1000000000000001</v>
      </c>
      <c r="E1547" s="1">
        <v>43804</v>
      </c>
      <c r="F1547">
        <v>1.75</v>
      </c>
    </row>
    <row r="1548" spans="1:6" x14ac:dyDescent="0.25">
      <c r="A1548" s="1">
        <v>43908</v>
      </c>
      <c r="B1548">
        <v>1.77</v>
      </c>
      <c r="C1548" s="1">
        <v>43908</v>
      </c>
      <c r="D1548">
        <v>1</v>
      </c>
      <c r="E1548" s="1">
        <v>43805</v>
      </c>
      <c r="F1548">
        <v>1.75</v>
      </c>
    </row>
    <row r="1549" spans="1:6" x14ac:dyDescent="0.25">
      <c r="A1549" s="1">
        <v>43909</v>
      </c>
      <c r="B1549">
        <v>1.7</v>
      </c>
      <c r="C1549" s="1">
        <v>43909</v>
      </c>
      <c r="D1549">
        <v>0.86</v>
      </c>
      <c r="E1549" s="1">
        <v>43808</v>
      </c>
      <c r="F1549">
        <v>1.75</v>
      </c>
    </row>
    <row r="1550" spans="1:6" x14ac:dyDescent="0.25">
      <c r="A1550" s="1">
        <v>43910</v>
      </c>
      <c r="B1550">
        <v>1.6</v>
      </c>
      <c r="C1550" s="1">
        <v>43910</v>
      </c>
      <c r="D1550">
        <v>0.81</v>
      </c>
      <c r="E1550" s="1">
        <v>43809</v>
      </c>
      <c r="F1550">
        <v>1.75</v>
      </c>
    </row>
    <row r="1551" spans="1:6" x14ac:dyDescent="0.25">
      <c r="A1551" s="1">
        <v>43913</v>
      </c>
      <c r="B1551">
        <v>1.6</v>
      </c>
      <c r="C1551" s="1">
        <v>43913</v>
      </c>
      <c r="D1551">
        <v>0.87</v>
      </c>
      <c r="E1551" s="1">
        <v>43810</v>
      </c>
      <c r="F1551">
        <v>1.75</v>
      </c>
    </row>
    <row r="1552" spans="1:6" x14ac:dyDescent="0.25">
      <c r="A1552" s="1">
        <v>43914</v>
      </c>
      <c r="B1552">
        <v>1.45</v>
      </c>
      <c r="C1552" s="1">
        <v>43914</v>
      </c>
      <c r="D1552">
        <v>0.84</v>
      </c>
      <c r="E1552" s="1">
        <v>43811</v>
      </c>
      <c r="F1552">
        <v>1.75</v>
      </c>
    </row>
    <row r="1553" spans="1:6" x14ac:dyDescent="0.25">
      <c r="A1553" s="1">
        <v>43915</v>
      </c>
      <c r="B1553">
        <v>1.7</v>
      </c>
      <c r="C1553" s="1">
        <v>43915</v>
      </c>
      <c r="D1553">
        <v>0.86</v>
      </c>
      <c r="E1553" s="1">
        <v>43812</v>
      </c>
      <c r="F1553">
        <v>1.75</v>
      </c>
    </row>
    <row r="1554" spans="1:6" x14ac:dyDescent="0.25">
      <c r="A1554" s="1">
        <v>43916</v>
      </c>
      <c r="B1554">
        <v>1.8</v>
      </c>
      <c r="C1554" s="1">
        <v>43916</v>
      </c>
      <c r="D1554">
        <v>0.86</v>
      </c>
      <c r="E1554" s="1">
        <v>43815</v>
      </c>
      <c r="F1554">
        <v>1.75</v>
      </c>
    </row>
    <row r="1555" spans="1:6" x14ac:dyDescent="0.25">
      <c r="A1555" s="1">
        <v>43917</v>
      </c>
      <c r="B1555">
        <v>1.8</v>
      </c>
      <c r="C1555" s="1">
        <v>43917</v>
      </c>
      <c r="D1555">
        <v>1.1200000000000001</v>
      </c>
      <c r="E1555" s="1">
        <v>43816</v>
      </c>
      <c r="F1555">
        <v>1.75</v>
      </c>
    </row>
    <row r="1556" spans="1:6" x14ac:dyDescent="0.25">
      <c r="A1556" s="1">
        <v>43920</v>
      </c>
      <c r="B1556">
        <v>2.25</v>
      </c>
      <c r="C1556" s="1">
        <v>43920</v>
      </c>
      <c r="D1556">
        <v>1.39</v>
      </c>
      <c r="E1556" s="1">
        <v>43817</v>
      </c>
      <c r="F1556">
        <v>1.75</v>
      </c>
    </row>
    <row r="1557" spans="1:6" x14ac:dyDescent="0.25">
      <c r="A1557" s="1">
        <v>43921</v>
      </c>
      <c r="B1557">
        <v>2.2000000000000002</v>
      </c>
      <c r="C1557" s="1">
        <v>43921</v>
      </c>
      <c r="D1557">
        <v>1.65</v>
      </c>
      <c r="E1557" s="1">
        <v>43818</v>
      </c>
      <c r="F1557">
        <v>1.75</v>
      </c>
    </row>
    <row r="1558" spans="1:6" x14ac:dyDescent="0.25">
      <c r="A1558" s="1">
        <v>43922</v>
      </c>
      <c r="B1558">
        <v>1.94</v>
      </c>
      <c r="C1558" s="1">
        <v>43922</v>
      </c>
      <c r="D1558">
        <v>1.42</v>
      </c>
      <c r="E1558" s="1">
        <v>43819</v>
      </c>
      <c r="F1558">
        <v>1.75</v>
      </c>
    </row>
    <row r="1559" spans="1:6" x14ac:dyDescent="0.25">
      <c r="A1559" s="1">
        <v>43923</v>
      </c>
      <c r="B1559">
        <v>1.7</v>
      </c>
      <c r="C1559" s="1">
        <v>43923</v>
      </c>
      <c r="D1559">
        <v>1.3</v>
      </c>
      <c r="E1559" s="1">
        <v>43822</v>
      </c>
      <c r="F1559">
        <v>1.75</v>
      </c>
    </row>
    <row r="1560" spans="1:6" x14ac:dyDescent="0.25">
      <c r="A1560" s="1">
        <v>43924</v>
      </c>
      <c r="B1560">
        <v>1.5</v>
      </c>
      <c r="C1560" s="1">
        <v>43924</v>
      </c>
      <c r="D1560">
        <v>1.03</v>
      </c>
      <c r="E1560" s="1">
        <v>43823</v>
      </c>
      <c r="F1560">
        <v>1.75</v>
      </c>
    </row>
    <row r="1561" spans="1:6" x14ac:dyDescent="0.25">
      <c r="A1561" s="1">
        <v>43928</v>
      </c>
      <c r="B1561">
        <v>1.4</v>
      </c>
      <c r="C1561" s="1">
        <v>43928</v>
      </c>
      <c r="D1561">
        <v>0.85</v>
      </c>
      <c r="E1561" s="1">
        <v>43824</v>
      </c>
      <c r="F1561">
        <v>1.75</v>
      </c>
    </row>
    <row r="1562" spans="1:6" x14ac:dyDescent="0.25">
      <c r="A1562" s="1">
        <v>43929</v>
      </c>
      <c r="B1562">
        <v>1.4</v>
      </c>
      <c r="C1562" s="1">
        <v>43929</v>
      </c>
      <c r="D1562">
        <v>0.9</v>
      </c>
      <c r="E1562" s="1">
        <v>43825</v>
      </c>
      <c r="F1562">
        <v>1.75</v>
      </c>
    </row>
    <row r="1563" spans="1:6" x14ac:dyDescent="0.25">
      <c r="A1563" s="1">
        <v>43930</v>
      </c>
      <c r="B1563">
        <v>1.4</v>
      </c>
      <c r="C1563" s="1">
        <v>43930</v>
      </c>
      <c r="D1563">
        <v>1.2</v>
      </c>
      <c r="E1563" s="1">
        <v>43826</v>
      </c>
      <c r="F1563">
        <v>1.75</v>
      </c>
    </row>
    <row r="1564" spans="1:6" x14ac:dyDescent="0.25">
      <c r="A1564" s="1">
        <v>43931</v>
      </c>
      <c r="B1564">
        <v>1.6</v>
      </c>
      <c r="C1564" s="1">
        <v>43931</v>
      </c>
      <c r="D1564">
        <v>1.36</v>
      </c>
      <c r="E1564" s="1">
        <v>43829</v>
      </c>
      <c r="F1564">
        <v>1.75</v>
      </c>
    </row>
    <row r="1565" spans="1:6" x14ac:dyDescent="0.25">
      <c r="A1565" s="1">
        <v>43934</v>
      </c>
      <c r="B1565">
        <v>1.7</v>
      </c>
      <c r="C1565" s="1">
        <v>43934</v>
      </c>
      <c r="D1565">
        <v>1.4</v>
      </c>
      <c r="E1565" s="1">
        <v>43830</v>
      </c>
      <c r="F1565">
        <v>1.75</v>
      </c>
    </row>
    <row r="1566" spans="1:6" x14ac:dyDescent="0.25">
      <c r="A1566" s="1">
        <v>43935</v>
      </c>
      <c r="B1566">
        <v>1.6</v>
      </c>
      <c r="C1566" s="1">
        <v>43935</v>
      </c>
      <c r="D1566">
        <v>1.02</v>
      </c>
      <c r="E1566" s="1">
        <v>43831</v>
      </c>
      <c r="F1566">
        <v>1.75</v>
      </c>
    </row>
    <row r="1567" spans="1:6" x14ac:dyDescent="0.25">
      <c r="A1567" s="1">
        <v>43936</v>
      </c>
      <c r="B1567">
        <v>1.5</v>
      </c>
      <c r="C1567" s="1">
        <v>43936</v>
      </c>
      <c r="D1567">
        <v>0.82</v>
      </c>
      <c r="E1567" s="1">
        <v>43832</v>
      </c>
      <c r="F1567">
        <v>1.75</v>
      </c>
    </row>
    <row r="1568" spans="1:6" x14ac:dyDescent="0.25">
      <c r="A1568" s="1">
        <v>43937</v>
      </c>
      <c r="B1568">
        <v>1.4</v>
      </c>
      <c r="C1568" s="1">
        <v>43937</v>
      </c>
      <c r="D1568">
        <v>0.74</v>
      </c>
      <c r="E1568" s="1">
        <v>43833</v>
      </c>
      <c r="F1568">
        <v>1.75</v>
      </c>
    </row>
    <row r="1569" spans="1:6" x14ac:dyDescent="0.25">
      <c r="A1569" s="1">
        <v>43938</v>
      </c>
      <c r="B1569">
        <v>1.4</v>
      </c>
      <c r="C1569" s="1">
        <v>43938</v>
      </c>
      <c r="D1569">
        <v>0.75</v>
      </c>
      <c r="E1569" s="1">
        <v>43836</v>
      </c>
      <c r="F1569">
        <v>1.75</v>
      </c>
    </row>
    <row r="1570" spans="1:6" x14ac:dyDescent="0.25">
      <c r="A1570" s="1">
        <v>43941</v>
      </c>
      <c r="B1570">
        <v>1.4</v>
      </c>
      <c r="C1570" s="1">
        <v>43941</v>
      </c>
      <c r="D1570">
        <v>0.93</v>
      </c>
      <c r="E1570" s="1">
        <v>43837</v>
      </c>
      <c r="F1570">
        <v>1.75</v>
      </c>
    </row>
    <row r="1571" spans="1:6" x14ac:dyDescent="0.25">
      <c r="A1571" s="1">
        <v>43942</v>
      </c>
      <c r="B1571">
        <v>1.4</v>
      </c>
      <c r="C1571" s="1">
        <v>43942</v>
      </c>
      <c r="D1571">
        <v>0.93</v>
      </c>
      <c r="E1571" s="1">
        <v>43838</v>
      </c>
      <c r="F1571">
        <v>1.75</v>
      </c>
    </row>
    <row r="1572" spans="1:6" x14ac:dyDescent="0.25">
      <c r="A1572" s="1">
        <v>43943</v>
      </c>
      <c r="B1572">
        <v>1.4</v>
      </c>
      <c r="C1572" s="1">
        <v>43943</v>
      </c>
      <c r="D1572">
        <v>0.93</v>
      </c>
      <c r="E1572" s="1">
        <v>43839</v>
      </c>
      <c r="F1572">
        <v>1.75</v>
      </c>
    </row>
    <row r="1573" spans="1:6" x14ac:dyDescent="0.25">
      <c r="A1573" s="1">
        <v>43944</v>
      </c>
      <c r="B1573">
        <v>1.4</v>
      </c>
      <c r="C1573" s="1">
        <v>43944</v>
      </c>
      <c r="D1573">
        <v>0.92</v>
      </c>
      <c r="E1573" s="1">
        <v>43840</v>
      </c>
      <c r="F1573">
        <v>1.75</v>
      </c>
    </row>
    <row r="1574" spans="1:6" x14ac:dyDescent="0.25">
      <c r="A1574" s="1">
        <v>43945</v>
      </c>
      <c r="B1574">
        <v>1.55</v>
      </c>
      <c r="C1574" s="1">
        <v>43945</v>
      </c>
      <c r="D1574">
        <v>0.91</v>
      </c>
      <c r="E1574" s="1">
        <v>43843</v>
      </c>
      <c r="F1574">
        <v>1.75</v>
      </c>
    </row>
    <row r="1575" spans="1:6" x14ac:dyDescent="0.25">
      <c r="A1575" s="1">
        <v>43947</v>
      </c>
      <c r="B1575">
        <v>1.35</v>
      </c>
      <c r="C1575" s="1">
        <v>43947</v>
      </c>
      <c r="D1575">
        <v>0.91</v>
      </c>
      <c r="E1575" s="1">
        <v>43844</v>
      </c>
      <c r="F1575">
        <v>1.75</v>
      </c>
    </row>
    <row r="1576" spans="1:6" x14ac:dyDescent="0.25">
      <c r="A1576" s="1">
        <v>43948</v>
      </c>
      <c r="B1576">
        <v>1.54</v>
      </c>
      <c r="C1576" s="1">
        <v>43948</v>
      </c>
      <c r="D1576">
        <v>0.9</v>
      </c>
      <c r="E1576" s="1">
        <v>43845</v>
      </c>
      <c r="F1576">
        <v>1.75</v>
      </c>
    </row>
    <row r="1577" spans="1:6" x14ac:dyDescent="0.25">
      <c r="A1577" s="1">
        <v>43949</v>
      </c>
      <c r="B1577">
        <v>1.55</v>
      </c>
      <c r="C1577" s="1">
        <v>43949</v>
      </c>
      <c r="D1577">
        <v>0.9</v>
      </c>
      <c r="E1577" s="1">
        <v>43846</v>
      </c>
      <c r="F1577">
        <v>1.75</v>
      </c>
    </row>
    <row r="1578" spans="1:6" x14ac:dyDescent="0.25">
      <c r="A1578" s="1">
        <v>43950</v>
      </c>
      <c r="B1578">
        <v>1.68</v>
      </c>
      <c r="C1578" s="1">
        <v>43950</v>
      </c>
      <c r="D1578">
        <v>0.68</v>
      </c>
      <c r="E1578" s="1">
        <v>43847</v>
      </c>
      <c r="F1578">
        <v>1.75</v>
      </c>
    </row>
    <row r="1579" spans="1:6" x14ac:dyDescent="0.25">
      <c r="A1579" s="1">
        <v>43951</v>
      </c>
      <c r="B1579">
        <v>1.93</v>
      </c>
      <c r="C1579" s="1">
        <v>43951</v>
      </c>
      <c r="D1579">
        <v>1.89</v>
      </c>
      <c r="E1579" s="1">
        <v>43850</v>
      </c>
      <c r="F1579">
        <v>1.75</v>
      </c>
    </row>
    <row r="1580" spans="1:6" x14ac:dyDescent="0.25">
      <c r="A1580" s="1">
        <v>43957</v>
      </c>
      <c r="B1580">
        <v>1.55</v>
      </c>
      <c r="C1580" s="1">
        <v>43957</v>
      </c>
      <c r="D1580">
        <v>1.49</v>
      </c>
      <c r="E1580" s="1">
        <v>43851</v>
      </c>
      <c r="F1580">
        <v>1.75</v>
      </c>
    </row>
    <row r="1581" spans="1:6" x14ac:dyDescent="0.25">
      <c r="A1581" s="1">
        <v>43958</v>
      </c>
      <c r="B1581">
        <v>1.5</v>
      </c>
      <c r="C1581" s="1">
        <v>43958</v>
      </c>
      <c r="D1581">
        <v>1.1553</v>
      </c>
      <c r="E1581" s="1">
        <v>43852</v>
      </c>
      <c r="F1581">
        <v>1.75</v>
      </c>
    </row>
    <row r="1582" spans="1:6" x14ac:dyDescent="0.25">
      <c r="A1582" s="1">
        <v>43959</v>
      </c>
      <c r="B1582">
        <v>1.6</v>
      </c>
      <c r="C1582" s="1">
        <v>43959</v>
      </c>
      <c r="D1582">
        <v>0.94</v>
      </c>
      <c r="E1582" s="1">
        <v>43853</v>
      </c>
      <c r="F1582">
        <v>1.75</v>
      </c>
    </row>
    <row r="1583" spans="1:6" x14ac:dyDescent="0.25">
      <c r="A1583" s="1">
        <v>43960</v>
      </c>
      <c r="B1583">
        <v>1.3</v>
      </c>
      <c r="C1583" s="1">
        <v>43960</v>
      </c>
      <c r="D1583">
        <v>0.85</v>
      </c>
      <c r="E1583" s="1">
        <v>43854</v>
      </c>
      <c r="F1583">
        <v>1.75</v>
      </c>
    </row>
    <row r="1584" spans="1:6" x14ac:dyDescent="0.25">
      <c r="A1584" s="1">
        <v>43962</v>
      </c>
      <c r="B1584">
        <v>1.5</v>
      </c>
      <c r="C1584" s="1">
        <v>43962</v>
      </c>
      <c r="D1584">
        <v>0.9</v>
      </c>
      <c r="E1584" s="1">
        <v>43857</v>
      </c>
      <c r="F1584">
        <v>1.75</v>
      </c>
    </row>
    <row r="1585" spans="1:6" x14ac:dyDescent="0.25">
      <c r="A1585" s="1">
        <v>43963</v>
      </c>
      <c r="B1585">
        <v>1.4</v>
      </c>
      <c r="C1585" s="1">
        <v>43963</v>
      </c>
      <c r="D1585">
        <v>0.82</v>
      </c>
      <c r="E1585" s="1">
        <v>43858</v>
      </c>
      <c r="F1585">
        <v>1.75</v>
      </c>
    </row>
    <row r="1586" spans="1:6" x14ac:dyDescent="0.25">
      <c r="A1586" s="1">
        <v>43964</v>
      </c>
      <c r="B1586">
        <v>1.32</v>
      </c>
      <c r="C1586" s="1">
        <v>43964</v>
      </c>
      <c r="D1586">
        <v>0.72</v>
      </c>
      <c r="E1586" s="1">
        <v>43859</v>
      </c>
      <c r="F1586">
        <v>1.75</v>
      </c>
    </row>
    <row r="1587" spans="1:6" x14ac:dyDescent="0.25">
      <c r="A1587" s="1">
        <v>43965</v>
      </c>
      <c r="B1587">
        <v>1.3</v>
      </c>
      <c r="C1587" s="1">
        <v>43965</v>
      </c>
      <c r="D1587">
        <v>0.76</v>
      </c>
      <c r="E1587" s="1">
        <v>43860</v>
      </c>
      <c r="F1587">
        <v>1.75</v>
      </c>
    </row>
    <row r="1588" spans="1:6" x14ac:dyDescent="0.25">
      <c r="A1588" s="1">
        <v>43966</v>
      </c>
      <c r="B1588">
        <v>1.35</v>
      </c>
      <c r="C1588" s="1">
        <v>43966</v>
      </c>
      <c r="D1588">
        <v>0.89</v>
      </c>
      <c r="E1588" s="1">
        <v>43861</v>
      </c>
      <c r="F1588">
        <v>1.75</v>
      </c>
    </row>
    <row r="1589" spans="1:6" x14ac:dyDescent="0.25">
      <c r="A1589" s="1">
        <v>43969</v>
      </c>
      <c r="B1589">
        <v>1.3</v>
      </c>
      <c r="C1589" s="1">
        <v>43969</v>
      </c>
      <c r="D1589">
        <v>0.94</v>
      </c>
      <c r="E1589" s="1">
        <v>43864</v>
      </c>
      <c r="F1589">
        <v>1.75</v>
      </c>
    </row>
    <row r="1590" spans="1:6" x14ac:dyDescent="0.25">
      <c r="A1590" s="1">
        <v>43970</v>
      </c>
      <c r="B1590">
        <v>1.45</v>
      </c>
      <c r="C1590" s="1">
        <v>43970</v>
      </c>
      <c r="D1590">
        <v>1.4</v>
      </c>
      <c r="E1590" s="1">
        <v>43865</v>
      </c>
      <c r="F1590">
        <v>1.75</v>
      </c>
    </row>
    <row r="1591" spans="1:6" x14ac:dyDescent="0.25">
      <c r="A1591" s="1">
        <v>43971</v>
      </c>
      <c r="B1591">
        <v>1.5</v>
      </c>
      <c r="C1591" s="1">
        <v>43971</v>
      </c>
      <c r="D1591">
        <v>1.25</v>
      </c>
      <c r="E1591" s="1">
        <v>43866</v>
      </c>
      <c r="F1591">
        <v>1.75</v>
      </c>
    </row>
    <row r="1592" spans="1:6" x14ac:dyDescent="0.25">
      <c r="A1592" s="1">
        <v>43972</v>
      </c>
      <c r="B1592">
        <v>1.5</v>
      </c>
      <c r="C1592" s="1">
        <v>43972</v>
      </c>
      <c r="D1592">
        <v>1.1299999999999999</v>
      </c>
      <c r="E1592" s="1">
        <v>43867</v>
      </c>
      <c r="F1592">
        <v>1.75</v>
      </c>
    </row>
    <row r="1593" spans="1:6" x14ac:dyDescent="0.25">
      <c r="A1593" s="1">
        <v>43973</v>
      </c>
      <c r="B1593">
        <v>1.4</v>
      </c>
      <c r="C1593" s="1">
        <v>43973</v>
      </c>
      <c r="D1593">
        <v>1.1100000000000001</v>
      </c>
      <c r="E1593" s="1">
        <v>43868</v>
      </c>
      <c r="F1593">
        <v>1.75</v>
      </c>
    </row>
    <row r="1594" spans="1:6" x14ac:dyDescent="0.25">
      <c r="A1594" s="1">
        <v>43976</v>
      </c>
      <c r="B1594">
        <v>1.7</v>
      </c>
      <c r="C1594" s="1">
        <v>43976</v>
      </c>
      <c r="D1594">
        <v>1.5</v>
      </c>
      <c r="E1594" s="1">
        <v>43871</v>
      </c>
      <c r="F1594">
        <v>1.75</v>
      </c>
    </row>
    <row r="1595" spans="1:6" x14ac:dyDescent="0.25">
      <c r="A1595" s="1">
        <v>43977</v>
      </c>
      <c r="B1595">
        <v>1.89</v>
      </c>
      <c r="C1595" s="1">
        <v>43977</v>
      </c>
      <c r="D1595">
        <v>1.9</v>
      </c>
      <c r="E1595" s="1">
        <v>43872</v>
      </c>
      <c r="F1595">
        <v>1.75</v>
      </c>
    </row>
    <row r="1596" spans="1:6" x14ac:dyDescent="0.25">
      <c r="A1596" s="1">
        <v>43978</v>
      </c>
      <c r="B1596">
        <v>2.0099999999999998</v>
      </c>
      <c r="C1596" s="1">
        <v>43978</v>
      </c>
      <c r="D1596">
        <v>2.12</v>
      </c>
      <c r="E1596" s="1">
        <v>43873</v>
      </c>
      <c r="F1596">
        <v>1.75</v>
      </c>
    </row>
    <row r="1597" spans="1:6" x14ac:dyDescent="0.25">
      <c r="A1597" s="1">
        <v>43979</v>
      </c>
      <c r="B1597">
        <v>2.2000000000000002</v>
      </c>
      <c r="C1597" s="1">
        <v>43979</v>
      </c>
      <c r="D1597">
        <v>2.11</v>
      </c>
      <c r="E1597" s="1">
        <v>43874</v>
      </c>
      <c r="F1597">
        <v>1.75</v>
      </c>
    </row>
    <row r="1598" spans="1:6" x14ac:dyDescent="0.25">
      <c r="A1598" s="1">
        <v>43980</v>
      </c>
      <c r="B1598">
        <v>2.17</v>
      </c>
      <c r="C1598" s="1">
        <v>43980</v>
      </c>
      <c r="D1598">
        <v>2.1</v>
      </c>
      <c r="E1598" s="1">
        <v>43875</v>
      </c>
      <c r="F1598">
        <v>1.75</v>
      </c>
    </row>
    <row r="1599" spans="1:6" x14ac:dyDescent="0.25">
      <c r="A1599" s="1">
        <v>43983</v>
      </c>
      <c r="B1599">
        <v>1.65</v>
      </c>
      <c r="C1599" s="1">
        <v>43983</v>
      </c>
      <c r="D1599">
        <v>1.64</v>
      </c>
      <c r="E1599" s="1">
        <v>43878</v>
      </c>
      <c r="F1599">
        <v>1.75</v>
      </c>
    </row>
    <row r="1600" spans="1:6" x14ac:dyDescent="0.25">
      <c r="A1600" s="1">
        <v>43984</v>
      </c>
      <c r="B1600">
        <v>1.5</v>
      </c>
      <c r="C1600" s="1">
        <v>43984</v>
      </c>
      <c r="D1600">
        <v>1.4807999999999999</v>
      </c>
      <c r="E1600" s="1">
        <v>43879</v>
      </c>
      <c r="F1600">
        <v>1.75</v>
      </c>
    </row>
    <row r="1601" spans="1:6" x14ac:dyDescent="0.25">
      <c r="A1601" s="1">
        <v>43985</v>
      </c>
      <c r="B1601">
        <v>1.97</v>
      </c>
      <c r="C1601" s="1">
        <v>43985</v>
      </c>
      <c r="D1601">
        <v>1.9</v>
      </c>
      <c r="E1601" s="1">
        <v>43880</v>
      </c>
      <c r="F1601">
        <v>1.75</v>
      </c>
    </row>
    <row r="1602" spans="1:6" x14ac:dyDescent="0.25">
      <c r="A1602" s="1">
        <v>43986</v>
      </c>
      <c r="B1602">
        <v>1.95</v>
      </c>
      <c r="C1602" s="1">
        <v>43986</v>
      </c>
      <c r="D1602">
        <v>1.98</v>
      </c>
      <c r="E1602" s="1">
        <v>43881</v>
      </c>
      <c r="F1602">
        <v>1.75</v>
      </c>
    </row>
    <row r="1603" spans="1:6" x14ac:dyDescent="0.25">
      <c r="A1603" s="1">
        <v>43987</v>
      </c>
      <c r="B1603">
        <v>1.9</v>
      </c>
      <c r="C1603" s="1">
        <v>43987</v>
      </c>
      <c r="D1603">
        <v>1.6</v>
      </c>
      <c r="E1603" s="1">
        <v>43882</v>
      </c>
      <c r="F1603">
        <v>1.75</v>
      </c>
    </row>
    <row r="1604" spans="1:6" x14ac:dyDescent="0.25">
      <c r="A1604" s="1">
        <v>43990</v>
      </c>
      <c r="B1604">
        <v>1.89</v>
      </c>
      <c r="C1604" s="1">
        <v>43990</v>
      </c>
      <c r="D1604">
        <v>1.9</v>
      </c>
      <c r="E1604" s="1">
        <v>43885</v>
      </c>
      <c r="F1604">
        <v>1.75</v>
      </c>
    </row>
    <row r="1605" spans="1:6" x14ac:dyDescent="0.25">
      <c r="A1605" s="1">
        <v>43991</v>
      </c>
      <c r="B1605">
        <v>1.9</v>
      </c>
      <c r="C1605" s="1">
        <v>43991</v>
      </c>
      <c r="D1605">
        <v>1.85</v>
      </c>
      <c r="E1605" s="1">
        <v>43886</v>
      </c>
      <c r="F1605">
        <v>1.75</v>
      </c>
    </row>
    <row r="1606" spans="1:6" x14ac:dyDescent="0.25">
      <c r="A1606" s="1">
        <v>43992</v>
      </c>
      <c r="B1606">
        <v>1.98</v>
      </c>
      <c r="C1606" s="1">
        <v>43992</v>
      </c>
      <c r="D1606">
        <v>1.85</v>
      </c>
      <c r="E1606" s="1">
        <v>43887</v>
      </c>
      <c r="F1606">
        <v>1.75</v>
      </c>
    </row>
    <row r="1607" spans="1:6" x14ac:dyDescent="0.25">
      <c r="A1607" s="1">
        <v>43993</v>
      </c>
      <c r="B1607">
        <v>2</v>
      </c>
      <c r="C1607" s="1">
        <v>43993</v>
      </c>
      <c r="D1607">
        <v>1.77</v>
      </c>
      <c r="E1607" s="1">
        <v>43888</v>
      </c>
      <c r="F1607">
        <v>1.75</v>
      </c>
    </row>
    <row r="1608" spans="1:6" x14ac:dyDescent="0.25">
      <c r="A1608" s="1">
        <v>43994</v>
      </c>
      <c r="B1608">
        <v>1.96</v>
      </c>
      <c r="C1608" s="1">
        <v>43994</v>
      </c>
      <c r="D1608">
        <v>1.54</v>
      </c>
      <c r="E1608" s="1">
        <v>43889</v>
      </c>
      <c r="F1608">
        <v>1.75</v>
      </c>
    </row>
    <row r="1609" spans="1:6" x14ac:dyDescent="0.25">
      <c r="A1609" s="1">
        <v>43997</v>
      </c>
      <c r="B1609">
        <v>1.81</v>
      </c>
      <c r="C1609" s="1">
        <v>43997</v>
      </c>
      <c r="D1609">
        <v>1.49</v>
      </c>
      <c r="E1609" s="1">
        <v>43892</v>
      </c>
      <c r="F1609">
        <v>1.75</v>
      </c>
    </row>
    <row r="1610" spans="1:6" x14ac:dyDescent="0.25">
      <c r="A1610" s="1">
        <v>43998</v>
      </c>
      <c r="B1610">
        <v>1.9</v>
      </c>
      <c r="C1610" s="1">
        <v>43998</v>
      </c>
      <c r="D1610">
        <v>1.77</v>
      </c>
      <c r="E1610" s="1">
        <v>43893</v>
      </c>
      <c r="F1610">
        <v>1.25</v>
      </c>
    </row>
    <row r="1611" spans="1:6" x14ac:dyDescent="0.25">
      <c r="A1611" s="1">
        <v>43999</v>
      </c>
      <c r="B1611">
        <v>2.0499999999999998</v>
      </c>
      <c r="C1611" s="1">
        <v>43999</v>
      </c>
      <c r="D1611">
        <v>2.0699999999999998</v>
      </c>
      <c r="E1611" s="1">
        <v>43894</v>
      </c>
      <c r="F1611">
        <v>1.25</v>
      </c>
    </row>
    <row r="1612" spans="1:6" x14ac:dyDescent="0.25">
      <c r="A1612" s="1">
        <v>44000</v>
      </c>
      <c r="B1612">
        <v>2.1</v>
      </c>
      <c r="C1612" s="1">
        <v>44000</v>
      </c>
      <c r="D1612">
        <v>2.14</v>
      </c>
      <c r="E1612" s="1">
        <v>43895</v>
      </c>
      <c r="F1612">
        <v>1.25</v>
      </c>
    </row>
    <row r="1613" spans="1:6" x14ac:dyDescent="0.25">
      <c r="A1613" s="1">
        <v>44001</v>
      </c>
      <c r="B1613">
        <v>2.14</v>
      </c>
      <c r="C1613" s="1">
        <v>44001</v>
      </c>
      <c r="D1613">
        <v>2.14</v>
      </c>
      <c r="E1613" s="1">
        <v>43896</v>
      </c>
      <c r="F1613">
        <v>1.25</v>
      </c>
    </row>
    <row r="1614" spans="1:6" x14ac:dyDescent="0.25">
      <c r="A1614" s="1">
        <v>44004</v>
      </c>
      <c r="B1614">
        <v>2.15</v>
      </c>
      <c r="C1614" s="1">
        <v>44004</v>
      </c>
      <c r="D1614">
        <v>2.15</v>
      </c>
      <c r="E1614" s="1">
        <v>43899</v>
      </c>
      <c r="F1614">
        <v>1.25</v>
      </c>
    </row>
    <row r="1615" spans="1:6" x14ac:dyDescent="0.25">
      <c r="A1615" s="1">
        <v>44005</v>
      </c>
      <c r="B1615">
        <v>2.2000000000000002</v>
      </c>
      <c r="C1615" s="1">
        <v>44005</v>
      </c>
      <c r="D1615">
        <v>1.98</v>
      </c>
      <c r="E1615" s="1">
        <v>43900</v>
      </c>
      <c r="F1615">
        <v>1.25</v>
      </c>
    </row>
    <row r="1616" spans="1:6" x14ac:dyDescent="0.25">
      <c r="A1616" s="1">
        <v>44006</v>
      </c>
      <c r="B1616">
        <v>2.2999999999999998</v>
      </c>
      <c r="C1616" s="1">
        <v>44006</v>
      </c>
      <c r="D1616">
        <v>1.54</v>
      </c>
      <c r="E1616" s="1">
        <v>43901</v>
      </c>
      <c r="F1616">
        <v>1.25</v>
      </c>
    </row>
    <row r="1617" spans="1:6" x14ac:dyDescent="0.25">
      <c r="A1617" s="1">
        <v>44010</v>
      </c>
      <c r="B1617">
        <v>2.1800000000000002</v>
      </c>
      <c r="C1617" s="1">
        <v>44010</v>
      </c>
      <c r="D1617">
        <v>1.1000000000000001</v>
      </c>
      <c r="E1617" s="1">
        <v>43902</v>
      </c>
      <c r="F1617">
        <v>1.25</v>
      </c>
    </row>
    <row r="1618" spans="1:6" x14ac:dyDescent="0.25">
      <c r="A1618" s="1">
        <v>44011</v>
      </c>
      <c r="B1618">
        <v>2.5</v>
      </c>
      <c r="C1618" s="1">
        <v>44011</v>
      </c>
      <c r="D1618">
        <v>1.02</v>
      </c>
      <c r="E1618" s="1">
        <v>43903</v>
      </c>
      <c r="F1618">
        <v>1.25</v>
      </c>
    </row>
    <row r="1619" spans="1:6" x14ac:dyDescent="0.25">
      <c r="A1619" s="1">
        <v>44012</v>
      </c>
      <c r="B1619">
        <v>3</v>
      </c>
      <c r="C1619" s="1">
        <v>44012</v>
      </c>
      <c r="D1619">
        <v>1.9</v>
      </c>
      <c r="E1619" s="1">
        <v>43906</v>
      </c>
      <c r="F1619">
        <v>0.25</v>
      </c>
    </row>
    <row r="1620" spans="1:6" x14ac:dyDescent="0.25">
      <c r="A1620" s="1">
        <v>44013</v>
      </c>
      <c r="B1620">
        <v>2.13</v>
      </c>
      <c r="C1620" s="1">
        <v>44013</v>
      </c>
      <c r="D1620">
        <v>2</v>
      </c>
      <c r="E1620" s="1">
        <v>43907</v>
      </c>
      <c r="F1620">
        <v>0.25</v>
      </c>
    </row>
    <row r="1621" spans="1:6" x14ac:dyDescent="0.25">
      <c r="A1621" s="1">
        <v>44014</v>
      </c>
      <c r="B1621">
        <v>2</v>
      </c>
      <c r="C1621" s="1">
        <v>44014</v>
      </c>
      <c r="D1621">
        <v>1.76</v>
      </c>
      <c r="E1621" s="1">
        <v>43908</v>
      </c>
      <c r="F1621">
        <v>0.25</v>
      </c>
    </row>
    <row r="1622" spans="1:6" x14ac:dyDescent="0.25">
      <c r="A1622" s="1">
        <v>44015</v>
      </c>
      <c r="B1622">
        <v>1.9</v>
      </c>
      <c r="C1622" s="1">
        <v>44015</v>
      </c>
      <c r="D1622">
        <v>1.38</v>
      </c>
      <c r="E1622" s="1">
        <v>43909</v>
      </c>
      <c r="F1622">
        <v>0.25</v>
      </c>
    </row>
    <row r="1623" spans="1:6" x14ac:dyDescent="0.25">
      <c r="A1623" s="1">
        <v>44018</v>
      </c>
      <c r="B1623">
        <v>1.8</v>
      </c>
      <c r="C1623" s="1">
        <v>44018</v>
      </c>
      <c r="D1623">
        <v>1.36</v>
      </c>
      <c r="E1623" s="1">
        <v>43910</v>
      </c>
      <c r="F1623">
        <v>0.25</v>
      </c>
    </row>
    <row r="1624" spans="1:6" x14ac:dyDescent="0.25">
      <c r="A1624" s="1">
        <v>44019</v>
      </c>
      <c r="B1624">
        <v>2.1</v>
      </c>
      <c r="C1624" s="1">
        <v>44019</v>
      </c>
      <c r="D1624">
        <v>1.73</v>
      </c>
      <c r="E1624" s="1">
        <v>43913</v>
      </c>
      <c r="F1624">
        <v>0.25</v>
      </c>
    </row>
    <row r="1625" spans="1:6" x14ac:dyDescent="0.25">
      <c r="A1625" s="1">
        <v>44020</v>
      </c>
      <c r="B1625">
        <v>2.15</v>
      </c>
      <c r="C1625" s="1">
        <v>44020</v>
      </c>
      <c r="D1625">
        <v>2.1</v>
      </c>
      <c r="E1625" s="1">
        <v>43914</v>
      </c>
      <c r="F1625">
        <v>0.25</v>
      </c>
    </row>
    <row r="1626" spans="1:6" x14ac:dyDescent="0.25">
      <c r="A1626" s="1">
        <v>44021</v>
      </c>
      <c r="B1626">
        <v>2.1800000000000002</v>
      </c>
      <c r="C1626" s="1">
        <v>44021</v>
      </c>
      <c r="D1626">
        <v>2.21</v>
      </c>
      <c r="E1626" s="1">
        <v>43915</v>
      </c>
      <c r="F1626">
        <v>0.25</v>
      </c>
    </row>
    <row r="1627" spans="1:6" x14ac:dyDescent="0.25">
      <c r="A1627" s="1">
        <v>44022</v>
      </c>
      <c r="B1627">
        <v>2.2999999999999998</v>
      </c>
      <c r="C1627" s="1">
        <v>44022</v>
      </c>
      <c r="D1627">
        <v>2.21</v>
      </c>
      <c r="E1627" s="1">
        <v>43916</v>
      </c>
      <c r="F1627">
        <v>0.25</v>
      </c>
    </row>
    <row r="1628" spans="1:6" x14ac:dyDescent="0.25">
      <c r="A1628" s="1">
        <v>44025</v>
      </c>
      <c r="B1628">
        <v>2.2999999999999998</v>
      </c>
      <c r="C1628" s="1">
        <v>44025</v>
      </c>
      <c r="D1628">
        <v>2.14</v>
      </c>
      <c r="E1628" s="1">
        <v>43917</v>
      </c>
      <c r="F1628">
        <v>0.25</v>
      </c>
    </row>
    <row r="1629" spans="1:6" x14ac:dyDescent="0.25">
      <c r="A1629" s="1">
        <v>44026</v>
      </c>
      <c r="B1629">
        <v>2.2000000000000002</v>
      </c>
      <c r="C1629" s="1">
        <v>44026</v>
      </c>
      <c r="D1629">
        <v>1.68</v>
      </c>
      <c r="E1629" s="1">
        <v>43920</v>
      </c>
      <c r="F1629">
        <v>0.25</v>
      </c>
    </row>
    <row r="1630" spans="1:6" x14ac:dyDescent="0.25">
      <c r="A1630" s="1">
        <v>44027</v>
      </c>
      <c r="B1630">
        <v>2.2000000000000002</v>
      </c>
      <c r="C1630" s="1">
        <v>44027</v>
      </c>
      <c r="D1630">
        <v>2.0499999999999998</v>
      </c>
      <c r="E1630" s="1">
        <v>43921</v>
      </c>
      <c r="F1630">
        <v>0.25</v>
      </c>
    </row>
    <row r="1631" spans="1:6" x14ac:dyDescent="0.25">
      <c r="A1631" s="1">
        <v>44028</v>
      </c>
      <c r="B1631">
        <v>2.25</v>
      </c>
      <c r="C1631" s="1">
        <v>44028</v>
      </c>
      <c r="D1631">
        <v>2.2850000000000001</v>
      </c>
      <c r="E1631" s="1">
        <v>43922</v>
      </c>
      <c r="F1631">
        <v>0.25</v>
      </c>
    </row>
    <row r="1632" spans="1:6" x14ac:dyDescent="0.25">
      <c r="A1632" s="1">
        <v>44029</v>
      </c>
      <c r="B1632">
        <v>2.35</v>
      </c>
      <c r="C1632" s="1">
        <v>44029</v>
      </c>
      <c r="D1632">
        <v>2.37</v>
      </c>
      <c r="E1632" s="1">
        <v>43923</v>
      </c>
      <c r="F1632">
        <v>0.25</v>
      </c>
    </row>
    <row r="1633" spans="1:6" x14ac:dyDescent="0.25">
      <c r="A1633" s="1">
        <v>44032</v>
      </c>
      <c r="B1633">
        <v>2.2000000000000002</v>
      </c>
      <c r="C1633" s="1">
        <v>44032</v>
      </c>
      <c r="D1633">
        <v>1.97</v>
      </c>
      <c r="E1633" s="1">
        <v>43924</v>
      </c>
      <c r="F1633">
        <v>0.25</v>
      </c>
    </row>
    <row r="1634" spans="1:6" x14ac:dyDescent="0.25">
      <c r="A1634" s="1">
        <v>44033</v>
      </c>
      <c r="B1634">
        <v>2.1</v>
      </c>
      <c r="C1634" s="1">
        <v>44033</v>
      </c>
      <c r="D1634">
        <v>1.59</v>
      </c>
      <c r="E1634" s="1">
        <v>43927</v>
      </c>
      <c r="F1634">
        <v>0.25</v>
      </c>
    </row>
    <row r="1635" spans="1:6" x14ac:dyDescent="0.25">
      <c r="A1635" s="1">
        <v>44034</v>
      </c>
      <c r="B1635">
        <v>2</v>
      </c>
      <c r="C1635" s="1">
        <v>44034</v>
      </c>
      <c r="D1635">
        <v>1.35</v>
      </c>
      <c r="E1635" s="1">
        <v>43928</v>
      </c>
      <c r="F1635">
        <v>0.25</v>
      </c>
    </row>
    <row r="1636" spans="1:6" x14ac:dyDescent="0.25">
      <c r="A1636" s="1">
        <v>44035</v>
      </c>
      <c r="B1636">
        <v>2.2000000000000002</v>
      </c>
      <c r="C1636" s="1">
        <v>44035</v>
      </c>
      <c r="D1636">
        <v>1.89</v>
      </c>
      <c r="E1636" s="1">
        <v>43929</v>
      </c>
      <c r="F1636">
        <v>0.25</v>
      </c>
    </row>
    <row r="1637" spans="1:6" x14ac:dyDescent="0.25">
      <c r="A1637" s="1">
        <v>44036</v>
      </c>
      <c r="B1637">
        <v>2.13</v>
      </c>
      <c r="C1637" s="1">
        <v>44036</v>
      </c>
      <c r="D1637">
        <v>1.86</v>
      </c>
      <c r="E1637" s="1">
        <v>43930</v>
      </c>
      <c r="F1637">
        <v>0.25</v>
      </c>
    </row>
    <row r="1638" spans="1:6" x14ac:dyDescent="0.25">
      <c r="A1638" s="1">
        <v>44039</v>
      </c>
      <c r="B1638">
        <v>2.4</v>
      </c>
      <c r="C1638" s="1">
        <v>44039</v>
      </c>
      <c r="D1638">
        <v>2.0099999999999998</v>
      </c>
      <c r="E1638" s="1">
        <v>43931</v>
      </c>
      <c r="F1638">
        <v>0.25</v>
      </c>
    </row>
    <row r="1639" spans="1:6" x14ac:dyDescent="0.25">
      <c r="A1639" s="1">
        <v>44040</v>
      </c>
      <c r="B1639">
        <v>2.4</v>
      </c>
      <c r="C1639" s="1">
        <v>44040</v>
      </c>
      <c r="D1639">
        <v>1.77</v>
      </c>
      <c r="E1639" s="1">
        <v>43934</v>
      </c>
      <c r="F1639">
        <v>0.25</v>
      </c>
    </row>
    <row r="1640" spans="1:6" x14ac:dyDescent="0.25">
      <c r="A1640" s="1">
        <v>44041</v>
      </c>
      <c r="B1640">
        <v>2.35</v>
      </c>
      <c r="C1640" s="1">
        <v>44041</v>
      </c>
      <c r="D1640">
        <v>1.46</v>
      </c>
      <c r="E1640" s="1">
        <v>43935</v>
      </c>
      <c r="F1640">
        <v>0.25</v>
      </c>
    </row>
    <row r="1641" spans="1:6" x14ac:dyDescent="0.25">
      <c r="A1641" s="1">
        <v>44042</v>
      </c>
      <c r="B1641">
        <v>2.2999999999999998</v>
      </c>
      <c r="C1641" s="1">
        <v>44042</v>
      </c>
      <c r="D1641">
        <v>1.38</v>
      </c>
      <c r="E1641" s="1">
        <v>43936</v>
      </c>
      <c r="F1641">
        <v>0.25</v>
      </c>
    </row>
    <row r="1642" spans="1:6" x14ac:dyDescent="0.25">
      <c r="A1642" s="1">
        <v>44043</v>
      </c>
      <c r="B1642">
        <v>2.2999999999999998</v>
      </c>
      <c r="C1642" s="1">
        <v>44043</v>
      </c>
      <c r="D1642">
        <v>1.85</v>
      </c>
      <c r="E1642" s="1">
        <v>43937</v>
      </c>
      <c r="F1642">
        <v>0.25</v>
      </c>
    </row>
    <row r="1643" spans="1:6" x14ac:dyDescent="0.25">
      <c r="A1643" s="1">
        <v>44046</v>
      </c>
      <c r="B1643">
        <v>2.0699999999999998</v>
      </c>
      <c r="C1643" s="1">
        <v>44046</v>
      </c>
      <c r="D1643">
        <v>1.6</v>
      </c>
      <c r="E1643" s="1">
        <v>43938</v>
      </c>
      <c r="F1643">
        <v>0.25</v>
      </c>
    </row>
    <row r="1644" spans="1:6" x14ac:dyDescent="0.25">
      <c r="A1644" s="1">
        <v>44047</v>
      </c>
      <c r="B1644">
        <v>2.14</v>
      </c>
      <c r="C1644" s="1">
        <v>44047</v>
      </c>
      <c r="D1644">
        <v>1.94</v>
      </c>
      <c r="E1644" s="1">
        <v>43941</v>
      </c>
      <c r="F1644">
        <v>0.25</v>
      </c>
    </row>
    <row r="1645" spans="1:6" x14ac:dyDescent="0.25">
      <c r="A1645" s="1">
        <v>44048</v>
      </c>
      <c r="B1645">
        <v>2.1</v>
      </c>
      <c r="C1645" s="1">
        <v>44048</v>
      </c>
      <c r="D1645">
        <v>1.7</v>
      </c>
      <c r="E1645" s="1">
        <v>43942</v>
      </c>
      <c r="F1645">
        <v>0.25</v>
      </c>
    </row>
    <row r="1646" spans="1:6" x14ac:dyDescent="0.25">
      <c r="A1646" s="1">
        <v>44049</v>
      </c>
      <c r="B1646">
        <v>2.0699999999999998</v>
      </c>
      <c r="C1646" s="1">
        <v>44049</v>
      </c>
      <c r="D1646">
        <v>1.68</v>
      </c>
      <c r="E1646" s="1">
        <v>43943</v>
      </c>
      <c r="F1646">
        <v>0.25</v>
      </c>
    </row>
    <row r="1647" spans="1:6" x14ac:dyDescent="0.25">
      <c r="A1647" s="1">
        <v>44050</v>
      </c>
      <c r="B1647">
        <v>2.2000000000000002</v>
      </c>
      <c r="C1647" s="1">
        <v>44050</v>
      </c>
      <c r="D1647">
        <v>2.08</v>
      </c>
      <c r="E1647" s="1">
        <v>43944</v>
      </c>
      <c r="F1647">
        <v>0.25</v>
      </c>
    </row>
    <row r="1648" spans="1:6" x14ac:dyDescent="0.25">
      <c r="A1648" s="1">
        <v>44053</v>
      </c>
      <c r="B1648">
        <v>2.2000000000000002</v>
      </c>
      <c r="C1648" s="1">
        <v>44053</v>
      </c>
      <c r="D1648">
        <v>2.16</v>
      </c>
      <c r="E1648" s="1">
        <v>43945</v>
      </c>
      <c r="F1648">
        <v>0.25</v>
      </c>
    </row>
    <row r="1649" spans="1:6" x14ac:dyDescent="0.25">
      <c r="A1649" s="1">
        <v>44054</v>
      </c>
      <c r="B1649">
        <v>2.29</v>
      </c>
      <c r="C1649" s="1">
        <v>44054</v>
      </c>
      <c r="D1649">
        <v>2.23</v>
      </c>
      <c r="E1649" s="1">
        <v>43948</v>
      </c>
      <c r="F1649">
        <v>0.25</v>
      </c>
    </row>
    <row r="1650" spans="1:6" x14ac:dyDescent="0.25">
      <c r="A1650" s="1">
        <v>44055</v>
      </c>
      <c r="B1650">
        <v>2.2999999999999998</v>
      </c>
      <c r="C1650" s="1">
        <v>44055</v>
      </c>
      <c r="D1650">
        <v>2.17</v>
      </c>
      <c r="E1650" s="1">
        <v>43949</v>
      </c>
      <c r="F1650">
        <v>0.25</v>
      </c>
    </row>
    <row r="1651" spans="1:6" x14ac:dyDescent="0.25">
      <c r="A1651" s="1">
        <v>44056</v>
      </c>
      <c r="B1651">
        <v>2.2999999999999998</v>
      </c>
      <c r="C1651" s="1">
        <v>44056</v>
      </c>
      <c r="D1651">
        <v>2.2000000000000002</v>
      </c>
      <c r="E1651" s="1">
        <v>43950</v>
      </c>
      <c r="F1651">
        <v>0.25</v>
      </c>
    </row>
    <row r="1652" spans="1:6" x14ac:dyDescent="0.25">
      <c r="A1652" s="1">
        <v>44057</v>
      </c>
      <c r="B1652">
        <v>2.35</v>
      </c>
      <c r="C1652" s="1">
        <v>44057</v>
      </c>
      <c r="D1652">
        <v>2.21</v>
      </c>
      <c r="E1652" s="1">
        <v>43951</v>
      </c>
      <c r="F1652">
        <v>0.25</v>
      </c>
    </row>
    <row r="1653" spans="1:6" x14ac:dyDescent="0.25">
      <c r="A1653" s="1">
        <v>44060</v>
      </c>
      <c r="B1653">
        <v>2.2999999999999998</v>
      </c>
      <c r="C1653" s="1">
        <v>44060</v>
      </c>
      <c r="D1653">
        <v>2.15</v>
      </c>
      <c r="E1653" s="1">
        <v>43952</v>
      </c>
      <c r="F1653">
        <v>0.25</v>
      </c>
    </row>
    <row r="1654" spans="1:6" x14ac:dyDescent="0.25">
      <c r="A1654" s="1">
        <v>44061</v>
      </c>
      <c r="B1654">
        <v>2.2999999999999998</v>
      </c>
      <c r="C1654" s="1">
        <v>44061</v>
      </c>
      <c r="D1654">
        <v>2.13</v>
      </c>
      <c r="E1654" s="1">
        <v>43955</v>
      </c>
      <c r="F1654">
        <v>0.25</v>
      </c>
    </row>
    <row r="1655" spans="1:6" x14ac:dyDescent="0.25">
      <c r="A1655" s="1">
        <v>44062</v>
      </c>
      <c r="B1655">
        <v>2.33</v>
      </c>
      <c r="C1655" s="1">
        <v>44062</v>
      </c>
      <c r="D1655">
        <v>2.1722000000000001</v>
      </c>
      <c r="E1655" s="1">
        <v>43956</v>
      </c>
      <c r="F1655">
        <v>0.25</v>
      </c>
    </row>
    <row r="1656" spans="1:6" x14ac:dyDescent="0.25">
      <c r="A1656" s="1">
        <v>44063</v>
      </c>
      <c r="B1656">
        <v>2.33</v>
      </c>
      <c r="C1656" s="1">
        <v>44063</v>
      </c>
      <c r="D1656">
        <v>2.2200000000000002</v>
      </c>
      <c r="E1656" s="1">
        <v>43957</v>
      </c>
      <c r="F1656">
        <v>0.25</v>
      </c>
    </row>
    <row r="1657" spans="1:6" x14ac:dyDescent="0.25">
      <c r="A1657" s="1">
        <v>44064</v>
      </c>
      <c r="B1657">
        <v>2.4700000000000002</v>
      </c>
      <c r="C1657" s="1">
        <v>44064</v>
      </c>
      <c r="D1657">
        <v>2.2999999999999998</v>
      </c>
      <c r="E1657" s="1">
        <v>43958</v>
      </c>
      <c r="F1657">
        <v>0.25</v>
      </c>
    </row>
    <row r="1658" spans="1:6" x14ac:dyDescent="0.25">
      <c r="A1658" s="1">
        <v>44067</v>
      </c>
      <c r="B1658">
        <v>2.37</v>
      </c>
      <c r="C1658" s="1">
        <v>44067</v>
      </c>
      <c r="D1658">
        <v>2.39</v>
      </c>
      <c r="E1658" s="1">
        <v>43959</v>
      </c>
      <c r="F1658">
        <v>0.25</v>
      </c>
    </row>
    <row r="1659" spans="1:6" x14ac:dyDescent="0.25">
      <c r="A1659" s="1">
        <v>44068</v>
      </c>
      <c r="B1659">
        <v>2.6</v>
      </c>
      <c r="C1659" s="1">
        <v>44068</v>
      </c>
      <c r="D1659">
        <v>1.99</v>
      </c>
      <c r="E1659" s="1">
        <v>43962</v>
      </c>
      <c r="F1659">
        <v>0.25</v>
      </c>
    </row>
    <row r="1660" spans="1:6" x14ac:dyDescent="0.25">
      <c r="A1660" s="1">
        <v>44069</v>
      </c>
      <c r="B1660">
        <v>2.5</v>
      </c>
      <c r="C1660" s="1">
        <v>44069</v>
      </c>
      <c r="D1660">
        <v>1.65</v>
      </c>
      <c r="E1660" s="1">
        <v>43963</v>
      </c>
      <c r="F1660">
        <v>0.25</v>
      </c>
    </row>
    <row r="1661" spans="1:6" x14ac:dyDescent="0.25">
      <c r="A1661" s="1">
        <v>44070</v>
      </c>
      <c r="B1661">
        <v>2.5</v>
      </c>
      <c r="C1661" s="1">
        <v>44070</v>
      </c>
      <c r="D1661">
        <v>1.5</v>
      </c>
      <c r="E1661" s="1">
        <v>43964</v>
      </c>
      <c r="F1661">
        <v>0.25</v>
      </c>
    </row>
    <row r="1662" spans="1:6" x14ac:dyDescent="0.25">
      <c r="A1662" s="1">
        <v>44071</v>
      </c>
      <c r="B1662">
        <v>2.4</v>
      </c>
      <c r="C1662" s="1">
        <v>44071</v>
      </c>
      <c r="D1662">
        <v>1.36</v>
      </c>
      <c r="E1662" s="1">
        <v>43965</v>
      </c>
      <c r="F1662">
        <v>0.25</v>
      </c>
    </row>
    <row r="1663" spans="1:6" x14ac:dyDescent="0.25">
      <c r="A1663" s="1">
        <v>44074</v>
      </c>
      <c r="B1663">
        <v>2.4</v>
      </c>
      <c r="C1663" s="1">
        <v>44074</v>
      </c>
      <c r="D1663">
        <v>1.8</v>
      </c>
      <c r="E1663" s="1">
        <v>43966</v>
      </c>
      <c r="F1663">
        <v>0.25</v>
      </c>
    </row>
    <row r="1664" spans="1:6" x14ac:dyDescent="0.25">
      <c r="A1664" s="1">
        <v>44075</v>
      </c>
      <c r="B1664">
        <v>2.25</v>
      </c>
      <c r="C1664" s="1">
        <v>44075</v>
      </c>
      <c r="D1664">
        <v>2.14</v>
      </c>
      <c r="E1664" s="1">
        <v>43969</v>
      </c>
      <c r="F1664">
        <v>0.25</v>
      </c>
    </row>
    <row r="1665" spans="1:6" x14ac:dyDescent="0.25">
      <c r="A1665" s="1">
        <v>44076</v>
      </c>
      <c r="B1665">
        <v>2.2999999999999998</v>
      </c>
      <c r="C1665" s="1">
        <v>44076</v>
      </c>
      <c r="D1665">
        <v>2.1</v>
      </c>
      <c r="E1665" s="1">
        <v>43970</v>
      </c>
      <c r="F1665">
        <v>0.25</v>
      </c>
    </row>
    <row r="1666" spans="1:6" x14ac:dyDescent="0.25">
      <c r="A1666" s="1">
        <v>44077</v>
      </c>
      <c r="B1666">
        <v>2.25</v>
      </c>
      <c r="C1666" s="1">
        <v>44077</v>
      </c>
      <c r="D1666">
        <v>1.76</v>
      </c>
      <c r="E1666" s="1">
        <v>43971</v>
      </c>
      <c r="F1666">
        <v>0.25</v>
      </c>
    </row>
    <row r="1667" spans="1:6" x14ac:dyDescent="0.25">
      <c r="A1667" s="1">
        <v>44078</v>
      </c>
      <c r="B1667">
        <v>2.2999999999999998</v>
      </c>
      <c r="C1667" s="1">
        <v>44078</v>
      </c>
      <c r="D1667">
        <v>2.0699999999999998</v>
      </c>
      <c r="E1667" s="1">
        <v>43972</v>
      </c>
      <c r="F1667">
        <v>0.25</v>
      </c>
    </row>
    <row r="1668" spans="1:6" x14ac:dyDescent="0.25">
      <c r="A1668" s="1">
        <v>44081</v>
      </c>
      <c r="B1668">
        <v>2.25</v>
      </c>
      <c r="C1668" s="1">
        <v>44081</v>
      </c>
      <c r="D1668">
        <v>2.1</v>
      </c>
      <c r="E1668" s="1">
        <v>43973</v>
      </c>
      <c r="F1668">
        <v>0.25</v>
      </c>
    </row>
    <row r="1669" spans="1:6" x14ac:dyDescent="0.25">
      <c r="A1669" s="1">
        <v>44082</v>
      </c>
      <c r="B1669">
        <v>2.2599999999999998</v>
      </c>
      <c r="C1669" s="1">
        <v>44082</v>
      </c>
      <c r="D1669">
        <v>2.06</v>
      </c>
      <c r="E1669" s="1">
        <v>43976</v>
      </c>
      <c r="F1669">
        <v>0.25</v>
      </c>
    </row>
    <row r="1670" spans="1:6" x14ac:dyDescent="0.25">
      <c r="A1670" s="1">
        <v>44083</v>
      </c>
      <c r="B1670">
        <v>2.25</v>
      </c>
      <c r="C1670" s="1">
        <v>44083</v>
      </c>
      <c r="D1670">
        <v>1.63</v>
      </c>
      <c r="E1670" s="1">
        <v>43977</v>
      </c>
      <c r="F1670">
        <v>0.25</v>
      </c>
    </row>
    <row r="1671" spans="1:6" x14ac:dyDescent="0.25">
      <c r="A1671" s="1">
        <v>44084</v>
      </c>
      <c r="B1671">
        <v>2.16</v>
      </c>
      <c r="C1671" s="1">
        <v>44084</v>
      </c>
      <c r="D1671">
        <v>1.36</v>
      </c>
      <c r="E1671" s="1">
        <v>43978</v>
      </c>
      <c r="F1671">
        <v>0.25</v>
      </c>
    </row>
    <row r="1672" spans="1:6" x14ac:dyDescent="0.25">
      <c r="A1672" s="1">
        <v>44085</v>
      </c>
      <c r="B1672">
        <v>2.2000000000000002</v>
      </c>
      <c r="C1672" s="1">
        <v>44085</v>
      </c>
      <c r="D1672">
        <v>1.48</v>
      </c>
      <c r="E1672" s="1">
        <v>43979</v>
      </c>
      <c r="F1672">
        <v>0.25</v>
      </c>
    </row>
    <row r="1673" spans="1:6" x14ac:dyDescent="0.25">
      <c r="A1673" s="1">
        <v>44088</v>
      </c>
      <c r="B1673">
        <v>2.2000000000000002</v>
      </c>
      <c r="C1673" s="1">
        <v>44088</v>
      </c>
      <c r="D1673">
        <v>1.63</v>
      </c>
      <c r="E1673" s="1">
        <v>43980</v>
      </c>
      <c r="F1673">
        <v>0.25</v>
      </c>
    </row>
    <row r="1674" spans="1:6" x14ac:dyDescent="0.25">
      <c r="A1674" s="1">
        <v>44089</v>
      </c>
      <c r="B1674">
        <v>2.2000000000000002</v>
      </c>
      <c r="C1674" s="1">
        <v>44089</v>
      </c>
      <c r="D1674">
        <v>1.75</v>
      </c>
      <c r="E1674" s="1">
        <v>43983</v>
      </c>
      <c r="F1674">
        <v>0.25</v>
      </c>
    </row>
    <row r="1675" spans="1:6" x14ac:dyDescent="0.25">
      <c r="A1675" s="1">
        <v>44090</v>
      </c>
      <c r="B1675">
        <v>2.2000000000000002</v>
      </c>
      <c r="C1675" s="1">
        <v>44090</v>
      </c>
      <c r="D1675">
        <v>1.42</v>
      </c>
      <c r="E1675" s="1">
        <v>43984</v>
      </c>
      <c r="F1675">
        <v>0.25</v>
      </c>
    </row>
    <row r="1676" spans="1:6" x14ac:dyDescent="0.25">
      <c r="A1676" s="1">
        <v>44091</v>
      </c>
      <c r="B1676">
        <v>2.23</v>
      </c>
      <c r="C1676" s="1">
        <v>44091</v>
      </c>
      <c r="D1676">
        <v>1.82</v>
      </c>
      <c r="E1676" s="1">
        <v>43985</v>
      </c>
      <c r="F1676">
        <v>0.25</v>
      </c>
    </row>
    <row r="1677" spans="1:6" x14ac:dyDescent="0.25">
      <c r="A1677" s="1">
        <v>44092</v>
      </c>
      <c r="B1677">
        <v>2.3199999999999998</v>
      </c>
      <c r="C1677" s="1">
        <v>44092</v>
      </c>
      <c r="D1677">
        <v>2.15</v>
      </c>
      <c r="E1677" s="1">
        <v>43986</v>
      </c>
      <c r="F1677">
        <v>0.25</v>
      </c>
    </row>
    <row r="1678" spans="1:6" x14ac:dyDescent="0.25">
      <c r="A1678" s="1">
        <v>44095</v>
      </c>
      <c r="B1678">
        <v>2.5</v>
      </c>
      <c r="C1678" s="1">
        <v>44095</v>
      </c>
      <c r="D1678">
        <v>2.27</v>
      </c>
      <c r="E1678" s="1">
        <v>43987</v>
      </c>
      <c r="F1678">
        <v>0.25</v>
      </c>
    </row>
    <row r="1679" spans="1:6" x14ac:dyDescent="0.25">
      <c r="A1679" s="1">
        <v>44096</v>
      </c>
      <c r="B1679">
        <v>2.5</v>
      </c>
      <c r="C1679" s="1">
        <v>44096</v>
      </c>
      <c r="D1679">
        <v>2.3199999999999998</v>
      </c>
      <c r="E1679" s="1">
        <v>43990</v>
      </c>
      <c r="F1679">
        <v>0.25</v>
      </c>
    </row>
    <row r="1680" spans="1:6" x14ac:dyDescent="0.25">
      <c r="A1680" s="1">
        <v>44097</v>
      </c>
      <c r="B1680">
        <v>2.2000000000000002</v>
      </c>
      <c r="C1680" s="1">
        <v>44097</v>
      </c>
      <c r="D1680">
        <v>1.9</v>
      </c>
      <c r="E1680" s="1">
        <v>43991</v>
      </c>
      <c r="F1680">
        <v>0.25</v>
      </c>
    </row>
    <row r="1681" spans="1:6" x14ac:dyDescent="0.25">
      <c r="A1681" s="1">
        <v>44098</v>
      </c>
      <c r="B1681">
        <v>2.1143999999999998</v>
      </c>
      <c r="C1681" s="1">
        <v>44098</v>
      </c>
      <c r="D1681">
        <v>1.44</v>
      </c>
      <c r="E1681" s="1">
        <v>43992</v>
      </c>
      <c r="F1681">
        <v>0.25</v>
      </c>
    </row>
    <row r="1682" spans="1:6" x14ac:dyDescent="0.25">
      <c r="A1682" s="1">
        <v>44099</v>
      </c>
      <c r="B1682">
        <v>2</v>
      </c>
      <c r="C1682" s="1">
        <v>44099</v>
      </c>
      <c r="D1682">
        <v>1.1100000000000001</v>
      </c>
      <c r="E1682" s="1">
        <v>43993</v>
      </c>
      <c r="F1682">
        <v>0.25</v>
      </c>
    </row>
    <row r="1683" spans="1:6" x14ac:dyDescent="0.25">
      <c r="A1683" s="1">
        <v>44101</v>
      </c>
      <c r="B1683">
        <v>1.85</v>
      </c>
      <c r="C1683" s="1">
        <v>44101</v>
      </c>
      <c r="D1683">
        <v>0.68</v>
      </c>
      <c r="E1683" s="1">
        <v>43994</v>
      </c>
      <c r="F1683">
        <v>0.25</v>
      </c>
    </row>
    <row r="1684" spans="1:6" x14ac:dyDescent="0.25">
      <c r="A1684" s="1">
        <v>44102</v>
      </c>
      <c r="B1684">
        <v>2.4500000000000002</v>
      </c>
      <c r="C1684" s="1">
        <v>44102</v>
      </c>
      <c r="D1684">
        <v>0.61</v>
      </c>
      <c r="E1684" s="1">
        <v>43997</v>
      </c>
      <c r="F1684">
        <v>0.25</v>
      </c>
    </row>
    <row r="1685" spans="1:6" x14ac:dyDescent="0.25">
      <c r="A1685" s="1">
        <v>44103</v>
      </c>
      <c r="B1685">
        <v>2.4900000000000002</v>
      </c>
      <c r="C1685" s="1">
        <v>44103</v>
      </c>
      <c r="D1685">
        <v>0.92</v>
      </c>
      <c r="E1685" s="1">
        <v>43998</v>
      </c>
      <c r="F1685">
        <v>0.25</v>
      </c>
    </row>
    <row r="1686" spans="1:6" x14ac:dyDescent="0.25">
      <c r="A1686" s="1">
        <v>44104</v>
      </c>
      <c r="B1686">
        <v>2.5</v>
      </c>
      <c r="C1686" s="1">
        <v>44104</v>
      </c>
      <c r="D1686">
        <v>2.7</v>
      </c>
      <c r="E1686" s="1">
        <v>43999</v>
      </c>
      <c r="F1686">
        <v>0.25</v>
      </c>
    </row>
    <row r="1687" spans="1:6" x14ac:dyDescent="0.25">
      <c r="A1687" s="1">
        <v>44113</v>
      </c>
      <c r="B1687">
        <v>2.23</v>
      </c>
      <c r="C1687" s="1">
        <v>44113</v>
      </c>
      <c r="D1687">
        <v>2.0407000000000002</v>
      </c>
      <c r="E1687" s="1">
        <v>44000</v>
      </c>
      <c r="F1687">
        <v>0.25</v>
      </c>
    </row>
    <row r="1688" spans="1:6" x14ac:dyDescent="0.25">
      <c r="A1688" s="1">
        <v>44114</v>
      </c>
      <c r="B1688">
        <v>2</v>
      </c>
      <c r="C1688" s="1">
        <v>44114</v>
      </c>
      <c r="D1688">
        <v>1.63</v>
      </c>
      <c r="E1688" s="1">
        <v>44001</v>
      </c>
      <c r="F1688">
        <v>0.25</v>
      </c>
    </row>
    <row r="1689" spans="1:6" x14ac:dyDescent="0.25">
      <c r="A1689" s="1">
        <v>44116</v>
      </c>
      <c r="B1689">
        <v>2.1408</v>
      </c>
      <c r="C1689" s="1">
        <v>44116</v>
      </c>
      <c r="D1689">
        <v>1.55</v>
      </c>
      <c r="E1689" s="1">
        <v>44004</v>
      </c>
      <c r="F1689">
        <v>0.25</v>
      </c>
    </row>
    <row r="1690" spans="1:6" x14ac:dyDescent="0.25">
      <c r="A1690" s="1">
        <v>44117</v>
      </c>
      <c r="B1690">
        <v>2.15</v>
      </c>
      <c r="C1690" s="1">
        <v>44117</v>
      </c>
      <c r="D1690">
        <v>1.73</v>
      </c>
      <c r="E1690" s="1">
        <v>44005</v>
      </c>
      <c r="F1690">
        <v>0.25</v>
      </c>
    </row>
    <row r="1691" spans="1:6" x14ac:dyDescent="0.25">
      <c r="A1691" s="1">
        <v>44118</v>
      </c>
      <c r="B1691">
        <v>2.2000000000000002</v>
      </c>
      <c r="C1691" s="1">
        <v>44118</v>
      </c>
      <c r="D1691">
        <v>2.02</v>
      </c>
      <c r="E1691" s="1">
        <v>44006</v>
      </c>
      <c r="F1691">
        <v>0.25</v>
      </c>
    </row>
    <row r="1692" spans="1:6" x14ac:dyDescent="0.25">
      <c r="A1692" s="1">
        <v>44119</v>
      </c>
      <c r="B1692">
        <v>2.2999999999999998</v>
      </c>
      <c r="C1692" s="1">
        <v>44119</v>
      </c>
      <c r="D1692">
        <v>2.1</v>
      </c>
      <c r="E1692" s="1">
        <v>44007</v>
      </c>
      <c r="F1692">
        <v>0.25</v>
      </c>
    </row>
    <row r="1693" spans="1:6" x14ac:dyDescent="0.25">
      <c r="A1693" s="1">
        <v>44120</v>
      </c>
      <c r="B1693">
        <v>2.25</v>
      </c>
      <c r="C1693" s="1">
        <v>44120</v>
      </c>
      <c r="D1693">
        <v>2.0499999999999998</v>
      </c>
      <c r="E1693" s="1">
        <v>44008</v>
      </c>
      <c r="F1693">
        <v>0.25</v>
      </c>
    </row>
    <row r="1694" spans="1:6" x14ac:dyDescent="0.25">
      <c r="A1694" s="1">
        <v>44123</v>
      </c>
      <c r="B1694">
        <v>2.2999999999999998</v>
      </c>
      <c r="C1694" s="1">
        <v>44123</v>
      </c>
      <c r="D1694">
        <v>2.2200000000000002</v>
      </c>
      <c r="E1694" s="1">
        <v>44011</v>
      </c>
      <c r="F1694">
        <v>0.25</v>
      </c>
    </row>
    <row r="1695" spans="1:6" x14ac:dyDescent="0.25">
      <c r="A1695" s="1">
        <v>44124</v>
      </c>
      <c r="B1695">
        <v>2.4</v>
      </c>
      <c r="C1695" s="1">
        <v>44124</v>
      </c>
      <c r="D1695">
        <v>2.2000000000000002</v>
      </c>
      <c r="E1695" s="1">
        <v>44012</v>
      </c>
      <c r="F1695">
        <v>0.25</v>
      </c>
    </row>
    <row r="1696" spans="1:6" x14ac:dyDescent="0.25">
      <c r="A1696" s="1">
        <v>44125</v>
      </c>
      <c r="B1696">
        <v>2.35</v>
      </c>
      <c r="C1696" s="1">
        <v>44125</v>
      </c>
      <c r="D1696">
        <v>2</v>
      </c>
      <c r="E1696" s="1">
        <v>44013</v>
      </c>
      <c r="F1696">
        <v>0.25</v>
      </c>
    </row>
    <row r="1697" spans="1:6" x14ac:dyDescent="0.25">
      <c r="A1697" s="1">
        <v>44126</v>
      </c>
      <c r="B1697">
        <v>2.2999999999999998</v>
      </c>
      <c r="C1697" s="1">
        <v>44126</v>
      </c>
      <c r="D1697">
        <v>1.95</v>
      </c>
      <c r="E1697" s="1">
        <v>44014</v>
      </c>
      <c r="F1697">
        <v>0.25</v>
      </c>
    </row>
    <row r="1698" spans="1:6" x14ac:dyDescent="0.25">
      <c r="A1698" s="1">
        <v>44127</v>
      </c>
      <c r="B1698">
        <v>2.2000000000000002</v>
      </c>
      <c r="C1698" s="1">
        <v>44127</v>
      </c>
      <c r="D1698">
        <v>2.19</v>
      </c>
      <c r="E1698" s="1">
        <v>44015</v>
      </c>
      <c r="F1698">
        <v>0.25</v>
      </c>
    </row>
    <row r="1699" spans="1:6" x14ac:dyDescent="0.25">
      <c r="A1699" s="1">
        <v>44130</v>
      </c>
      <c r="B1699">
        <v>2.5</v>
      </c>
      <c r="C1699" s="1">
        <v>44130</v>
      </c>
      <c r="D1699">
        <v>2.2000000000000002</v>
      </c>
      <c r="E1699" s="1">
        <v>44018</v>
      </c>
      <c r="F1699">
        <v>0.25</v>
      </c>
    </row>
    <row r="1700" spans="1:6" x14ac:dyDescent="0.25">
      <c r="A1700" s="1">
        <v>44131</v>
      </c>
      <c r="B1700">
        <v>3</v>
      </c>
      <c r="C1700" s="1">
        <v>44131</v>
      </c>
      <c r="D1700">
        <v>2.42</v>
      </c>
      <c r="E1700" s="1">
        <v>44019</v>
      </c>
      <c r="F1700">
        <v>0.25</v>
      </c>
    </row>
    <row r="1701" spans="1:6" x14ac:dyDescent="0.25">
      <c r="A1701" s="1">
        <v>44132</v>
      </c>
      <c r="B1701">
        <v>3</v>
      </c>
      <c r="C1701" s="1">
        <v>44132</v>
      </c>
      <c r="D1701">
        <v>2.48</v>
      </c>
      <c r="E1701" s="1">
        <v>44020</v>
      </c>
      <c r="F1701">
        <v>0.25</v>
      </c>
    </row>
    <row r="1702" spans="1:6" x14ac:dyDescent="0.25">
      <c r="A1702" s="1">
        <v>44133</v>
      </c>
      <c r="B1702">
        <v>3.15</v>
      </c>
      <c r="C1702" s="1">
        <v>44133</v>
      </c>
      <c r="D1702">
        <v>2.15</v>
      </c>
      <c r="E1702" s="1">
        <v>44021</v>
      </c>
      <c r="F1702">
        <v>0.25</v>
      </c>
    </row>
    <row r="1703" spans="1:6" x14ac:dyDescent="0.25">
      <c r="A1703" s="1">
        <v>44134</v>
      </c>
      <c r="B1703">
        <v>3.3</v>
      </c>
      <c r="C1703" s="1">
        <v>44134</v>
      </c>
      <c r="D1703">
        <v>2.2999999999999998</v>
      </c>
      <c r="E1703" s="1">
        <v>44022</v>
      </c>
      <c r="F1703">
        <v>0.25</v>
      </c>
    </row>
    <row r="1704" spans="1:6" x14ac:dyDescent="0.25">
      <c r="A1704" s="1">
        <v>44137</v>
      </c>
      <c r="B1704">
        <v>2.6</v>
      </c>
      <c r="C1704" s="1">
        <v>44137</v>
      </c>
      <c r="D1704">
        <v>2.37</v>
      </c>
      <c r="E1704" s="1">
        <v>44025</v>
      </c>
      <c r="F1704">
        <v>0.25</v>
      </c>
    </row>
    <row r="1705" spans="1:6" x14ac:dyDescent="0.25">
      <c r="A1705" s="1">
        <v>44138</v>
      </c>
      <c r="B1705">
        <v>2.35</v>
      </c>
      <c r="C1705" s="1">
        <v>44138</v>
      </c>
      <c r="D1705">
        <v>1.9</v>
      </c>
      <c r="E1705" s="1">
        <v>44026</v>
      </c>
      <c r="F1705">
        <v>0.25</v>
      </c>
    </row>
    <row r="1706" spans="1:6" x14ac:dyDescent="0.25">
      <c r="A1706" s="1">
        <v>44139</v>
      </c>
      <c r="B1706">
        <v>2.19</v>
      </c>
      <c r="C1706" s="1">
        <v>44139</v>
      </c>
      <c r="D1706">
        <v>1.47</v>
      </c>
      <c r="E1706" s="1">
        <v>44027</v>
      </c>
      <c r="F1706">
        <v>0.25</v>
      </c>
    </row>
    <row r="1707" spans="1:6" x14ac:dyDescent="0.25">
      <c r="A1707" s="1">
        <v>44140</v>
      </c>
      <c r="B1707">
        <v>2.1</v>
      </c>
      <c r="C1707" s="1">
        <v>44140</v>
      </c>
      <c r="D1707">
        <v>1.4</v>
      </c>
      <c r="E1707" s="1">
        <v>44028</v>
      </c>
      <c r="F1707">
        <v>0.25</v>
      </c>
    </row>
    <row r="1708" spans="1:6" x14ac:dyDescent="0.25">
      <c r="A1708" s="1">
        <v>44141</v>
      </c>
      <c r="B1708">
        <v>2.2999999999999998</v>
      </c>
      <c r="C1708" s="1">
        <v>44141</v>
      </c>
      <c r="D1708">
        <v>1.83</v>
      </c>
      <c r="E1708" s="1">
        <v>44029</v>
      </c>
      <c r="F1708">
        <v>0.25</v>
      </c>
    </row>
    <row r="1709" spans="1:6" x14ac:dyDescent="0.25">
      <c r="A1709" s="1">
        <v>44144</v>
      </c>
      <c r="B1709">
        <v>2.4</v>
      </c>
      <c r="C1709" s="1">
        <v>44144</v>
      </c>
      <c r="D1709">
        <v>2.23</v>
      </c>
      <c r="E1709" s="1">
        <v>44032</v>
      </c>
      <c r="F1709">
        <v>0.25</v>
      </c>
    </row>
    <row r="1710" spans="1:6" x14ac:dyDescent="0.25">
      <c r="A1710" s="1">
        <v>44145</v>
      </c>
      <c r="B1710">
        <v>2.5499999999999998</v>
      </c>
      <c r="C1710" s="1">
        <v>44145</v>
      </c>
      <c r="D1710">
        <v>2.4</v>
      </c>
      <c r="E1710" s="1">
        <v>44033</v>
      </c>
      <c r="F1710">
        <v>0.25</v>
      </c>
    </row>
    <row r="1711" spans="1:6" x14ac:dyDescent="0.25">
      <c r="A1711" s="1">
        <v>44146</v>
      </c>
      <c r="B1711">
        <v>2.7</v>
      </c>
      <c r="C1711" s="1">
        <v>44146</v>
      </c>
      <c r="D1711">
        <v>2.4</v>
      </c>
      <c r="E1711" s="1">
        <v>44034</v>
      </c>
      <c r="F1711">
        <v>0.25</v>
      </c>
    </row>
    <row r="1712" spans="1:6" x14ac:dyDescent="0.25">
      <c r="A1712" s="1">
        <v>44147</v>
      </c>
      <c r="B1712">
        <v>2.9</v>
      </c>
      <c r="C1712" s="1">
        <v>44147</v>
      </c>
      <c r="D1712">
        <v>2.65</v>
      </c>
      <c r="E1712" s="1">
        <v>44035</v>
      </c>
      <c r="F1712">
        <v>0.25</v>
      </c>
    </row>
    <row r="1713" spans="1:6" x14ac:dyDescent="0.25">
      <c r="A1713" s="1">
        <v>44148</v>
      </c>
      <c r="B1713">
        <v>3.2</v>
      </c>
      <c r="C1713" s="1">
        <v>44148</v>
      </c>
      <c r="D1713">
        <v>2.65</v>
      </c>
      <c r="E1713" s="1">
        <v>44036</v>
      </c>
      <c r="F1713">
        <v>0.25</v>
      </c>
    </row>
    <row r="1714" spans="1:6" x14ac:dyDescent="0.25">
      <c r="A1714" s="1">
        <v>44151</v>
      </c>
      <c r="B1714">
        <v>2.5299999999999998</v>
      </c>
      <c r="C1714" s="1">
        <v>44151</v>
      </c>
      <c r="D1714">
        <v>2.2799999999999998</v>
      </c>
      <c r="E1714" s="1">
        <v>44039</v>
      </c>
      <c r="F1714">
        <v>0.25</v>
      </c>
    </row>
    <row r="1715" spans="1:6" x14ac:dyDescent="0.25">
      <c r="A1715" s="1">
        <v>44152</v>
      </c>
      <c r="B1715">
        <v>2.4</v>
      </c>
      <c r="C1715" s="1">
        <v>44152</v>
      </c>
      <c r="D1715">
        <v>1.81</v>
      </c>
      <c r="E1715" s="1">
        <v>44040</v>
      </c>
      <c r="F1715">
        <v>0.25</v>
      </c>
    </row>
    <row r="1716" spans="1:6" x14ac:dyDescent="0.25">
      <c r="A1716" s="1">
        <v>44153</v>
      </c>
      <c r="B1716">
        <v>2.2999999999999998</v>
      </c>
      <c r="C1716" s="1">
        <v>44153</v>
      </c>
      <c r="D1716">
        <v>1.75</v>
      </c>
      <c r="E1716" s="1">
        <v>44041</v>
      </c>
      <c r="F1716">
        <v>0.25</v>
      </c>
    </row>
    <row r="1717" spans="1:6" x14ac:dyDescent="0.25">
      <c r="A1717" s="1">
        <v>44154</v>
      </c>
      <c r="B1717">
        <v>2.2999999999999998</v>
      </c>
      <c r="C1717" s="1">
        <v>44154</v>
      </c>
      <c r="D1717">
        <v>1.93</v>
      </c>
      <c r="E1717" s="1">
        <v>44042</v>
      </c>
      <c r="F1717">
        <v>0.25</v>
      </c>
    </row>
    <row r="1718" spans="1:6" x14ac:dyDescent="0.25">
      <c r="A1718" s="1">
        <v>44155</v>
      </c>
      <c r="B1718">
        <v>2.2999999999999998</v>
      </c>
      <c r="C1718" s="1">
        <v>44155</v>
      </c>
      <c r="D1718">
        <v>1.97</v>
      </c>
      <c r="E1718" s="1">
        <v>44043</v>
      </c>
      <c r="F1718">
        <v>0.25</v>
      </c>
    </row>
    <row r="1719" spans="1:6" x14ac:dyDescent="0.25">
      <c r="A1719" s="1">
        <v>44158</v>
      </c>
      <c r="B1719">
        <v>2.25</v>
      </c>
      <c r="C1719" s="1">
        <v>44158</v>
      </c>
      <c r="D1719">
        <v>1.86</v>
      </c>
      <c r="E1719" s="1">
        <v>44046</v>
      </c>
      <c r="F1719">
        <v>0.25</v>
      </c>
    </row>
    <row r="1720" spans="1:6" x14ac:dyDescent="0.25">
      <c r="A1720" s="1">
        <v>44159</v>
      </c>
      <c r="B1720">
        <v>3.1</v>
      </c>
      <c r="C1720" s="1">
        <v>44159</v>
      </c>
      <c r="D1720">
        <v>1.84</v>
      </c>
      <c r="E1720" s="1">
        <v>44047</v>
      </c>
      <c r="F1720">
        <v>0.25</v>
      </c>
    </row>
    <row r="1721" spans="1:6" x14ac:dyDescent="0.25">
      <c r="A1721" s="1">
        <v>44160</v>
      </c>
      <c r="B1721">
        <v>3.3</v>
      </c>
      <c r="C1721" s="1">
        <v>44160</v>
      </c>
      <c r="D1721">
        <v>1.6</v>
      </c>
      <c r="E1721" s="1">
        <v>44048</v>
      </c>
      <c r="F1721">
        <v>0.25</v>
      </c>
    </row>
    <row r="1722" spans="1:6" x14ac:dyDescent="0.25">
      <c r="A1722" s="1">
        <v>44161</v>
      </c>
      <c r="B1722">
        <v>2.9</v>
      </c>
      <c r="C1722" s="1">
        <v>44161</v>
      </c>
      <c r="D1722">
        <v>1.31</v>
      </c>
      <c r="E1722" s="1">
        <v>44049</v>
      </c>
      <c r="F1722">
        <v>0.25</v>
      </c>
    </row>
    <row r="1723" spans="1:6" x14ac:dyDescent="0.25">
      <c r="A1723" s="1">
        <v>44162</v>
      </c>
      <c r="B1723">
        <v>2.5</v>
      </c>
      <c r="C1723" s="1">
        <v>44162</v>
      </c>
      <c r="D1723">
        <v>0.86</v>
      </c>
      <c r="E1723" s="1">
        <v>44050</v>
      </c>
      <c r="F1723">
        <v>0.25</v>
      </c>
    </row>
    <row r="1724" spans="1:6" x14ac:dyDescent="0.25">
      <c r="A1724" s="1">
        <v>44165</v>
      </c>
      <c r="B1724">
        <v>2.4700000000000002</v>
      </c>
      <c r="C1724" s="1">
        <v>44165</v>
      </c>
      <c r="D1724">
        <v>1.1499999999999999</v>
      </c>
      <c r="E1724" s="1">
        <v>44053</v>
      </c>
      <c r="F1724">
        <v>0.25</v>
      </c>
    </row>
    <row r="1725" spans="1:6" x14ac:dyDescent="0.25">
      <c r="A1725" s="1">
        <v>44166</v>
      </c>
      <c r="B1725">
        <v>2</v>
      </c>
      <c r="C1725" s="1">
        <v>44166</v>
      </c>
      <c r="D1725">
        <v>0.8</v>
      </c>
      <c r="E1725" s="1">
        <v>44054</v>
      </c>
      <c r="F1725">
        <v>0.25</v>
      </c>
    </row>
    <row r="1726" spans="1:6" x14ac:dyDescent="0.25">
      <c r="A1726" s="1">
        <v>44167</v>
      </c>
      <c r="B1726">
        <v>2.0499999999999998</v>
      </c>
      <c r="C1726" s="1">
        <v>44167</v>
      </c>
      <c r="D1726">
        <v>0.76</v>
      </c>
      <c r="E1726" s="1">
        <v>44055</v>
      </c>
      <c r="F1726">
        <v>0.25</v>
      </c>
    </row>
    <row r="1727" spans="1:6" x14ac:dyDescent="0.25">
      <c r="A1727" s="1">
        <v>44168</v>
      </c>
      <c r="B1727">
        <v>2.15</v>
      </c>
      <c r="C1727" s="1">
        <v>44168</v>
      </c>
      <c r="D1727">
        <v>0.93</v>
      </c>
      <c r="E1727" s="1">
        <v>44056</v>
      </c>
      <c r="F1727">
        <v>0.25</v>
      </c>
    </row>
    <row r="1728" spans="1:6" x14ac:dyDescent="0.25">
      <c r="A1728" s="1">
        <v>44169</v>
      </c>
      <c r="B1728">
        <v>2.16</v>
      </c>
      <c r="C1728" s="1">
        <v>44169</v>
      </c>
      <c r="D1728">
        <v>1.1000000000000001</v>
      </c>
      <c r="E1728" s="1">
        <v>44057</v>
      </c>
      <c r="F1728">
        <v>0.25</v>
      </c>
    </row>
    <row r="1729" spans="1:6" x14ac:dyDescent="0.25">
      <c r="A1729" s="1">
        <v>44172</v>
      </c>
      <c r="B1729">
        <v>2.1800000000000002</v>
      </c>
      <c r="C1729" s="1">
        <v>44172</v>
      </c>
      <c r="D1729">
        <v>1.38</v>
      </c>
      <c r="E1729" s="1">
        <v>44060</v>
      </c>
      <c r="F1729">
        <v>0.25</v>
      </c>
    </row>
    <row r="1730" spans="1:6" x14ac:dyDescent="0.25">
      <c r="A1730" s="1">
        <v>44173</v>
      </c>
      <c r="B1730">
        <v>2.17</v>
      </c>
      <c r="C1730" s="1">
        <v>44173</v>
      </c>
      <c r="D1730">
        <v>1.33</v>
      </c>
      <c r="E1730" s="1">
        <v>44061</v>
      </c>
      <c r="F1730">
        <v>0.25</v>
      </c>
    </row>
    <row r="1731" spans="1:6" x14ac:dyDescent="0.25">
      <c r="A1731" s="1">
        <v>44174</v>
      </c>
      <c r="B1731">
        <v>2.2000000000000002</v>
      </c>
      <c r="C1731" s="1">
        <v>44174</v>
      </c>
      <c r="D1731">
        <v>1.0880000000000001</v>
      </c>
      <c r="E1731" s="1">
        <v>44062</v>
      </c>
      <c r="F1731">
        <v>0.25</v>
      </c>
    </row>
    <row r="1732" spans="1:6" x14ac:dyDescent="0.25">
      <c r="A1732" s="1">
        <v>44175</v>
      </c>
      <c r="B1732">
        <v>2.1</v>
      </c>
      <c r="C1732" s="1">
        <v>44175</v>
      </c>
      <c r="D1732">
        <v>1</v>
      </c>
      <c r="E1732" s="1">
        <v>44063</v>
      </c>
      <c r="F1732">
        <v>0.25</v>
      </c>
    </row>
    <row r="1733" spans="1:6" x14ac:dyDescent="0.25">
      <c r="A1733" s="1">
        <v>44176</v>
      </c>
      <c r="B1733">
        <v>2.2200000000000002</v>
      </c>
      <c r="C1733" s="1">
        <v>44176</v>
      </c>
      <c r="D1733">
        <v>1.47</v>
      </c>
      <c r="E1733" s="1">
        <v>44064</v>
      </c>
      <c r="F1733">
        <v>0.25</v>
      </c>
    </row>
    <row r="1734" spans="1:6" x14ac:dyDescent="0.25">
      <c r="A1734" s="1">
        <v>44179</v>
      </c>
      <c r="B1734">
        <v>2.23</v>
      </c>
      <c r="C1734" s="1">
        <v>44179</v>
      </c>
      <c r="D1734">
        <v>1.72</v>
      </c>
      <c r="E1734" s="1">
        <v>44067</v>
      </c>
      <c r="F1734">
        <v>0.25</v>
      </c>
    </row>
    <row r="1735" spans="1:6" x14ac:dyDescent="0.25">
      <c r="A1735" s="1">
        <v>44180</v>
      </c>
      <c r="B1735">
        <v>2.2000000000000002</v>
      </c>
      <c r="C1735" s="1">
        <v>44180</v>
      </c>
      <c r="D1735">
        <v>1.4320999999999999</v>
      </c>
      <c r="E1735" s="1">
        <v>44068</v>
      </c>
      <c r="F1735">
        <v>0.25</v>
      </c>
    </row>
    <row r="1736" spans="1:6" x14ac:dyDescent="0.25">
      <c r="A1736" s="1">
        <v>44181</v>
      </c>
      <c r="B1736">
        <v>2.1</v>
      </c>
      <c r="C1736" s="1">
        <v>44181</v>
      </c>
      <c r="D1736">
        <v>1</v>
      </c>
      <c r="E1736" s="1">
        <v>44069</v>
      </c>
      <c r="F1736">
        <v>0.25</v>
      </c>
    </row>
    <row r="1737" spans="1:6" x14ac:dyDescent="0.25">
      <c r="A1737" s="1">
        <v>44182</v>
      </c>
      <c r="B1737">
        <v>2</v>
      </c>
      <c r="C1737" s="1">
        <v>44182</v>
      </c>
      <c r="D1737">
        <v>1.39</v>
      </c>
      <c r="E1737" s="1">
        <v>44070</v>
      </c>
      <c r="F1737">
        <v>0.25</v>
      </c>
    </row>
    <row r="1738" spans="1:6" x14ac:dyDescent="0.25">
      <c r="A1738" s="1">
        <v>44183</v>
      </c>
      <c r="B1738">
        <v>2.2000000000000002</v>
      </c>
      <c r="C1738" s="1">
        <v>44183</v>
      </c>
      <c r="D1738">
        <v>1.75</v>
      </c>
      <c r="E1738" s="1">
        <v>44071</v>
      </c>
      <c r="F1738">
        <v>0.25</v>
      </c>
    </row>
    <row r="1739" spans="1:6" x14ac:dyDescent="0.25">
      <c r="A1739" s="1">
        <v>44186</v>
      </c>
      <c r="B1739">
        <v>2.1</v>
      </c>
      <c r="C1739" s="1">
        <v>44186</v>
      </c>
      <c r="D1739">
        <v>1.5123</v>
      </c>
      <c r="E1739" s="1">
        <v>44074</v>
      </c>
      <c r="F1739">
        <v>0.25</v>
      </c>
    </row>
    <row r="1740" spans="1:6" x14ac:dyDescent="0.25">
      <c r="A1740" s="1">
        <v>44187</v>
      </c>
      <c r="B1740">
        <v>2.1</v>
      </c>
      <c r="C1740" s="1">
        <v>44187</v>
      </c>
      <c r="D1740">
        <v>1.05</v>
      </c>
      <c r="E1740" s="1">
        <v>44075</v>
      </c>
      <c r="F1740">
        <v>0.25</v>
      </c>
    </row>
    <row r="1741" spans="1:6" x14ac:dyDescent="0.25">
      <c r="A1741" s="1">
        <v>44188</v>
      </c>
      <c r="B1741">
        <v>2</v>
      </c>
      <c r="C1741" s="1">
        <v>44188</v>
      </c>
      <c r="D1741">
        <v>0.65</v>
      </c>
      <c r="E1741" s="1">
        <v>44076</v>
      </c>
      <c r="F1741">
        <v>0.25</v>
      </c>
    </row>
    <row r="1742" spans="1:6" x14ac:dyDescent="0.25">
      <c r="A1742" s="1">
        <v>44189</v>
      </c>
      <c r="B1742">
        <v>1.65</v>
      </c>
      <c r="C1742" s="1">
        <v>44189</v>
      </c>
      <c r="D1742">
        <v>0.65</v>
      </c>
      <c r="E1742" s="1">
        <v>44077</v>
      </c>
      <c r="F1742">
        <v>0.25</v>
      </c>
    </row>
    <row r="1743" spans="1:6" x14ac:dyDescent="0.25">
      <c r="A1743" s="1">
        <v>44190</v>
      </c>
      <c r="B1743">
        <v>2.16</v>
      </c>
      <c r="C1743" s="1">
        <v>44190</v>
      </c>
      <c r="D1743">
        <v>0.82540000000000002</v>
      </c>
      <c r="E1743" s="1">
        <v>44078</v>
      </c>
      <c r="F1743">
        <v>0.25</v>
      </c>
    </row>
    <row r="1744" spans="1:6" x14ac:dyDescent="0.25">
      <c r="A1744" s="1">
        <v>44193</v>
      </c>
      <c r="B1744">
        <v>2.6</v>
      </c>
      <c r="C1744" s="1">
        <v>44193</v>
      </c>
      <c r="D1744">
        <v>0.7</v>
      </c>
      <c r="E1744" s="1">
        <v>44081</v>
      </c>
      <c r="F1744">
        <v>0.25</v>
      </c>
    </row>
    <row r="1745" spans="1:6" x14ac:dyDescent="0.25">
      <c r="A1745" s="1">
        <v>44194</v>
      </c>
      <c r="B1745">
        <v>2.66</v>
      </c>
      <c r="C1745" s="1">
        <v>44194</v>
      </c>
      <c r="D1745">
        <v>0.65</v>
      </c>
      <c r="E1745" s="1">
        <v>44082</v>
      </c>
      <c r="F1745">
        <v>0.25</v>
      </c>
    </row>
    <row r="1746" spans="1:6" x14ac:dyDescent="0.25">
      <c r="A1746" s="1">
        <v>44195</v>
      </c>
      <c r="B1746">
        <v>3</v>
      </c>
      <c r="C1746" s="1">
        <v>44195</v>
      </c>
      <c r="D1746">
        <v>0.67</v>
      </c>
      <c r="E1746" s="1">
        <v>44083</v>
      </c>
      <c r="F1746">
        <v>0.25</v>
      </c>
    </row>
    <row r="1747" spans="1:6" x14ac:dyDescent="0.25">
      <c r="A1747" s="1">
        <v>44196</v>
      </c>
      <c r="B1747">
        <v>2.6</v>
      </c>
      <c r="C1747" s="1">
        <v>44196</v>
      </c>
      <c r="D1747">
        <v>1.5</v>
      </c>
      <c r="E1747" s="1">
        <v>44084</v>
      </c>
      <c r="F1747">
        <v>0.25</v>
      </c>
    </row>
    <row r="1748" spans="1:6" x14ac:dyDescent="0.25">
      <c r="A1748" s="1">
        <v>44200</v>
      </c>
      <c r="B1748">
        <v>2.02</v>
      </c>
      <c r="C1748" s="1">
        <v>44200</v>
      </c>
      <c r="D1748">
        <v>0.92</v>
      </c>
      <c r="E1748" s="1">
        <v>44085</v>
      </c>
      <c r="F1748">
        <v>0.25</v>
      </c>
    </row>
    <row r="1749" spans="1:6" x14ac:dyDescent="0.25">
      <c r="A1749" s="1">
        <v>44201</v>
      </c>
      <c r="B1749">
        <v>1.82</v>
      </c>
      <c r="C1749" s="1">
        <v>44201</v>
      </c>
      <c r="D1749">
        <v>0.76</v>
      </c>
      <c r="E1749" s="1">
        <v>44088</v>
      </c>
      <c r="F1749">
        <v>0.25</v>
      </c>
    </row>
    <row r="1750" spans="1:6" x14ac:dyDescent="0.25">
      <c r="A1750" s="1">
        <v>44202</v>
      </c>
      <c r="B1750">
        <v>2</v>
      </c>
      <c r="C1750" s="1">
        <v>44202</v>
      </c>
      <c r="D1750">
        <v>0.64</v>
      </c>
      <c r="E1750" s="1">
        <v>44089</v>
      </c>
      <c r="F1750">
        <v>0.25</v>
      </c>
    </row>
    <row r="1751" spans="1:6" x14ac:dyDescent="0.25">
      <c r="A1751" s="1">
        <v>44203</v>
      </c>
      <c r="B1751">
        <v>1.85</v>
      </c>
      <c r="C1751" s="1">
        <v>44203</v>
      </c>
      <c r="D1751">
        <v>0.95</v>
      </c>
      <c r="E1751" s="1">
        <v>44090</v>
      </c>
      <c r="F1751">
        <v>0.25</v>
      </c>
    </row>
    <row r="1752" spans="1:6" x14ac:dyDescent="0.25">
      <c r="A1752" s="1">
        <v>44204</v>
      </c>
      <c r="B1752">
        <v>2.08</v>
      </c>
      <c r="C1752" s="1">
        <v>44204</v>
      </c>
      <c r="D1752">
        <v>1</v>
      </c>
      <c r="E1752" s="1">
        <v>44091</v>
      </c>
      <c r="F1752">
        <v>0.25</v>
      </c>
    </row>
    <row r="1753" spans="1:6" x14ac:dyDescent="0.25">
      <c r="A1753" s="1">
        <v>44207</v>
      </c>
      <c r="B1753">
        <v>2</v>
      </c>
      <c r="C1753" s="1">
        <v>44207</v>
      </c>
      <c r="D1753">
        <v>1.24</v>
      </c>
      <c r="E1753" s="1">
        <v>44092</v>
      </c>
      <c r="F1753">
        <v>0.25</v>
      </c>
    </row>
    <row r="1754" spans="1:6" x14ac:dyDescent="0.25">
      <c r="A1754" s="1">
        <v>44208</v>
      </c>
      <c r="B1754">
        <v>1.96</v>
      </c>
      <c r="C1754" s="1">
        <v>44208</v>
      </c>
      <c r="D1754">
        <v>1.36</v>
      </c>
      <c r="E1754" s="1">
        <v>44095</v>
      </c>
      <c r="F1754">
        <v>0.25</v>
      </c>
    </row>
    <row r="1755" spans="1:6" x14ac:dyDescent="0.25">
      <c r="A1755" s="1">
        <v>44209</v>
      </c>
      <c r="B1755">
        <v>1.9850000000000001</v>
      </c>
      <c r="C1755" s="1">
        <v>44209</v>
      </c>
      <c r="D1755">
        <v>1.43</v>
      </c>
      <c r="E1755" s="1">
        <v>44096</v>
      </c>
      <c r="F1755">
        <v>0.25</v>
      </c>
    </row>
    <row r="1756" spans="1:6" x14ac:dyDescent="0.25">
      <c r="A1756" s="1">
        <v>44210</v>
      </c>
      <c r="B1756">
        <v>1.9686999999999999</v>
      </c>
      <c r="C1756" s="1">
        <v>44210</v>
      </c>
      <c r="D1756">
        <v>1.7</v>
      </c>
      <c r="E1756" s="1">
        <v>44097</v>
      </c>
      <c r="F1756">
        <v>0.25</v>
      </c>
    </row>
    <row r="1757" spans="1:6" x14ac:dyDescent="0.25">
      <c r="A1757" s="1">
        <v>44211</v>
      </c>
      <c r="B1757">
        <v>2</v>
      </c>
      <c r="C1757" s="1">
        <v>44211</v>
      </c>
      <c r="D1757">
        <v>1.78</v>
      </c>
      <c r="E1757" s="1">
        <v>44098</v>
      </c>
      <c r="F1757">
        <v>0.25</v>
      </c>
    </row>
    <row r="1758" spans="1:6" x14ac:dyDescent="0.25">
      <c r="A1758" s="1">
        <v>44214</v>
      </c>
      <c r="B1758">
        <v>2.19</v>
      </c>
      <c r="C1758" s="1">
        <v>44214</v>
      </c>
      <c r="D1758">
        <v>2.15</v>
      </c>
      <c r="E1758" s="1">
        <v>44099</v>
      </c>
      <c r="F1758">
        <v>0.25</v>
      </c>
    </row>
    <row r="1759" spans="1:6" x14ac:dyDescent="0.25">
      <c r="A1759" s="1">
        <v>44215</v>
      </c>
      <c r="B1759">
        <v>2.46</v>
      </c>
      <c r="C1759" s="1">
        <v>44215</v>
      </c>
      <c r="D1759">
        <v>2.2999999999999998</v>
      </c>
      <c r="E1759" s="1">
        <v>44102</v>
      </c>
      <c r="F1759">
        <v>0.25</v>
      </c>
    </row>
    <row r="1760" spans="1:6" x14ac:dyDescent="0.25">
      <c r="A1760" s="1">
        <v>44216</v>
      </c>
      <c r="B1760">
        <v>2.65</v>
      </c>
      <c r="C1760" s="1">
        <v>44216</v>
      </c>
      <c r="D1760">
        <v>2.5</v>
      </c>
      <c r="E1760" s="1">
        <v>44103</v>
      </c>
      <c r="F1760">
        <v>0.25</v>
      </c>
    </row>
    <row r="1761" spans="1:6" x14ac:dyDescent="0.25">
      <c r="A1761" s="1">
        <v>44217</v>
      </c>
      <c r="B1761">
        <v>2.6</v>
      </c>
      <c r="C1761" s="1">
        <v>44217</v>
      </c>
      <c r="D1761">
        <v>2.65</v>
      </c>
      <c r="E1761" s="1">
        <v>44104</v>
      </c>
      <c r="F1761">
        <v>0.25</v>
      </c>
    </row>
    <row r="1762" spans="1:6" x14ac:dyDescent="0.25">
      <c r="A1762" s="1">
        <v>44218</v>
      </c>
      <c r="B1762">
        <v>2.4</v>
      </c>
      <c r="C1762" s="1">
        <v>44218</v>
      </c>
      <c r="D1762">
        <v>2.5499999999999998</v>
      </c>
      <c r="E1762" s="1">
        <v>44105</v>
      </c>
      <c r="F1762">
        <v>0.25</v>
      </c>
    </row>
    <row r="1763" spans="1:6" x14ac:dyDescent="0.25">
      <c r="A1763" s="1">
        <v>44221</v>
      </c>
      <c r="B1763">
        <v>2.5</v>
      </c>
      <c r="C1763" s="1">
        <v>44221</v>
      </c>
      <c r="D1763">
        <v>2.5</v>
      </c>
      <c r="E1763" s="1">
        <v>44106</v>
      </c>
      <c r="F1763">
        <v>0.25</v>
      </c>
    </row>
    <row r="1764" spans="1:6" x14ac:dyDescent="0.25">
      <c r="A1764" s="1">
        <v>44222</v>
      </c>
      <c r="B1764">
        <v>2.77</v>
      </c>
      <c r="C1764" s="1">
        <v>44222</v>
      </c>
      <c r="D1764">
        <v>2.77</v>
      </c>
      <c r="E1764" s="1">
        <v>44109</v>
      </c>
      <c r="F1764">
        <v>0.25</v>
      </c>
    </row>
    <row r="1765" spans="1:6" x14ac:dyDescent="0.25">
      <c r="A1765" s="1">
        <v>44223</v>
      </c>
      <c r="B1765">
        <v>3.1</v>
      </c>
      <c r="C1765" s="1">
        <v>44223</v>
      </c>
      <c r="D1765">
        <v>3</v>
      </c>
      <c r="E1765" s="1">
        <v>44110</v>
      </c>
      <c r="F1765">
        <v>0.25</v>
      </c>
    </row>
    <row r="1766" spans="1:6" x14ac:dyDescent="0.25">
      <c r="A1766" s="1">
        <v>44224</v>
      </c>
      <c r="B1766">
        <v>3.19</v>
      </c>
      <c r="C1766" s="1">
        <v>44224</v>
      </c>
      <c r="D1766">
        <v>3.04</v>
      </c>
      <c r="E1766" s="1">
        <v>44111</v>
      </c>
      <c r="F1766">
        <v>0.25</v>
      </c>
    </row>
    <row r="1767" spans="1:6" x14ac:dyDescent="0.25">
      <c r="A1767" s="1">
        <v>44225</v>
      </c>
      <c r="B1767">
        <v>3.19</v>
      </c>
      <c r="C1767" s="1">
        <v>44225</v>
      </c>
      <c r="D1767">
        <v>4.1500000000000004</v>
      </c>
      <c r="E1767" s="1">
        <v>44112</v>
      </c>
      <c r="F1767">
        <v>0.25</v>
      </c>
    </row>
    <row r="1768" spans="1:6" x14ac:dyDescent="0.25">
      <c r="A1768" s="1">
        <v>44228</v>
      </c>
      <c r="B1768">
        <v>3.19</v>
      </c>
      <c r="C1768" s="1">
        <v>44228</v>
      </c>
      <c r="D1768">
        <v>2.85</v>
      </c>
      <c r="E1768" s="1">
        <v>44113</v>
      </c>
      <c r="F1768">
        <v>0.25</v>
      </c>
    </row>
    <row r="1769" spans="1:6" x14ac:dyDescent="0.25">
      <c r="A1769" s="1">
        <v>44229</v>
      </c>
      <c r="B1769">
        <v>2.2799999999999998</v>
      </c>
      <c r="C1769" s="1">
        <v>44229</v>
      </c>
      <c r="D1769">
        <v>2.33</v>
      </c>
      <c r="E1769" s="1">
        <v>44116</v>
      </c>
      <c r="F1769">
        <v>0.25</v>
      </c>
    </row>
    <row r="1770" spans="1:6" x14ac:dyDescent="0.25">
      <c r="A1770" s="1">
        <v>44230</v>
      </c>
      <c r="B1770">
        <v>2.1333000000000002</v>
      </c>
      <c r="C1770" s="1">
        <v>44230</v>
      </c>
      <c r="D1770">
        <v>1.86</v>
      </c>
      <c r="E1770" s="1">
        <v>44117</v>
      </c>
      <c r="F1770">
        <v>0.25</v>
      </c>
    </row>
    <row r="1771" spans="1:6" x14ac:dyDescent="0.25">
      <c r="A1771" s="1">
        <v>44231</v>
      </c>
      <c r="B1771">
        <v>2.3199999999999998</v>
      </c>
      <c r="C1771" s="1">
        <v>44231</v>
      </c>
      <c r="D1771">
        <v>2.1</v>
      </c>
      <c r="E1771" s="1">
        <v>44118</v>
      </c>
      <c r="F1771">
        <v>0.25</v>
      </c>
    </row>
    <row r="1772" spans="1:6" x14ac:dyDescent="0.25">
      <c r="A1772" s="1">
        <v>44232</v>
      </c>
      <c r="B1772">
        <v>2.34</v>
      </c>
      <c r="C1772" s="1">
        <v>44232</v>
      </c>
      <c r="D1772">
        <v>1.9029</v>
      </c>
      <c r="E1772" s="1">
        <v>44119</v>
      </c>
      <c r="F1772">
        <v>0.25</v>
      </c>
    </row>
    <row r="1773" spans="1:6" x14ac:dyDescent="0.25">
      <c r="A1773" s="1">
        <v>44234</v>
      </c>
      <c r="B1773">
        <v>2.38</v>
      </c>
      <c r="C1773" s="1">
        <v>44234</v>
      </c>
      <c r="D1773">
        <v>1.57</v>
      </c>
      <c r="E1773" s="1">
        <v>44120</v>
      </c>
      <c r="F1773">
        <v>0.25</v>
      </c>
    </row>
    <row r="1774" spans="1:6" x14ac:dyDescent="0.25">
      <c r="A1774" s="1">
        <v>44235</v>
      </c>
      <c r="B1774">
        <v>2.44</v>
      </c>
      <c r="C1774" s="1">
        <v>44235</v>
      </c>
      <c r="D1774">
        <v>1.92</v>
      </c>
      <c r="E1774" s="1">
        <v>44123</v>
      </c>
      <c r="F1774">
        <v>0.25</v>
      </c>
    </row>
    <row r="1775" spans="1:6" x14ac:dyDescent="0.25">
      <c r="A1775" s="1">
        <v>44236</v>
      </c>
      <c r="B1775">
        <v>2.6</v>
      </c>
      <c r="C1775" s="1">
        <v>44236</v>
      </c>
      <c r="D1775">
        <v>1.78</v>
      </c>
      <c r="E1775" s="1">
        <v>44124</v>
      </c>
      <c r="F1775">
        <v>0.25</v>
      </c>
    </row>
    <row r="1776" spans="1:6" x14ac:dyDescent="0.25">
      <c r="A1776" s="1">
        <v>44237</v>
      </c>
      <c r="B1776">
        <v>2.2000000000000002</v>
      </c>
      <c r="C1776" s="1">
        <v>44237</v>
      </c>
      <c r="D1776">
        <v>1.93</v>
      </c>
      <c r="E1776" s="1">
        <v>44125</v>
      </c>
      <c r="F1776">
        <v>0.25</v>
      </c>
    </row>
    <row r="1777" spans="1:6" x14ac:dyDescent="0.25">
      <c r="A1777" s="1">
        <v>44245</v>
      </c>
      <c r="B1777">
        <v>2.2000000000000002</v>
      </c>
      <c r="C1777" s="1">
        <v>44245</v>
      </c>
      <c r="D1777">
        <v>2.36</v>
      </c>
      <c r="E1777" s="1">
        <v>44126</v>
      </c>
      <c r="F1777">
        <v>0.25</v>
      </c>
    </row>
    <row r="1778" spans="1:6" x14ac:dyDescent="0.25">
      <c r="A1778" s="1">
        <v>44246</v>
      </c>
      <c r="B1778">
        <v>2.08</v>
      </c>
      <c r="C1778" s="1">
        <v>44246</v>
      </c>
      <c r="D1778">
        <v>1.88</v>
      </c>
      <c r="E1778" s="1">
        <v>44127</v>
      </c>
      <c r="F1778">
        <v>0.25</v>
      </c>
    </row>
    <row r="1779" spans="1:6" x14ac:dyDescent="0.25">
      <c r="A1779" s="1">
        <v>44247</v>
      </c>
      <c r="B1779">
        <v>2</v>
      </c>
      <c r="C1779" s="1">
        <v>44247</v>
      </c>
      <c r="D1779">
        <v>1.45</v>
      </c>
      <c r="E1779" s="1">
        <v>44130</v>
      </c>
      <c r="F1779">
        <v>0.25</v>
      </c>
    </row>
    <row r="1780" spans="1:6" x14ac:dyDescent="0.25">
      <c r="A1780" s="1">
        <v>44249</v>
      </c>
      <c r="B1780">
        <v>2.4</v>
      </c>
      <c r="C1780" s="1">
        <v>44249</v>
      </c>
      <c r="D1780">
        <v>1.52</v>
      </c>
      <c r="E1780" s="1">
        <v>44131</v>
      </c>
      <c r="F1780">
        <v>0.25</v>
      </c>
    </row>
    <row r="1781" spans="1:6" x14ac:dyDescent="0.25">
      <c r="A1781" s="1">
        <v>44250</v>
      </c>
      <c r="B1781">
        <v>2.4</v>
      </c>
      <c r="C1781" s="1">
        <v>44250</v>
      </c>
      <c r="D1781">
        <v>2</v>
      </c>
      <c r="E1781" s="1">
        <v>44132</v>
      </c>
      <c r="F1781">
        <v>0.25</v>
      </c>
    </row>
    <row r="1782" spans="1:6" x14ac:dyDescent="0.25">
      <c r="A1782" s="1">
        <v>44251</v>
      </c>
      <c r="B1782">
        <v>2.2599999999999998</v>
      </c>
      <c r="C1782" s="1">
        <v>44251</v>
      </c>
      <c r="D1782">
        <v>1.52</v>
      </c>
      <c r="E1782" s="1">
        <v>44133</v>
      </c>
      <c r="F1782">
        <v>0.25</v>
      </c>
    </row>
    <row r="1783" spans="1:6" x14ac:dyDescent="0.25">
      <c r="A1783" s="1">
        <v>44252</v>
      </c>
      <c r="B1783">
        <v>2.25</v>
      </c>
      <c r="C1783" s="1">
        <v>44252</v>
      </c>
      <c r="D1783">
        <v>1.71</v>
      </c>
      <c r="E1783" s="1">
        <v>44134</v>
      </c>
      <c r="F1783">
        <v>0.25</v>
      </c>
    </row>
    <row r="1784" spans="1:6" x14ac:dyDescent="0.25">
      <c r="A1784" s="1">
        <v>44253</v>
      </c>
      <c r="B1784">
        <v>2.25</v>
      </c>
      <c r="C1784" s="1">
        <v>44253</v>
      </c>
      <c r="D1784">
        <v>2.12</v>
      </c>
      <c r="E1784" s="1">
        <v>44137</v>
      </c>
      <c r="F1784">
        <v>0.25</v>
      </c>
    </row>
    <row r="1785" spans="1:6" x14ac:dyDescent="0.25">
      <c r="A1785" s="1">
        <v>44256</v>
      </c>
      <c r="B1785">
        <v>2.2000000000000002</v>
      </c>
      <c r="C1785" s="1">
        <v>44256</v>
      </c>
      <c r="D1785">
        <v>2.1800000000000002</v>
      </c>
      <c r="E1785" s="1">
        <v>44138</v>
      </c>
      <c r="F1785">
        <v>0.25</v>
      </c>
    </row>
    <row r="1786" spans="1:6" x14ac:dyDescent="0.25">
      <c r="A1786" s="1">
        <v>44257</v>
      </c>
      <c r="B1786">
        <v>2.15</v>
      </c>
      <c r="C1786" s="1">
        <v>44257</v>
      </c>
      <c r="D1786">
        <v>1.79</v>
      </c>
      <c r="E1786" s="1">
        <v>44139</v>
      </c>
      <c r="F1786">
        <v>0.25</v>
      </c>
    </row>
    <row r="1787" spans="1:6" x14ac:dyDescent="0.25">
      <c r="A1787" s="1">
        <v>44258</v>
      </c>
      <c r="B1787">
        <v>1.95</v>
      </c>
      <c r="C1787" s="1">
        <v>44258</v>
      </c>
      <c r="D1787">
        <v>1.4958</v>
      </c>
      <c r="E1787" s="1">
        <v>44140</v>
      </c>
      <c r="F1787">
        <v>0.25</v>
      </c>
    </row>
    <row r="1788" spans="1:6" x14ac:dyDescent="0.25">
      <c r="A1788" s="1">
        <v>44259</v>
      </c>
      <c r="B1788">
        <v>2.14</v>
      </c>
      <c r="C1788" s="1">
        <v>44259</v>
      </c>
      <c r="D1788">
        <v>1.94</v>
      </c>
      <c r="E1788" s="1">
        <v>44141</v>
      </c>
      <c r="F1788">
        <v>0.25</v>
      </c>
    </row>
    <row r="1789" spans="1:6" x14ac:dyDescent="0.25">
      <c r="A1789" s="1">
        <v>44260</v>
      </c>
      <c r="B1789">
        <v>2</v>
      </c>
      <c r="C1789" s="1">
        <v>44260</v>
      </c>
      <c r="D1789">
        <v>1.59</v>
      </c>
      <c r="E1789" s="1">
        <v>44144</v>
      </c>
      <c r="F1789">
        <v>0.25</v>
      </c>
    </row>
    <row r="1790" spans="1:6" x14ac:dyDescent="0.25">
      <c r="A1790" s="1">
        <v>44263</v>
      </c>
      <c r="B1790">
        <v>2.1</v>
      </c>
      <c r="C1790" s="1">
        <v>44263</v>
      </c>
      <c r="D1790">
        <v>1.71</v>
      </c>
      <c r="E1790" s="1">
        <v>44145</v>
      </c>
      <c r="F1790">
        <v>0.25</v>
      </c>
    </row>
    <row r="1791" spans="1:6" x14ac:dyDescent="0.25">
      <c r="A1791" s="1">
        <v>44264</v>
      </c>
      <c r="B1791">
        <v>2.0499999999999998</v>
      </c>
      <c r="C1791" s="1">
        <v>44264</v>
      </c>
      <c r="D1791">
        <v>2.0299999999999998</v>
      </c>
      <c r="E1791" s="1">
        <v>44146</v>
      </c>
      <c r="F1791">
        <v>0.25</v>
      </c>
    </row>
    <row r="1792" spans="1:6" x14ac:dyDescent="0.25">
      <c r="A1792" s="1">
        <v>44265</v>
      </c>
      <c r="B1792">
        <v>2.0099999999999998</v>
      </c>
      <c r="C1792" s="1">
        <v>44265</v>
      </c>
      <c r="D1792">
        <v>1.76</v>
      </c>
      <c r="E1792" s="1">
        <v>44147</v>
      </c>
      <c r="F1792">
        <v>0.25</v>
      </c>
    </row>
    <row r="1793" spans="1:6" x14ac:dyDescent="0.25">
      <c r="A1793" s="1">
        <v>44266</v>
      </c>
      <c r="B1793">
        <v>2.0499999999999998</v>
      </c>
      <c r="C1793" s="1">
        <v>44266</v>
      </c>
      <c r="D1793">
        <v>1.81</v>
      </c>
      <c r="E1793" s="1">
        <v>44148</v>
      </c>
      <c r="F1793">
        <v>0.25</v>
      </c>
    </row>
    <row r="1794" spans="1:6" x14ac:dyDescent="0.25">
      <c r="A1794" s="1">
        <v>44267</v>
      </c>
      <c r="B1794">
        <v>2.1</v>
      </c>
      <c r="C1794" s="1">
        <v>44267</v>
      </c>
      <c r="D1794">
        <v>1.8</v>
      </c>
      <c r="E1794" s="1">
        <v>44151</v>
      </c>
      <c r="F1794">
        <v>0.25</v>
      </c>
    </row>
    <row r="1795" spans="1:6" x14ac:dyDescent="0.25">
      <c r="A1795" s="1">
        <v>44270</v>
      </c>
      <c r="B1795">
        <v>2.2799999999999998</v>
      </c>
      <c r="C1795" s="1">
        <v>44270</v>
      </c>
      <c r="D1795">
        <v>2.2740999999999998</v>
      </c>
      <c r="E1795" s="1">
        <v>44152</v>
      </c>
      <c r="F1795">
        <v>0.25</v>
      </c>
    </row>
    <row r="1796" spans="1:6" x14ac:dyDescent="0.25">
      <c r="A1796" s="1">
        <v>44271</v>
      </c>
      <c r="B1796">
        <v>2.2599999999999998</v>
      </c>
      <c r="C1796" s="1">
        <v>44271</v>
      </c>
      <c r="D1796">
        <v>2.15</v>
      </c>
      <c r="E1796" s="1">
        <v>44153</v>
      </c>
      <c r="F1796">
        <v>0.25</v>
      </c>
    </row>
    <row r="1797" spans="1:6" x14ac:dyDescent="0.25">
      <c r="A1797" s="1">
        <v>44272</v>
      </c>
      <c r="B1797">
        <v>2.15</v>
      </c>
      <c r="C1797" s="1">
        <v>44272</v>
      </c>
      <c r="D1797">
        <v>1.99</v>
      </c>
      <c r="E1797" s="1">
        <v>44154</v>
      </c>
      <c r="F1797">
        <v>0.25</v>
      </c>
    </row>
    <row r="1798" spans="1:6" x14ac:dyDescent="0.25">
      <c r="A1798" s="1">
        <v>44273</v>
      </c>
      <c r="B1798">
        <v>2.1800000000000002</v>
      </c>
      <c r="C1798" s="1">
        <v>44273</v>
      </c>
      <c r="D1798">
        <v>2.23</v>
      </c>
      <c r="E1798" s="1">
        <v>44155</v>
      </c>
      <c r="F1798">
        <v>0.25</v>
      </c>
    </row>
    <row r="1799" spans="1:6" x14ac:dyDescent="0.25">
      <c r="A1799" s="1">
        <v>44274</v>
      </c>
      <c r="B1799">
        <v>2.2000000000000002</v>
      </c>
      <c r="C1799" s="1">
        <v>44274</v>
      </c>
      <c r="D1799">
        <v>2.15</v>
      </c>
      <c r="E1799" s="1">
        <v>44158</v>
      </c>
      <c r="F1799">
        <v>0.25</v>
      </c>
    </row>
    <row r="1800" spans="1:6" x14ac:dyDescent="0.25">
      <c r="A1800" s="1">
        <v>44277</v>
      </c>
      <c r="B1800">
        <v>2.15</v>
      </c>
      <c r="C1800" s="1">
        <v>44277</v>
      </c>
      <c r="D1800">
        <v>2.06</v>
      </c>
      <c r="E1800" s="1">
        <v>44159</v>
      </c>
      <c r="F1800">
        <v>0.25</v>
      </c>
    </row>
    <row r="1801" spans="1:6" x14ac:dyDescent="0.25">
      <c r="A1801" s="1">
        <v>44278</v>
      </c>
      <c r="B1801">
        <v>2.1095999999999999</v>
      </c>
      <c r="C1801" s="1">
        <v>44278</v>
      </c>
      <c r="D1801">
        <v>1.9801</v>
      </c>
      <c r="E1801" s="1">
        <v>44160</v>
      </c>
      <c r="F1801">
        <v>0.25</v>
      </c>
    </row>
    <row r="1802" spans="1:6" x14ac:dyDescent="0.25">
      <c r="A1802" s="1">
        <v>44279</v>
      </c>
      <c r="B1802">
        <v>2</v>
      </c>
      <c r="C1802" s="1">
        <v>44279</v>
      </c>
      <c r="D1802">
        <v>1.85</v>
      </c>
      <c r="E1802" s="1">
        <v>44161</v>
      </c>
      <c r="F1802">
        <v>0.25</v>
      </c>
    </row>
    <row r="1803" spans="1:6" x14ac:dyDescent="0.25">
      <c r="A1803" s="1">
        <v>44280</v>
      </c>
      <c r="B1803">
        <v>2.2799999999999998</v>
      </c>
      <c r="C1803" s="1">
        <v>44280</v>
      </c>
      <c r="D1803">
        <v>2.04</v>
      </c>
      <c r="E1803" s="1">
        <v>44162</v>
      </c>
      <c r="F1803">
        <v>0.25</v>
      </c>
    </row>
    <row r="1804" spans="1:6" x14ac:dyDescent="0.25">
      <c r="A1804" s="1">
        <v>44281</v>
      </c>
      <c r="B1804">
        <v>2.4500000000000002</v>
      </c>
      <c r="C1804" s="1">
        <v>44281</v>
      </c>
      <c r="D1804">
        <v>1.78</v>
      </c>
      <c r="E1804" s="1">
        <v>44165</v>
      </c>
      <c r="F1804">
        <v>0.25</v>
      </c>
    </row>
    <row r="1805" spans="1:6" x14ac:dyDescent="0.25">
      <c r="A1805" s="1">
        <v>44284</v>
      </c>
      <c r="B1805">
        <v>2.4</v>
      </c>
      <c r="C1805" s="1">
        <v>44284</v>
      </c>
      <c r="D1805">
        <v>1.82</v>
      </c>
      <c r="E1805" s="1">
        <v>44166</v>
      </c>
      <c r="F1805">
        <v>0.25</v>
      </c>
    </row>
    <row r="1806" spans="1:6" x14ac:dyDescent="0.25">
      <c r="A1806" s="1">
        <v>44285</v>
      </c>
      <c r="B1806">
        <v>2.4</v>
      </c>
      <c r="C1806" s="1">
        <v>44285</v>
      </c>
      <c r="D1806">
        <v>1.84</v>
      </c>
      <c r="E1806" s="1">
        <v>44167</v>
      </c>
      <c r="F1806">
        <v>0.25</v>
      </c>
    </row>
    <row r="1807" spans="1:6" x14ac:dyDescent="0.25">
      <c r="A1807" s="1">
        <v>44286</v>
      </c>
      <c r="B1807">
        <v>2.5499999999999998</v>
      </c>
      <c r="C1807" s="1">
        <v>44286</v>
      </c>
      <c r="D1807">
        <v>2.2183000000000002</v>
      </c>
      <c r="E1807" s="1">
        <v>44168</v>
      </c>
      <c r="F1807">
        <v>0.25</v>
      </c>
    </row>
    <row r="1808" spans="1:6" x14ac:dyDescent="0.25">
      <c r="A1808" s="1">
        <v>44287</v>
      </c>
      <c r="B1808">
        <v>2.1507000000000001</v>
      </c>
      <c r="C1808" s="1">
        <v>44287</v>
      </c>
      <c r="D1808">
        <v>2.19</v>
      </c>
      <c r="E1808" s="1">
        <v>44169</v>
      </c>
      <c r="F1808">
        <v>0.25</v>
      </c>
    </row>
    <row r="1809" spans="1:6" x14ac:dyDescent="0.25">
      <c r="A1809" s="1">
        <v>44288</v>
      </c>
      <c r="B1809">
        <v>2.13</v>
      </c>
      <c r="C1809" s="1">
        <v>44288</v>
      </c>
      <c r="D1809">
        <v>1.75</v>
      </c>
      <c r="E1809" s="1">
        <v>44172</v>
      </c>
      <c r="F1809">
        <v>0.25</v>
      </c>
    </row>
    <row r="1810" spans="1:6" x14ac:dyDescent="0.25">
      <c r="A1810" s="1">
        <v>44292</v>
      </c>
      <c r="B1810">
        <v>2</v>
      </c>
      <c r="C1810" s="1">
        <v>44292</v>
      </c>
      <c r="D1810">
        <v>1.78</v>
      </c>
      <c r="E1810" s="1">
        <v>44173</v>
      </c>
      <c r="F1810">
        <v>0.25</v>
      </c>
    </row>
    <row r="1811" spans="1:6" x14ac:dyDescent="0.25">
      <c r="A1811" s="1">
        <v>44293</v>
      </c>
      <c r="B1811">
        <v>1.92</v>
      </c>
      <c r="C1811" s="1">
        <v>44293</v>
      </c>
      <c r="D1811">
        <v>1.84</v>
      </c>
      <c r="E1811" s="1">
        <v>44174</v>
      </c>
      <c r="F1811">
        <v>0.25</v>
      </c>
    </row>
    <row r="1812" spans="1:6" x14ac:dyDescent="0.25">
      <c r="A1812" s="1">
        <v>44294</v>
      </c>
      <c r="B1812">
        <v>1.95</v>
      </c>
      <c r="C1812" s="1">
        <v>44294</v>
      </c>
      <c r="D1812">
        <v>1.77</v>
      </c>
      <c r="E1812" s="1">
        <v>44175</v>
      </c>
      <c r="F1812">
        <v>0.25</v>
      </c>
    </row>
    <row r="1813" spans="1:6" x14ac:dyDescent="0.25">
      <c r="A1813" s="1">
        <v>44295</v>
      </c>
      <c r="B1813">
        <v>1.95</v>
      </c>
      <c r="C1813" s="1">
        <v>44295</v>
      </c>
      <c r="D1813">
        <v>1.7970999999999999</v>
      </c>
      <c r="E1813" s="1">
        <v>44176</v>
      </c>
      <c r="F1813">
        <v>0.25</v>
      </c>
    </row>
    <row r="1814" spans="1:6" x14ac:dyDescent="0.25">
      <c r="A1814" s="1">
        <v>44298</v>
      </c>
      <c r="B1814">
        <v>2</v>
      </c>
      <c r="C1814" s="1">
        <v>44298</v>
      </c>
      <c r="D1814">
        <v>1.8</v>
      </c>
      <c r="E1814" s="1">
        <v>44179</v>
      </c>
      <c r="F1814">
        <v>0.25</v>
      </c>
    </row>
    <row r="1815" spans="1:6" x14ac:dyDescent="0.25">
      <c r="A1815" s="1">
        <v>44299</v>
      </c>
      <c r="B1815">
        <v>2</v>
      </c>
      <c r="C1815" s="1">
        <v>44299</v>
      </c>
      <c r="D1815">
        <v>1.8</v>
      </c>
      <c r="E1815" s="1">
        <v>44180</v>
      </c>
      <c r="F1815">
        <v>0.25</v>
      </c>
    </row>
    <row r="1816" spans="1:6" x14ac:dyDescent="0.25">
      <c r="A1816" s="1">
        <v>44300</v>
      </c>
      <c r="B1816">
        <v>2</v>
      </c>
      <c r="C1816" s="1">
        <v>44300</v>
      </c>
      <c r="D1816">
        <v>1.82</v>
      </c>
      <c r="E1816" s="1">
        <v>44181</v>
      </c>
      <c r="F1816">
        <v>0.25</v>
      </c>
    </row>
    <row r="1817" spans="1:6" x14ac:dyDescent="0.25">
      <c r="A1817" s="1">
        <v>44301</v>
      </c>
      <c r="B1817">
        <v>2.0499999999999998</v>
      </c>
      <c r="C1817" s="1">
        <v>44301</v>
      </c>
      <c r="D1817">
        <v>1.82</v>
      </c>
      <c r="E1817" s="1">
        <v>44182</v>
      </c>
      <c r="F1817">
        <v>0.25</v>
      </c>
    </row>
    <row r="1818" spans="1:6" x14ac:dyDescent="0.25">
      <c r="A1818" s="1">
        <v>44302</v>
      </c>
      <c r="B1818">
        <v>2.1932999999999998</v>
      </c>
      <c r="C1818" s="1">
        <v>44302</v>
      </c>
      <c r="D1818">
        <v>1.95</v>
      </c>
      <c r="E1818" s="1">
        <v>44183</v>
      </c>
      <c r="F1818">
        <v>0.25</v>
      </c>
    </row>
    <row r="1819" spans="1:6" x14ac:dyDescent="0.25">
      <c r="A1819" s="1">
        <v>44305</v>
      </c>
      <c r="B1819">
        <v>2.25</v>
      </c>
      <c r="C1819" s="1">
        <v>44305</v>
      </c>
      <c r="D1819">
        <v>2.12</v>
      </c>
      <c r="E1819" s="1">
        <v>44186</v>
      </c>
      <c r="F1819">
        <v>0.25</v>
      </c>
    </row>
    <row r="1820" spans="1:6" x14ac:dyDescent="0.25">
      <c r="A1820" s="1">
        <v>44306</v>
      </c>
      <c r="B1820">
        <v>2.2200000000000002</v>
      </c>
      <c r="C1820" s="1">
        <v>44306</v>
      </c>
      <c r="D1820">
        <v>1.86</v>
      </c>
      <c r="E1820" s="1">
        <v>44187</v>
      </c>
      <c r="F1820">
        <v>0.25</v>
      </c>
    </row>
    <row r="1821" spans="1:6" x14ac:dyDescent="0.25">
      <c r="A1821" s="1">
        <v>44307</v>
      </c>
      <c r="B1821">
        <v>2.1</v>
      </c>
      <c r="C1821" s="1">
        <v>44307</v>
      </c>
      <c r="D1821">
        <v>1.88</v>
      </c>
      <c r="E1821" s="1">
        <v>44188</v>
      </c>
      <c r="F1821">
        <v>0.25</v>
      </c>
    </row>
    <row r="1822" spans="1:6" x14ac:dyDescent="0.25">
      <c r="A1822" s="1">
        <v>44308</v>
      </c>
      <c r="B1822">
        <v>2.14</v>
      </c>
      <c r="C1822" s="1">
        <v>44308</v>
      </c>
      <c r="D1822">
        <v>2.14</v>
      </c>
      <c r="E1822" s="1">
        <v>44189</v>
      </c>
      <c r="F1822">
        <v>0.25</v>
      </c>
    </row>
    <row r="1823" spans="1:6" x14ac:dyDescent="0.25">
      <c r="A1823" s="1">
        <v>44309</v>
      </c>
      <c r="B1823">
        <v>2.12</v>
      </c>
      <c r="C1823" s="1">
        <v>44309</v>
      </c>
      <c r="D1823">
        <v>1.94</v>
      </c>
      <c r="E1823" s="1">
        <v>44190</v>
      </c>
      <c r="F1823">
        <v>0.25</v>
      </c>
    </row>
    <row r="1824" spans="1:6" x14ac:dyDescent="0.25">
      <c r="A1824" s="1">
        <v>44311</v>
      </c>
      <c r="B1824">
        <v>2.2000000000000002</v>
      </c>
      <c r="C1824" s="1">
        <v>44311</v>
      </c>
      <c r="D1824">
        <v>2.02</v>
      </c>
      <c r="E1824" s="1">
        <v>44193</v>
      </c>
      <c r="F1824">
        <v>0.25</v>
      </c>
    </row>
    <row r="1825" spans="1:6" x14ac:dyDescent="0.25">
      <c r="A1825" s="1">
        <v>44312</v>
      </c>
      <c r="B1825">
        <v>2.2999999999999998</v>
      </c>
      <c r="C1825" s="1">
        <v>44312</v>
      </c>
      <c r="D1825">
        <v>2.08</v>
      </c>
      <c r="E1825" s="1">
        <v>44194</v>
      </c>
      <c r="F1825">
        <v>0.25</v>
      </c>
    </row>
    <row r="1826" spans="1:6" x14ac:dyDescent="0.25">
      <c r="A1826" s="1">
        <v>44313</v>
      </c>
      <c r="B1826">
        <v>2.2999999999999998</v>
      </c>
      <c r="C1826" s="1">
        <v>44313</v>
      </c>
      <c r="D1826">
        <v>1.82</v>
      </c>
      <c r="E1826" s="1">
        <v>44195</v>
      </c>
      <c r="F1826">
        <v>0.25</v>
      </c>
    </row>
    <row r="1827" spans="1:6" x14ac:dyDescent="0.25">
      <c r="A1827" s="1">
        <v>44314</v>
      </c>
      <c r="B1827">
        <v>2.2185000000000001</v>
      </c>
      <c r="C1827" s="1">
        <v>44314</v>
      </c>
      <c r="D1827">
        <v>1.79</v>
      </c>
      <c r="E1827" s="1">
        <v>44196</v>
      </c>
      <c r="F1827">
        <v>0.25</v>
      </c>
    </row>
    <row r="1828" spans="1:6" x14ac:dyDescent="0.25">
      <c r="A1828" s="1">
        <v>44315</v>
      </c>
      <c r="B1828">
        <v>2.2999999999999998</v>
      </c>
      <c r="C1828" s="1">
        <v>44315</v>
      </c>
      <c r="D1828">
        <v>1.83</v>
      </c>
      <c r="E1828" s="1">
        <v>44197</v>
      </c>
      <c r="F1828">
        <v>0.25</v>
      </c>
    </row>
    <row r="1829" spans="1:6" x14ac:dyDescent="0.25">
      <c r="A1829" s="1">
        <v>44316</v>
      </c>
      <c r="B1829">
        <v>2.36</v>
      </c>
      <c r="C1829" s="1">
        <v>44316</v>
      </c>
      <c r="D1829">
        <v>2.33</v>
      </c>
      <c r="E1829" s="1">
        <v>44200</v>
      </c>
      <c r="F1829">
        <v>0.25</v>
      </c>
    </row>
    <row r="1830" spans="1:6" x14ac:dyDescent="0.25">
      <c r="A1830" s="1">
        <v>44322</v>
      </c>
      <c r="B1830">
        <v>2.13</v>
      </c>
      <c r="C1830" s="1">
        <v>44322</v>
      </c>
      <c r="D1830">
        <v>2.1</v>
      </c>
      <c r="E1830" s="1">
        <v>44201</v>
      </c>
      <c r="F1830">
        <v>0.25</v>
      </c>
    </row>
    <row r="1831" spans="1:6" x14ac:dyDescent="0.25">
      <c r="A1831" s="1">
        <v>44323</v>
      </c>
      <c r="B1831">
        <v>1.9809000000000001</v>
      </c>
      <c r="C1831" s="1">
        <v>44323</v>
      </c>
      <c r="D1831">
        <v>1.78</v>
      </c>
      <c r="E1831" s="1">
        <v>44202</v>
      </c>
      <c r="F1831">
        <v>0.25</v>
      </c>
    </row>
    <row r="1832" spans="1:6" x14ac:dyDescent="0.25">
      <c r="A1832" s="1">
        <v>44324</v>
      </c>
      <c r="B1832">
        <v>1.85</v>
      </c>
      <c r="C1832" s="1">
        <v>44324</v>
      </c>
      <c r="D1832">
        <v>1.4878</v>
      </c>
      <c r="E1832" s="1">
        <v>44203</v>
      </c>
      <c r="F1832">
        <v>0.25</v>
      </c>
    </row>
    <row r="1833" spans="1:6" x14ac:dyDescent="0.25">
      <c r="A1833" s="1">
        <v>44326</v>
      </c>
      <c r="B1833">
        <v>1.9</v>
      </c>
      <c r="C1833" s="1">
        <v>44326</v>
      </c>
      <c r="D1833">
        <v>1.67</v>
      </c>
      <c r="E1833" s="1">
        <v>44204</v>
      </c>
      <c r="F1833">
        <v>0.25</v>
      </c>
    </row>
    <row r="1834" spans="1:6" x14ac:dyDescent="0.25">
      <c r="A1834" s="1">
        <v>44327</v>
      </c>
      <c r="B1834">
        <v>2</v>
      </c>
      <c r="C1834" s="1">
        <v>44327</v>
      </c>
      <c r="D1834">
        <v>1.95</v>
      </c>
      <c r="E1834" s="1">
        <v>44207</v>
      </c>
      <c r="F1834">
        <v>0.25</v>
      </c>
    </row>
    <row r="1835" spans="1:6" x14ac:dyDescent="0.25">
      <c r="A1835" s="1">
        <v>44328</v>
      </c>
      <c r="B1835">
        <v>2</v>
      </c>
      <c r="C1835" s="1">
        <v>44328</v>
      </c>
      <c r="D1835">
        <v>1.96</v>
      </c>
      <c r="E1835" s="1">
        <v>44208</v>
      </c>
      <c r="F1835">
        <v>0.25</v>
      </c>
    </row>
    <row r="1836" spans="1:6" x14ac:dyDescent="0.25">
      <c r="A1836" s="1">
        <v>44329</v>
      </c>
      <c r="B1836">
        <v>2.0699999999999998</v>
      </c>
      <c r="C1836" s="1">
        <v>44329</v>
      </c>
      <c r="D1836">
        <v>1.97</v>
      </c>
      <c r="E1836" s="1">
        <v>44209</v>
      </c>
      <c r="F1836">
        <v>0.25</v>
      </c>
    </row>
    <row r="1837" spans="1:6" x14ac:dyDescent="0.25">
      <c r="A1837" s="1">
        <v>44330</v>
      </c>
      <c r="B1837">
        <v>2.0499999999999998</v>
      </c>
      <c r="C1837" s="1">
        <v>44330</v>
      </c>
      <c r="D1837">
        <v>1.82</v>
      </c>
      <c r="E1837" s="1">
        <v>44210</v>
      </c>
      <c r="F1837">
        <v>0.25</v>
      </c>
    </row>
    <row r="1838" spans="1:6" x14ac:dyDescent="0.25">
      <c r="A1838" s="1">
        <v>44333</v>
      </c>
      <c r="B1838">
        <v>2.1800000000000002</v>
      </c>
      <c r="C1838" s="1">
        <v>44333</v>
      </c>
      <c r="D1838">
        <v>2.17</v>
      </c>
      <c r="E1838" s="1">
        <v>44211</v>
      </c>
      <c r="F1838">
        <v>0.25</v>
      </c>
    </row>
    <row r="1839" spans="1:6" x14ac:dyDescent="0.25">
      <c r="A1839" s="1">
        <v>44334</v>
      </c>
      <c r="B1839">
        <v>2.2200000000000002</v>
      </c>
      <c r="C1839" s="1">
        <v>44334</v>
      </c>
      <c r="D1839">
        <v>2.13</v>
      </c>
      <c r="E1839" s="1">
        <v>44214</v>
      </c>
      <c r="F1839">
        <v>0.25</v>
      </c>
    </row>
    <row r="1840" spans="1:6" x14ac:dyDescent="0.25">
      <c r="A1840" s="1">
        <v>44335</v>
      </c>
      <c r="B1840">
        <v>2.1676000000000002</v>
      </c>
      <c r="C1840" s="1">
        <v>44335</v>
      </c>
      <c r="D1840">
        <v>2.04</v>
      </c>
      <c r="E1840" s="1">
        <v>44215</v>
      </c>
      <c r="F1840">
        <v>0.25</v>
      </c>
    </row>
    <row r="1841" spans="1:6" x14ac:dyDescent="0.25">
      <c r="A1841" s="1">
        <v>44336</v>
      </c>
      <c r="B1841">
        <v>2.17</v>
      </c>
      <c r="C1841" s="1">
        <v>44336</v>
      </c>
      <c r="D1841">
        <v>2.1</v>
      </c>
      <c r="E1841" s="1">
        <v>44216</v>
      </c>
      <c r="F1841">
        <v>0.25</v>
      </c>
    </row>
    <row r="1842" spans="1:6" x14ac:dyDescent="0.25">
      <c r="A1842" s="1">
        <v>44337</v>
      </c>
      <c r="B1842">
        <v>2.15</v>
      </c>
      <c r="C1842" s="1">
        <v>44337</v>
      </c>
      <c r="D1842">
        <v>2</v>
      </c>
      <c r="E1842" s="1">
        <v>44217</v>
      </c>
      <c r="F1842">
        <v>0.25</v>
      </c>
    </row>
    <row r="1843" spans="1:6" x14ac:dyDescent="0.25">
      <c r="A1843" s="1">
        <v>44340</v>
      </c>
      <c r="B1843">
        <v>2.13</v>
      </c>
      <c r="C1843" s="1">
        <v>44340</v>
      </c>
      <c r="D1843">
        <v>2.1800000000000002</v>
      </c>
      <c r="E1843" s="1">
        <v>44218</v>
      </c>
      <c r="F1843">
        <v>0.25</v>
      </c>
    </row>
    <row r="1844" spans="1:6" x14ac:dyDescent="0.25">
      <c r="A1844" s="1">
        <v>44341</v>
      </c>
      <c r="B1844">
        <v>2.4</v>
      </c>
      <c r="C1844" s="1">
        <v>44341</v>
      </c>
      <c r="D1844">
        <v>2.2000000000000002</v>
      </c>
      <c r="E1844" s="1">
        <v>44221</v>
      </c>
      <c r="F1844">
        <v>0.25</v>
      </c>
    </row>
    <row r="1845" spans="1:6" x14ac:dyDescent="0.25">
      <c r="A1845" s="1">
        <v>44342</v>
      </c>
      <c r="B1845">
        <v>2.35</v>
      </c>
      <c r="C1845" s="1">
        <v>44342</v>
      </c>
      <c r="D1845">
        <v>2</v>
      </c>
      <c r="E1845" s="1">
        <v>44222</v>
      </c>
      <c r="F1845">
        <v>0.25</v>
      </c>
    </row>
    <row r="1846" spans="1:6" x14ac:dyDescent="0.25">
      <c r="A1846" s="1">
        <v>44343</v>
      </c>
      <c r="B1846">
        <v>2.35</v>
      </c>
      <c r="C1846" s="1">
        <v>44343</v>
      </c>
      <c r="D1846">
        <v>2.13</v>
      </c>
      <c r="E1846" s="1">
        <v>44223</v>
      </c>
      <c r="F1846">
        <v>0.25</v>
      </c>
    </row>
    <row r="1847" spans="1:6" x14ac:dyDescent="0.25">
      <c r="A1847" s="1">
        <v>44344</v>
      </c>
      <c r="B1847">
        <v>2.4</v>
      </c>
      <c r="C1847" s="1">
        <v>44344</v>
      </c>
      <c r="D1847">
        <v>2.1800000000000002</v>
      </c>
      <c r="E1847" s="1">
        <v>44224</v>
      </c>
      <c r="F1847">
        <v>0.25</v>
      </c>
    </row>
    <row r="1848" spans="1:6" x14ac:dyDescent="0.25">
      <c r="A1848" s="1">
        <v>44347</v>
      </c>
      <c r="B1848">
        <v>2.65</v>
      </c>
      <c r="C1848" s="1">
        <v>44347</v>
      </c>
      <c r="D1848">
        <v>2.4</v>
      </c>
      <c r="E1848" s="1">
        <v>44225</v>
      </c>
      <c r="F1848">
        <v>0.25</v>
      </c>
    </row>
    <row r="1849" spans="1:6" x14ac:dyDescent="0.25">
      <c r="A1849" s="1">
        <v>44348</v>
      </c>
      <c r="B1849">
        <v>2.25</v>
      </c>
      <c r="C1849" s="1">
        <v>44348</v>
      </c>
      <c r="D1849">
        <v>2.2000000000000002</v>
      </c>
      <c r="E1849" s="1">
        <v>44228</v>
      </c>
      <c r="F1849">
        <v>0.25</v>
      </c>
    </row>
    <row r="1850" spans="1:6" x14ac:dyDescent="0.25">
      <c r="A1850" s="1">
        <v>44349</v>
      </c>
      <c r="B1850">
        <v>2.21</v>
      </c>
      <c r="C1850" s="1">
        <v>44349</v>
      </c>
      <c r="D1850">
        <v>2.0499999999999998</v>
      </c>
      <c r="E1850" s="1">
        <v>44229</v>
      </c>
      <c r="F1850">
        <v>0.25</v>
      </c>
    </row>
    <row r="1851" spans="1:6" x14ac:dyDescent="0.25">
      <c r="A1851" s="1">
        <v>44350</v>
      </c>
      <c r="B1851">
        <v>2.0991</v>
      </c>
      <c r="C1851" s="1">
        <v>44350</v>
      </c>
      <c r="D1851">
        <v>1.86</v>
      </c>
      <c r="E1851" s="1">
        <v>44230</v>
      </c>
      <c r="F1851">
        <v>0.25</v>
      </c>
    </row>
    <row r="1852" spans="1:6" x14ac:dyDescent="0.25">
      <c r="A1852" s="1">
        <v>44351</v>
      </c>
      <c r="B1852">
        <v>2.15</v>
      </c>
      <c r="C1852" s="1">
        <v>44351</v>
      </c>
      <c r="D1852">
        <v>2.2000000000000002</v>
      </c>
      <c r="E1852" s="1">
        <v>44231</v>
      </c>
      <c r="F1852">
        <v>0.25</v>
      </c>
    </row>
    <row r="1853" spans="1:6" x14ac:dyDescent="0.25">
      <c r="A1853" s="1">
        <v>44354</v>
      </c>
      <c r="B1853">
        <v>2.2999999999999998</v>
      </c>
      <c r="C1853" s="1">
        <v>44354</v>
      </c>
      <c r="D1853">
        <v>2.35</v>
      </c>
      <c r="E1853" s="1">
        <v>44232</v>
      </c>
      <c r="F1853">
        <v>0.25</v>
      </c>
    </row>
    <row r="1854" spans="1:6" x14ac:dyDescent="0.25">
      <c r="A1854" s="1">
        <v>44355</v>
      </c>
      <c r="B1854">
        <v>2.2999999999999998</v>
      </c>
      <c r="C1854" s="1">
        <v>44355</v>
      </c>
      <c r="D1854">
        <v>2.2000000000000002</v>
      </c>
      <c r="E1854" s="1">
        <v>44235</v>
      </c>
      <c r="F1854">
        <v>0.25</v>
      </c>
    </row>
    <row r="1855" spans="1:6" x14ac:dyDescent="0.25">
      <c r="A1855" s="1">
        <v>44356</v>
      </c>
      <c r="B1855">
        <v>2.2999999999999998</v>
      </c>
      <c r="C1855" s="1">
        <v>44356</v>
      </c>
      <c r="D1855">
        <v>2.2000000000000002</v>
      </c>
      <c r="E1855" s="1">
        <v>44236</v>
      </c>
      <c r="F1855">
        <v>0.25</v>
      </c>
    </row>
    <row r="1856" spans="1:6" x14ac:dyDescent="0.25">
      <c r="A1856" s="1">
        <v>44357</v>
      </c>
      <c r="B1856">
        <v>2.15</v>
      </c>
      <c r="C1856" s="1">
        <v>44357</v>
      </c>
      <c r="D1856">
        <v>1.9</v>
      </c>
      <c r="E1856" s="1">
        <v>44237</v>
      </c>
      <c r="F1856">
        <v>0.25</v>
      </c>
    </row>
    <row r="1857" spans="1:6" x14ac:dyDescent="0.25">
      <c r="A1857" s="1">
        <v>44358</v>
      </c>
      <c r="B1857">
        <v>2.1524000000000001</v>
      </c>
      <c r="C1857" s="1">
        <v>44358</v>
      </c>
      <c r="D1857">
        <v>2.02</v>
      </c>
      <c r="E1857" s="1">
        <v>44238</v>
      </c>
      <c r="F1857">
        <v>0.25</v>
      </c>
    </row>
    <row r="1858" spans="1:6" x14ac:dyDescent="0.25">
      <c r="A1858" s="1">
        <v>44362</v>
      </c>
      <c r="B1858">
        <v>2.2416999999999998</v>
      </c>
      <c r="C1858" s="1">
        <v>44362</v>
      </c>
      <c r="D1858">
        <v>2.12</v>
      </c>
      <c r="E1858" s="1">
        <v>44239</v>
      </c>
      <c r="F1858">
        <v>0.25</v>
      </c>
    </row>
    <row r="1859" spans="1:6" x14ac:dyDescent="0.25">
      <c r="A1859" s="1">
        <v>44363</v>
      </c>
      <c r="B1859">
        <v>2.25</v>
      </c>
      <c r="C1859" s="1">
        <v>44363</v>
      </c>
      <c r="D1859">
        <v>2.02</v>
      </c>
      <c r="E1859" s="1">
        <v>44242</v>
      </c>
      <c r="F1859">
        <v>0.25</v>
      </c>
    </row>
    <row r="1860" spans="1:6" x14ac:dyDescent="0.25">
      <c r="A1860" s="1">
        <v>44364</v>
      </c>
      <c r="B1860">
        <v>2.2000000000000002</v>
      </c>
      <c r="C1860" s="1">
        <v>44364</v>
      </c>
      <c r="D1860">
        <v>1.89</v>
      </c>
      <c r="E1860" s="1">
        <v>44243</v>
      </c>
      <c r="F1860">
        <v>0.25</v>
      </c>
    </row>
    <row r="1861" spans="1:6" x14ac:dyDescent="0.25">
      <c r="A1861" s="1">
        <v>44365</v>
      </c>
      <c r="B1861">
        <v>2.21</v>
      </c>
      <c r="C1861" s="1">
        <v>44365</v>
      </c>
      <c r="D1861">
        <v>2.0299999999999998</v>
      </c>
      <c r="E1861" s="1">
        <v>44244</v>
      </c>
      <c r="F1861">
        <v>0.25</v>
      </c>
    </row>
    <row r="1862" spans="1:6" x14ac:dyDescent="0.25">
      <c r="A1862" s="1">
        <v>44368</v>
      </c>
      <c r="B1862">
        <v>2.2999999999999998</v>
      </c>
      <c r="C1862" s="1">
        <v>44368</v>
      </c>
      <c r="D1862">
        <v>2.27</v>
      </c>
      <c r="E1862" s="1">
        <v>44245</v>
      </c>
      <c r="F1862">
        <v>0.25</v>
      </c>
    </row>
    <row r="1863" spans="1:6" x14ac:dyDescent="0.25">
      <c r="A1863" s="1">
        <v>44369</v>
      </c>
      <c r="B1863">
        <v>2.3512</v>
      </c>
      <c r="C1863" s="1">
        <v>44369</v>
      </c>
      <c r="D1863">
        <v>2.36</v>
      </c>
      <c r="E1863" s="1">
        <v>44246</v>
      </c>
      <c r="F1863">
        <v>0.25</v>
      </c>
    </row>
    <row r="1864" spans="1:6" x14ac:dyDescent="0.25">
      <c r="A1864" s="1">
        <v>44370</v>
      </c>
      <c r="B1864">
        <v>2.2999999999999998</v>
      </c>
      <c r="C1864" s="1">
        <v>44370</v>
      </c>
      <c r="D1864">
        <v>2.2200000000000002</v>
      </c>
      <c r="E1864" s="1">
        <v>44249</v>
      </c>
      <c r="F1864">
        <v>0.25</v>
      </c>
    </row>
    <row r="1865" spans="1:6" x14ac:dyDescent="0.25">
      <c r="A1865" s="1">
        <v>44371</v>
      </c>
      <c r="B1865">
        <v>2.66</v>
      </c>
      <c r="C1865" s="1">
        <v>44371</v>
      </c>
      <c r="D1865">
        <v>1.86</v>
      </c>
      <c r="E1865" s="1">
        <v>44250</v>
      </c>
      <c r="F1865">
        <v>0.25</v>
      </c>
    </row>
    <row r="1866" spans="1:6" x14ac:dyDescent="0.25">
      <c r="A1866" s="1">
        <v>44372</v>
      </c>
      <c r="B1866">
        <v>2.65</v>
      </c>
      <c r="C1866" s="1">
        <v>44372</v>
      </c>
      <c r="D1866">
        <v>1.56</v>
      </c>
      <c r="E1866" s="1">
        <v>44251</v>
      </c>
      <c r="F1866">
        <v>0.25</v>
      </c>
    </row>
    <row r="1867" spans="1:6" x14ac:dyDescent="0.25">
      <c r="A1867" s="1">
        <v>44375</v>
      </c>
      <c r="B1867">
        <v>2.6</v>
      </c>
      <c r="C1867" s="1">
        <v>44375</v>
      </c>
      <c r="D1867">
        <v>1.56</v>
      </c>
      <c r="E1867" s="1">
        <v>44252</v>
      </c>
      <c r="F1867">
        <v>0.25</v>
      </c>
    </row>
    <row r="1868" spans="1:6" x14ac:dyDescent="0.25">
      <c r="A1868" s="1">
        <v>44376</v>
      </c>
      <c r="B1868">
        <v>3.15</v>
      </c>
      <c r="C1868" s="1">
        <v>44376</v>
      </c>
      <c r="D1868">
        <v>1.81</v>
      </c>
      <c r="E1868" s="1">
        <v>44253</v>
      </c>
      <c r="F1868">
        <v>0.25</v>
      </c>
    </row>
    <row r="1869" spans="1:6" x14ac:dyDescent="0.25">
      <c r="A1869" s="1">
        <v>44377</v>
      </c>
      <c r="B1869">
        <v>3.1</v>
      </c>
      <c r="C1869" s="1">
        <v>44377</v>
      </c>
      <c r="D1869">
        <v>2.7</v>
      </c>
      <c r="E1869" s="1">
        <v>44256</v>
      </c>
      <c r="F1869">
        <v>0.25</v>
      </c>
    </row>
    <row r="1870" spans="1:6" x14ac:dyDescent="0.25">
      <c r="A1870" s="1">
        <v>44378</v>
      </c>
      <c r="B1870">
        <v>2.1800000000000002</v>
      </c>
      <c r="C1870" s="1">
        <v>44378</v>
      </c>
      <c r="D1870">
        <v>1.7598</v>
      </c>
      <c r="E1870" s="1">
        <v>44257</v>
      </c>
      <c r="F1870">
        <v>0.25</v>
      </c>
    </row>
    <row r="1871" spans="1:6" x14ac:dyDescent="0.25">
      <c r="A1871" s="1">
        <v>44379</v>
      </c>
      <c r="B1871">
        <v>2</v>
      </c>
      <c r="C1871" s="1">
        <v>44379</v>
      </c>
      <c r="D1871">
        <v>1.62</v>
      </c>
      <c r="E1871" s="1">
        <v>44258</v>
      </c>
      <c r="F1871">
        <v>0.25</v>
      </c>
    </row>
    <row r="1872" spans="1:6" x14ac:dyDescent="0.25">
      <c r="A1872" s="1">
        <v>44382</v>
      </c>
      <c r="B1872">
        <v>2.02</v>
      </c>
      <c r="C1872" s="1">
        <v>44382</v>
      </c>
      <c r="D1872">
        <v>1.68</v>
      </c>
      <c r="E1872" s="1">
        <v>44259</v>
      </c>
      <c r="F1872">
        <v>0.25</v>
      </c>
    </row>
    <row r="1873" spans="1:6" x14ac:dyDescent="0.25">
      <c r="A1873" s="1">
        <v>44383</v>
      </c>
      <c r="B1873">
        <v>2.04</v>
      </c>
      <c r="C1873" s="1">
        <v>44383</v>
      </c>
      <c r="D1873">
        <v>1.92</v>
      </c>
      <c r="E1873" s="1">
        <v>44260</v>
      </c>
      <c r="F1873">
        <v>0.25</v>
      </c>
    </row>
    <row r="1874" spans="1:6" x14ac:dyDescent="0.25">
      <c r="A1874" s="1">
        <v>44384</v>
      </c>
      <c r="B1874">
        <v>2.1164999999999998</v>
      </c>
      <c r="C1874" s="1">
        <v>44384</v>
      </c>
      <c r="D1874">
        <v>2.08</v>
      </c>
      <c r="E1874" s="1">
        <v>44263</v>
      </c>
      <c r="F1874">
        <v>0.25</v>
      </c>
    </row>
    <row r="1875" spans="1:6" x14ac:dyDescent="0.25">
      <c r="A1875" s="1">
        <v>44385</v>
      </c>
      <c r="B1875">
        <v>2.1</v>
      </c>
      <c r="C1875" s="1">
        <v>44385</v>
      </c>
      <c r="D1875">
        <v>1.8048</v>
      </c>
      <c r="E1875" s="1">
        <v>44264</v>
      </c>
      <c r="F1875">
        <v>0.25</v>
      </c>
    </row>
    <row r="1876" spans="1:6" x14ac:dyDescent="0.25">
      <c r="A1876" s="1">
        <v>44386</v>
      </c>
      <c r="B1876">
        <v>2.2200000000000002</v>
      </c>
      <c r="C1876" s="1">
        <v>44386</v>
      </c>
      <c r="D1876">
        <v>2.25</v>
      </c>
      <c r="E1876" s="1">
        <v>44265</v>
      </c>
      <c r="F1876">
        <v>0.25</v>
      </c>
    </row>
    <row r="1877" spans="1:6" x14ac:dyDescent="0.25">
      <c r="A1877" s="1">
        <v>44389</v>
      </c>
      <c r="B1877">
        <v>2.2000000000000002</v>
      </c>
      <c r="C1877" s="1">
        <v>44389</v>
      </c>
      <c r="D1877">
        <v>1.95</v>
      </c>
      <c r="E1877" s="1">
        <v>44266</v>
      </c>
      <c r="F1877">
        <v>0.25</v>
      </c>
    </row>
    <row r="1878" spans="1:6" x14ac:dyDescent="0.25">
      <c r="A1878" s="1">
        <v>44390</v>
      </c>
      <c r="B1878">
        <v>2.2000000000000002</v>
      </c>
      <c r="C1878" s="1">
        <v>44390</v>
      </c>
      <c r="D1878">
        <v>2.0699999999999998</v>
      </c>
      <c r="E1878" s="1">
        <v>44267</v>
      </c>
      <c r="F1878">
        <v>0.25</v>
      </c>
    </row>
    <row r="1879" spans="1:6" x14ac:dyDescent="0.25">
      <c r="A1879" s="1">
        <v>44391</v>
      </c>
      <c r="B1879">
        <v>2.2000000000000002</v>
      </c>
      <c r="C1879" s="1">
        <v>44391</v>
      </c>
      <c r="D1879">
        <v>2</v>
      </c>
      <c r="E1879" s="1">
        <v>44270</v>
      </c>
      <c r="F1879">
        <v>0.25</v>
      </c>
    </row>
    <row r="1880" spans="1:6" x14ac:dyDescent="0.25">
      <c r="A1880" s="1">
        <v>44392</v>
      </c>
      <c r="B1880">
        <v>2.2000000000000002</v>
      </c>
      <c r="C1880" s="1">
        <v>44392</v>
      </c>
      <c r="D1880">
        <v>2.11</v>
      </c>
      <c r="E1880" s="1">
        <v>44271</v>
      </c>
      <c r="F1880">
        <v>0.25</v>
      </c>
    </row>
    <row r="1881" spans="1:6" x14ac:dyDescent="0.25">
      <c r="A1881" s="1">
        <v>44393</v>
      </c>
      <c r="B1881">
        <v>2.2000000000000002</v>
      </c>
      <c r="C1881" s="1">
        <v>44393</v>
      </c>
      <c r="D1881">
        <v>2.12</v>
      </c>
      <c r="E1881" s="1">
        <v>44272</v>
      </c>
      <c r="F1881">
        <v>0.25</v>
      </c>
    </row>
    <row r="1882" spans="1:6" x14ac:dyDescent="0.25">
      <c r="A1882" s="1">
        <v>44396</v>
      </c>
      <c r="B1882">
        <v>2.16</v>
      </c>
      <c r="C1882" s="1">
        <v>44396</v>
      </c>
      <c r="D1882">
        <v>2.12</v>
      </c>
      <c r="E1882" s="1">
        <v>44273</v>
      </c>
      <c r="F1882">
        <v>0.25</v>
      </c>
    </row>
    <row r="1883" spans="1:6" x14ac:dyDescent="0.25">
      <c r="A1883" s="1">
        <v>44397</v>
      </c>
      <c r="B1883">
        <v>2.2000000000000002</v>
      </c>
      <c r="C1883" s="1">
        <v>44397</v>
      </c>
      <c r="D1883">
        <v>2.2000000000000002</v>
      </c>
      <c r="E1883" s="1">
        <v>44274</v>
      </c>
      <c r="F1883">
        <v>0.25</v>
      </c>
    </row>
    <row r="1884" spans="1:6" x14ac:dyDescent="0.25">
      <c r="A1884" s="1">
        <v>44398</v>
      </c>
      <c r="B1884">
        <v>2.2200000000000002</v>
      </c>
      <c r="C1884" s="1">
        <v>44398</v>
      </c>
      <c r="D1884">
        <v>2.2000000000000002</v>
      </c>
      <c r="E1884" s="1">
        <v>44277</v>
      </c>
      <c r="F1884">
        <v>0.25</v>
      </c>
    </row>
    <row r="1885" spans="1:6" x14ac:dyDescent="0.25">
      <c r="A1885" s="1">
        <v>44399</v>
      </c>
      <c r="B1885">
        <v>2.2000000000000002</v>
      </c>
      <c r="C1885" s="1">
        <v>44399</v>
      </c>
      <c r="D1885">
        <v>2.1272000000000002</v>
      </c>
      <c r="E1885" s="1">
        <v>44278</v>
      </c>
      <c r="F1885">
        <v>0.25</v>
      </c>
    </row>
    <row r="1886" spans="1:6" x14ac:dyDescent="0.25">
      <c r="A1886" s="1">
        <v>44400</v>
      </c>
      <c r="B1886">
        <v>2.14</v>
      </c>
      <c r="C1886" s="1">
        <v>44400</v>
      </c>
      <c r="D1886">
        <v>2.0699999999999998</v>
      </c>
      <c r="E1886" s="1">
        <v>44279</v>
      </c>
      <c r="F1886">
        <v>0.25</v>
      </c>
    </row>
    <row r="1887" spans="1:6" x14ac:dyDescent="0.25">
      <c r="A1887" s="1">
        <v>44403</v>
      </c>
      <c r="B1887">
        <v>2.35</v>
      </c>
      <c r="C1887" s="1">
        <v>44403</v>
      </c>
      <c r="D1887">
        <v>2.14</v>
      </c>
      <c r="E1887" s="1">
        <v>44280</v>
      </c>
      <c r="F1887">
        <v>0.25</v>
      </c>
    </row>
    <row r="1888" spans="1:6" x14ac:dyDescent="0.25">
      <c r="A1888" s="1">
        <v>44404</v>
      </c>
      <c r="B1888">
        <v>2.5</v>
      </c>
      <c r="C1888" s="1">
        <v>44404</v>
      </c>
      <c r="D1888">
        <v>2.2999999999999998</v>
      </c>
      <c r="E1888" s="1">
        <v>44281</v>
      </c>
      <c r="F1888">
        <v>0.25</v>
      </c>
    </row>
    <row r="1889" spans="1:6" x14ac:dyDescent="0.25">
      <c r="A1889" s="1">
        <v>44405</v>
      </c>
      <c r="B1889">
        <v>2.7</v>
      </c>
      <c r="C1889" s="1">
        <v>44405</v>
      </c>
      <c r="D1889">
        <v>2.1</v>
      </c>
      <c r="E1889" s="1">
        <v>44284</v>
      </c>
      <c r="F1889">
        <v>0.25</v>
      </c>
    </row>
    <row r="1890" spans="1:6" x14ac:dyDescent="0.25">
      <c r="A1890" s="1">
        <v>44406</v>
      </c>
      <c r="B1890">
        <v>2.5499999999999998</v>
      </c>
      <c r="C1890" s="1">
        <v>44406</v>
      </c>
      <c r="D1890">
        <v>1.65</v>
      </c>
      <c r="E1890" s="1">
        <v>44285</v>
      </c>
      <c r="F1890">
        <v>0.25</v>
      </c>
    </row>
    <row r="1891" spans="1:6" x14ac:dyDescent="0.25">
      <c r="A1891" s="1">
        <v>44407</v>
      </c>
      <c r="B1891">
        <v>2.4</v>
      </c>
      <c r="C1891" s="1">
        <v>44407</v>
      </c>
      <c r="D1891">
        <v>2.2587000000000002</v>
      </c>
      <c r="E1891" s="1">
        <v>44286</v>
      </c>
      <c r="F1891">
        <v>0.25</v>
      </c>
    </row>
    <row r="1892" spans="1:6" x14ac:dyDescent="0.25">
      <c r="A1892" s="1">
        <v>44410</v>
      </c>
      <c r="B1892">
        <v>2.1</v>
      </c>
      <c r="C1892" s="1">
        <v>44410</v>
      </c>
      <c r="D1892">
        <v>1.89</v>
      </c>
      <c r="E1892" s="1">
        <v>44287</v>
      </c>
      <c r="F1892">
        <v>0.25</v>
      </c>
    </row>
    <row r="1893" spans="1:6" x14ac:dyDescent="0.25">
      <c r="A1893" s="1">
        <v>44411</v>
      </c>
      <c r="B1893">
        <v>2.04</v>
      </c>
      <c r="C1893" s="1">
        <v>44411</v>
      </c>
      <c r="D1893">
        <v>1.85</v>
      </c>
      <c r="E1893" s="1">
        <v>44288</v>
      </c>
      <c r="F1893">
        <v>0.25</v>
      </c>
    </row>
    <row r="1894" spans="1:6" x14ac:dyDescent="0.25">
      <c r="A1894" s="1">
        <v>44412</v>
      </c>
      <c r="B1894">
        <v>2.0299999999999998</v>
      </c>
      <c r="C1894" s="1">
        <v>44412</v>
      </c>
      <c r="D1894">
        <v>1.72</v>
      </c>
      <c r="E1894" s="1">
        <v>44291</v>
      </c>
      <c r="F1894">
        <v>0.25</v>
      </c>
    </row>
    <row r="1895" spans="1:6" x14ac:dyDescent="0.25">
      <c r="A1895" s="1">
        <v>44413</v>
      </c>
      <c r="B1895">
        <v>2</v>
      </c>
      <c r="C1895" s="1">
        <v>44413</v>
      </c>
      <c r="D1895">
        <v>1.72</v>
      </c>
      <c r="E1895" s="1">
        <v>44292</v>
      </c>
      <c r="F1895">
        <v>0.25</v>
      </c>
    </row>
    <row r="1896" spans="1:6" x14ac:dyDescent="0.25">
      <c r="A1896" s="1">
        <v>44414</v>
      </c>
      <c r="B1896">
        <v>1.99</v>
      </c>
      <c r="C1896" s="1">
        <v>44414</v>
      </c>
      <c r="D1896">
        <v>1.9</v>
      </c>
      <c r="E1896" s="1">
        <v>44293</v>
      </c>
      <c r="F1896">
        <v>0.25</v>
      </c>
    </row>
    <row r="1897" spans="1:6" x14ac:dyDescent="0.25">
      <c r="A1897" s="1">
        <v>44417</v>
      </c>
      <c r="B1897">
        <v>2.12</v>
      </c>
      <c r="C1897" s="1">
        <v>44417</v>
      </c>
      <c r="D1897">
        <v>2.2599999999999998</v>
      </c>
      <c r="E1897" s="1">
        <v>44294</v>
      </c>
      <c r="F1897">
        <v>0.25</v>
      </c>
    </row>
    <row r="1898" spans="1:6" x14ac:dyDescent="0.25">
      <c r="A1898" s="1">
        <v>44418</v>
      </c>
      <c r="B1898">
        <v>2.4</v>
      </c>
      <c r="C1898" s="1">
        <v>44418</v>
      </c>
      <c r="D1898">
        <v>2.2999999999999998</v>
      </c>
      <c r="E1898" s="1">
        <v>44295</v>
      </c>
      <c r="F1898">
        <v>0.25</v>
      </c>
    </row>
    <row r="1899" spans="1:6" x14ac:dyDescent="0.25">
      <c r="A1899" s="1">
        <v>44419</v>
      </c>
      <c r="B1899">
        <v>2.14</v>
      </c>
      <c r="C1899" s="1">
        <v>44419</v>
      </c>
      <c r="D1899">
        <v>2.0499999999999998</v>
      </c>
      <c r="E1899" s="1">
        <v>44298</v>
      </c>
      <c r="F1899">
        <v>0.25</v>
      </c>
    </row>
    <row r="1900" spans="1:6" x14ac:dyDescent="0.25">
      <c r="A1900" s="1">
        <v>44420</v>
      </c>
      <c r="B1900">
        <v>2.1</v>
      </c>
      <c r="C1900" s="1">
        <v>44420</v>
      </c>
      <c r="D1900">
        <v>1.95</v>
      </c>
      <c r="E1900" s="1">
        <v>44299</v>
      </c>
      <c r="F1900">
        <v>0.25</v>
      </c>
    </row>
    <row r="1901" spans="1:6" x14ac:dyDescent="0.25">
      <c r="A1901" s="1">
        <v>44421</v>
      </c>
      <c r="B1901">
        <v>2.2000000000000002</v>
      </c>
      <c r="C1901" s="1">
        <v>44421</v>
      </c>
      <c r="D1901">
        <v>2.2000000000000002</v>
      </c>
      <c r="E1901" s="1">
        <v>44300</v>
      </c>
      <c r="F1901">
        <v>0.25</v>
      </c>
    </row>
    <row r="1902" spans="1:6" x14ac:dyDescent="0.25">
      <c r="A1902" s="1">
        <v>44424</v>
      </c>
      <c r="B1902">
        <v>2.2200000000000002</v>
      </c>
      <c r="C1902" s="1">
        <v>44424</v>
      </c>
      <c r="D1902">
        <v>2.11</v>
      </c>
      <c r="E1902" s="1">
        <v>44301</v>
      </c>
      <c r="F1902">
        <v>0.25</v>
      </c>
    </row>
    <row r="1903" spans="1:6" x14ac:dyDescent="0.25">
      <c r="A1903" s="1">
        <v>44425</v>
      </c>
      <c r="B1903">
        <v>2.15</v>
      </c>
      <c r="C1903" s="1">
        <v>44425</v>
      </c>
      <c r="D1903">
        <v>1.98</v>
      </c>
      <c r="E1903" s="1">
        <v>44302</v>
      </c>
      <c r="F1903">
        <v>0.25</v>
      </c>
    </row>
    <row r="1904" spans="1:6" x14ac:dyDescent="0.25">
      <c r="A1904" s="1">
        <v>44426</v>
      </c>
      <c r="B1904">
        <v>2.08</v>
      </c>
      <c r="C1904" s="1">
        <v>44426</v>
      </c>
      <c r="D1904">
        <v>1.73</v>
      </c>
      <c r="E1904" s="1">
        <v>44305</v>
      </c>
      <c r="F1904">
        <v>0.25</v>
      </c>
    </row>
    <row r="1905" spans="1:6" x14ac:dyDescent="0.25">
      <c r="A1905" s="1">
        <v>44427</v>
      </c>
      <c r="B1905">
        <v>2.1</v>
      </c>
      <c r="C1905" s="1">
        <v>44427</v>
      </c>
      <c r="D1905">
        <v>1.85</v>
      </c>
      <c r="E1905" s="1">
        <v>44306</v>
      </c>
      <c r="F1905">
        <v>0.25</v>
      </c>
    </row>
    <row r="1906" spans="1:6" x14ac:dyDescent="0.25">
      <c r="A1906" s="1">
        <v>44428</v>
      </c>
      <c r="B1906">
        <v>2.1</v>
      </c>
      <c r="C1906" s="1">
        <v>44428</v>
      </c>
      <c r="D1906">
        <v>2.06</v>
      </c>
      <c r="E1906" s="1">
        <v>44307</v>
      </c>
      <c r="F1906">
        <v>0.25</v>
      </c>
    </row>
    <row r="1907" spans="1:6" x14ac:dyDescent="0.25">
      <c r="A1907" s="1">
        <v>44431</v>
      </c>
      <c r="B1907">
        <v>2.15</v>
      </c>
      <c r="C1907" s="1">
        <v>44431</v>
      </c>
      <c r="D1907">
        <v>2.1800000000000002</v>
      </c>
      <c r="E1907" s="1">
        <v>44308</v>
      </c>
      <c r="F1907">
        <v>0.25</v>
      </c>
    </row>
    <row r="1908" spans="1:6" x14ac:dyDescent="0.25">
      <c r="A1908" s="1">
        <v>44432</v>
      </c>
      <c r="B1908">
        <v>2.2200000000000002</v>
      </c>
      <c r="C1908" s="1">
        <v>44432</v>
      </c>
      <c r="D1908">
        <v>2.35</v>
      </c>
      <c r="E1908" s="1">
        <v>44309</v>
      </c>
      <c r="F1908">
        <v>0.25</v>
      </c>
    </row>
    <row r="1909" spans="1:6" x14ac:dyDescent="0.25">
      <c r="A1909" s="1">
        <v>44433</v>
      </c>
      <c r="B1909">
        <v>2.5</v>
      </c>
      <c r="C1909" s="1">
        <v>44433</v>
      </c>
      <c r="D1909">
        <v>2.23</v>
      </c>
      <c r="E1909" s="1">
        <v>44312</v>
      </c>
      <c r="F1909">
        <v>0.25</v>
      </c>
    </row>
    <row r="1910" spans="1:6" x14ac:dyDescent="0.25">
      <c r="A1910" s="1">
        <v>44434</v>
      </c>
      <c r="B1910">
        <v>2.4500000000000002</v>
      </c>
      <c r="C1910" s="1">
        <v>44434</v>
      </c>
      <c r="D1910">
        <v>2.23</v>
      </c>
      <c r="E1910" s="1">
        <v>44313</v>
      </c>
      <c r="F1910">
        <v>0.25</v>
      </c>
    </row>
    <row r="1911" spans="1:6" x14ac:dyDescent="0.25">
      <c r="A1911" s="1">
        <v>44435</v>
      </c>
      <c r="B1911">
        <v>2.4500000000000002</v>
      </c>
      <c r="C1911" s="1">
        <v>44435</v>
      </c>
      <c r="D1911">
        <v>2.1</v>
      </c>
      <c r="E1911" s="1">
        <v>44314</v>
      </c>
      <c r="F1911">
        <v>0.25</v>
      </c>
    </row>
    <row r="1912" spans="1:6" x14ac:dyDescent="0.25">
      <c r="A1912" s="1">
        <v>44438</v>
      </c>
      <c r="B1912">
        <v>2.4500000000000002</v>
      </c>
      <c r="C1912" s="1">
        <v>44438</v>
      </c>
      <c r="D1912">
        <v>1.85</v>
      </c>
      <c r="E1912" s="1">
        <v>44315</v>
      </c>
      <c r="F1912">
        <v>0.25</v>
      </c>
    </row>
    <row r="1913" spans="1:6" x14ac:dyDescent="0.25">
      <c r="A1913" s="1">
        <v>44439</v>
      </c>
      <c r="B1913">
        <v>2.4500000000000002</v>
      </c>
      <c r="C1913" s="1">
        <v>44439</v>
      </c>
      <c r="D1913">
        <v>2.34</v>
      </c>
      <c r="E1913" s="1">
        <v>44316</v>
      </c>
      <c r="F1913">
        <v>0.25</v>
      </c>
    </row>
    <row r="1914" spans="1:6" x14ac:dyDescent="0.25">
      <c r="A1914" s="1">
        <v>44440</v>
      </c>
      <c r="B1914">
        <v>2.1128999999999998</v>
      </c>
      <c r="C1914" s="1">
        <v>44440</v>
      </c>
      <c r="D1914">
        <v>2.1356999999999999</v>
      </c>
      <c r="E1914" s="1">
        <v>44319</v>
      </c>
      <c r="F1914">
        <v>0.25</v>
      </c>
    </row>
    <row r="1915" spans="1:6" x14ac:dyDescent="0.25">
      <c r="A1915" s="1">
        <v>44441</v>
      </c>
      <c r="B1915">
        <v>2.08</v>
      </c>
      <c r="C1915" s="1">
        <v>44441</v>
      </c>
      <c r="D1915">
        <v>2.1</v>
      </c>
      <c r="E1915" s="1">
        <v>44320</v>
      </c>
      <c r="F1915">
        <v>0.25</v>
      </c>
    </row>
    <row r="1916" spans="1:6" x14ac:dyDescent="0.25">
      <c r="A1916" s="1">
        <v>44442</v>
      </c>
      <c r="B1916">
        <v>2.0669</v>
      </c>
      <c r="C1916" s="1">
        <v>44442</v>
      </c>
      <c r="D1916">
        <v>1.95</v>
      </c>
      <c r="E1916" s="1">
        <v>44321</v>
      </c>
      <c r="F1916">
        <v>0.25</v>
      </c>
    </row>
    <row r="1917" spans="1:6" x14ac:dyDescent="0.25">
      <c r="A1917" s="1">
        <v>44445</v>
      </c>
      <c r="B1917">
        <v>2.15</v>
      </c>
      <c r="C1917" s="1">
        <v>44445</v>
      </c>
      <c r="D1917">
        <v>2.13</v>
      </c>
      <c r="E1917" s="1">
        <v>44322</v>
      </c>
      <c r="F1917">
        <v>0.25</v>
      </c>
    </row>
    <row r="1918" spans="1:6" x14ac:dyDescent="0.25">
      <c r="A1918" s="1">
        <v>44446</v>
      </c>
      <c r="B1918">
        <v>2.2000000000000002</v>
      </c>
      <c r="C1918" s="1">
        <v>44446</v>
      </c>
      <c r="D1918">
        <v>2.2061000000000002</v>
      </c>
      <c r="E1918" s="1">
        <v>44323</v>
      </c>
      <c r="F1918">
        <v>0.25</v>
      </c>
    </row>
    <row r="1919" spans="1:6" x14ac:dyDescent="0.25">
      <c r="A1919" s="1">
        <v>44447</v>
      </c>
      <c r="B1919">
        <v>2.25</v>
      </c>
      <c r="C1919" s="1">
        <v>44447</v>
      </c>
      <c r="D1919">
        <v>2.2000000000000002</v>
      </c>
      <c r="E1919" s="1">
        <v>44326</v>
      </c>
      <c r="F1919">
        <v>0.25</v>
      </c>
    </row>
    <row r="1920" spans="1:6" x14ac:dyDescent="0.25">
      <c r="A1920" s="1">
        <v>44448</v>
      </c>
      <c r="B1920">
        <v>2.2000000000000002</v>
      </c>
      <c r="C1920" s="1">
        <v>44448</v>
      </c>
      <c r="D1920">
        <v>2.04</v>
      </c>
      <c r="E1920" s="1">
        <v>44327</v>
      </c>
      <c r="F1920">
        <v>0.25</v>
      </c>
    </row>
    <row r="1921" spans="1:6" x14ac:dyDescent="0.25">
      <c r="A1921" s="1">
        <v>44449</v>
      </c>
      <c r="B1921">
        <v>2.2000000000000002</v>
      </c>
      <c r="C1921" s="1">
        <v>44449</v>
      </c>
      <c r="D1921">
        <v>2.12</v>
      </c>
      <c r="E1921" s="1">
        <v>44328</v>
      </c>
      <c r="F1921">
        <v>0.25</v>
      </c>
    </row>
    <row r="1922" spans="1:6" x14ac:dyDescent="0.25">
      <c r="A1922" s="1">
        <v>44452</v>
      </c>
      <c r="B1922">
        <v>2.2035</v>
      </c>
      <c r="C1922" s="1">
        <v>44452</v>
      </c>
      <c r="D1922">
        <v>2.2000000000000002</v>
      </c>
      <c r="E1922" s="1">
        <v>44329</v>
      </c>
      <c r="F1922">
        <v>0.25</v>
      </c>
    </row>
    <row r="1923" spans="1:6" x14ac:dyDescent="0.25">
      <c r="A1923" s="1">
        <v>44453</v>
      </c>
      <c r="B1923">
        <v>2.2999999999999998</v>
      </c>
      <c r="C1923" s="1">
        <v>44453</v>
      </c>
      <c r="D1923">
        <v>2.34</v>
      </c>
      <c r="E1923" s="1">
        <v>44330</v>
      </c>
      <c r="F1923">
        <v>0.25</v>
      </c>
    </row>
    <row r="1924" spans="1:6" x14ac:dyDescent="0.25">
      <c r="A1924" s="1">
        <v>44454</v>
      </c>
      <c r="B1924">
        <v>2.23</v>
      </c>
      <c r="C1924" s="1">
        <v>44454</v>
      </c>
      <c r="D1924">
        <v>2.15</v>
      </c>
      <c r="E1924" s="1">
        <v>44333</v>
      </c>
      <c r="F1924">
        <v>0.25</v>
      </c>
    </row>
    <row r="1925" spans="1:6" x14ac:dyDescent="0.25">
      <c r="A1925" s="1">
        <v>44455</v>
      </c>
      <c r="B1925">
        <v>2.35</v>
      </c>
      <c r="C1925" s="1">
        <v>44455</v>
      </c>
      <c r="D1925">
        <v>2.2599999999999998</v>
      </c>
      <c r="E1925" s="1">
        <v>44334</v>
      </c>
      <c r="F1925">
        <v>0.25</v>
      </c>
    </row>
    <row r="1926" spans="1:6" x14ac:dyDescent="0.25">
      <c r="A1926" s="1">
        <v>44456</v>
      </c>
      <c r="B1926">
        <v>2.5</v>
      </c>
      <c r="C1926" s="1">
        <v>44456</v>
      </c>
      <c r="D1926">
        <v>2.21</v>
      </c>
      <c r="E1926" s="1">
        <v>44335</v>
      </c>
      <c r="F1926">
        <v>0.25</v>
      </c>
    </row>
    <row r="1927" spans="1:6" x14ac:dyDescent="0.25">
      <c r="A1927" s="1">
        <v>44457</v>
      </c>
      <c r="B1927">
        <v>2.25</v>
      </c>
      <c r="C1927" s="1">
        <v>44457</v>
      </c>
      <c r="D1927">
        <v>2.11</v>
      </c>
      <c r="E1927" s="1">
        <v>44336</v>
      </c>
      <c r="F1927">
        <v>0.25</v>
      </c>
    </row>
    <row r="1928" spans="1:6" x14ac:dyDescent="0.25">
      <c r="A1928" s="1">
        <v>44461</v>
      </c>
      <c r="B1928">
        <v>2.25</v>
      </c>
      <c r="C1928" s="1">
        <v>44461</v>
      </c>
      <c r="D1928">
        <v>2.1800000000000002</v>
      </c>
      <c r="E1928" s="1">
        <v>44337</v>
      </c>
      <c r="F1928">
        <v>0.25</v>
      </c>
    </row>
    <row r="1929" spans="1:6" x14ac:dyDescent="0.25">
      <c r="A1929" s="1">
        <v>44462</v>
      </c>
      <c r="B1929">
        <v>2.21</v>
      </c>
      <c r="C1929" s="1">
        <v>44462</v>
      </c>
      <c r="D1929">
        <v>2.04</v>
      </c>
      <c r="E1929" s="1">
        <v>44340</v>
      </c>
      <c r="F1929">
        <v>0.25</v>
      </c>
    </row>
    <row r="1930" spans="1:6" x14ac:dyDescent="0.25">
      <c r="A1930" s="1">
        <v>44463</v>
      </c>
      <c r="B1930">
        <v>2.2094</v>
      </c>
      <c r="C1930" s="1">
        <v>44463</v>
      </c>
      <c r="D1930">
        <v>1.69</v>
      </c>
      <c r="E1930" s="1">
        <v>44341</v>
      </c>
      <c r="F1930">
        <v>0.25</v>
      </c>
    </row>
    <row r="1931" spans="1:6" x14ac:dyDescent="0.25">
      <c r="A1931" s="1">
        <v>44465</v>
      </c>
      <c r="B1931">
        <v>1.95</v>
      </c>
      <c r="C1931" s="1">
        <v>44465</v>
      </c>
      <c r="D1931">
        <v>1.6808000000000001</v>
      </c>
      <c r="E1931" s="1">
        <v>44342</v>
      </c>
      <c r="F1931">
        <v>0.25</v>
      </c>
    </row>
    <row r="1932" spans="1:6" x14ac:dyDescent="0.25">
      <c r="A1932" s="1">
        <v>44466</v>
      </c>
      <c r="B1932">
        <v>1.9</v>
      </c>
      <c r="C1932" s="1">
        <v>44466</v>
      </c>
      <c r="D1932">
        <v>1.73</v>
      </c>
      <c r="E1932" s="1">
        <v>44343</v>
      </c>
      <c r="F1932">
        <v>0.25</v>
      </c>
    </row>
    <row r="1933" spans="1:6" x14ac:dyDescent="0.25">
      <c r="A1933" s="1">
        <v>44467</v>
      </c>
      <c r="B1933">
        <v>2.1</v>
      </c>
      <c r="C1933" s="1">
        <v>44467</v>
      </c>
      <c r="D1933">
        <v>1.95</v>
      </c>
      <c r="E1933" s="1">
        <v>44344</v>
      </c>
      <c r="F1933">
        <v>0.25</v>
      </c>
    </row>
    <row r="1934" spans="1:6" x14ac:dyDescent="0.25">
      <c r="A1934" s="1">
        <v>44468</v>
      </c>
      <c r="B1934">
        <v>3.1</v>
      </c>
      <c r="C1934" s="1">
        <v>44468</v>
      </c>
      <c r="D1934">
        <v>1.51</v>
      </c>
      <c r="E1934" s="1">
        <v>44347</v>
      </c>
      <c r="F1934">
        <v>0.25</v>
      </c>
    </row>
    <row r="1935" spans="1:6" x14ac:dyDescent="0.25">
      <c r="A1935" s="1">
        <v>44469</v>
      </c>
      <c r="B1935">
        <v>2.37</v>
      </c>
      <c r="C1935" s="1">
        <v>44469</v>
      </c>
      <c r="D1935">
        <v>2.4</v>
      </c>
      <c r="E1935" s="1">
        <v>44348</v>
      </c>
      <c r="F1935">
        <v>0.25</v>
      </c>
    </row>
    <row r="1936" spans="1:6" x14ac:dyDescent="0.25">
      <c r="A1936" s="1">
        <v>44477</v>
      </c>
      <c r="B1936">
        <v>2.2105000000000001</v>
      </c>
      <c r="C1936" s="1">
        <v>44477</v>
      </c>
      <c r="D1936">
        <v>2.1019000000000001</v>
      </c>
      <c r="E1936" s="1">
        <v>44349</v>
      </c>
      <c r="F1936">
        <v>0.25</v>
      </c>
    </row>
    <row r="1937" spans="1:6" x14ac:dyDescent="0.25">
      <c r="A1937" s="1">
        <v>44478</v>
      </c>
      <c r="B1937">
        <v>1.87</v>
      </c>
      <c r="C1937" s="1">
        <v>44478</v>
      </c>
      <c r="D1937">
        <v>1.63</v>
      </c>
      <c r="E1937" s="1">
        <v>44350</v>
      </c>
      <c r="F1937">
        <v>0.25</v>
      </c>
    </row>
    <row r="1938" spans="1:6" x14ac:dyDescent="0.25">
      <c r="A1938" s="1">
        <v>44480</v>
      </c>
      <c r="B1938">
        <v>2.19</v>
      </c>
      <c r="C1938" s="1">
        <v>44480</v>
      </c>
      <c r="D1938">
        <v>2.15</v>
      </c>
      <c r="E1938" s="1">
        <v>44351</v>
      </c>
      <c r="F1938">
        <v>0.25</v>
      </c>
    </row>
    <row r="1939" spans="1:6" x14ac:dyDescent="0.25">
      <c r="A1939" s="1">
        <v>44481</v>
      </c>
      <c r="B1939">
        <v>2.2000000000000002</v>
      </c>
      <c r="C1939" s="1">
        <v>44481</v>
      </c>
      <c r="D1939">
        <v>2.12</v>
      </c>
      <c r="E1939" s="1">
        <v>44354</v>
      </c>
      <c r="F1939">
        <v>0.25</v>
      </c>
    </row>
    <row r="1940" spans="1:6" x14ac:dyDescent="0.25">
      <c r="A1940" s="1">
        <v>44482</v>
      </c>
      <c r="B1940">
        <v>2.23</v>
      </c>
      <c r="C1940" s="1">
        <v>44482</v>
      </c>
      <c r="D1940">
        <v>2.17</v>
      </c>
      <c r="E1940" s="1">
        <v>44355</v>
      </c>
      <c r="F1940">
        <v>0.25</v>
      </c>
    </row>
    <row r="1941" spans="1:6" x14ac:dyDescent="0.25">
      <c r="A1941" s="1">
        <v>44483</v>
      </c>
      <c r="B1941">
        <v>2.2000000000000002</v>
      </c>
      <c r="C1941" s="1">
        <v>44483</v>
      </c>
      <c r="D1941">
        <v>2.12</v>
      </c>
      <c r="E1941" s="1">
        <v>44356</v>
      </c>
      <c r="F1941">
        <v>0.25</v>
      </c>
    </row>
    <row r="1942" spans="1:6" x14ac:dyDescent="0.25">
      <c r="A1942" s="1">
        <v>44484</v>
      </c>
      <c r="B1942">
        <v>2.14</v>
      </c>
      <c r="C1942" s="1">
        <v>44484</v>
      </c>
      <c r="D1942">
        <v>2.0699999999999998</v>
      </c>
      <c r="E1942" s="1">
        <v>44357</v>
      </c>
      <c r="F1942">
        <v>0.25</v>
      </c>
    </row>
    <row r="1943" spans="1:6" x14ac:dyDescent="0.25">
      <c r="A1943" s="1">
        <v>44487</v>
      </c>
      <c r="B1943">
        <v>2.17</v>
      </c>
      <c r="C1943" s="1">
        <v>44487</v>
      </c>
      <c r="D1943">
        <v>2.15</v>
      </c>
      <c r="E1943" s="1">
        <v>44358</v>
      </c>
      <c r="F1943">
        <v>0.25</v>
      </c>
    </row>
    <row r="1944" spans="1:6" x14ac:dyDescent="0.25">
      <c r="A1944" s="1">
        <v>44488</v>
      </c>
      <c r="B1944">
        <v>2.29</v>
      </c>
      <c r="C1944" s="1">
        <v>44488</v>
      </c>
      <c r="D1944">
        <v>2.2599999999999998</v>
      </c>
      <c r="E1944" s="1">
        <v>44361</v>
      </c>
      <c r="F1944">
        <v>0.25</v>
      </c>
    </row>
    <row r="1945" spans="1:6" x14ac:dyDescent="0.25">
      <c r="A1945" s="1">
        <v>44489</v>
      </c>
      <c r="B1945">
        <v>2.25</v>
      </c>
      <c r="C1945" s="1">
        <v>44489</v>
      </c>
      <c r="D1945">
        <v>2.11</v>
      </c>
      <c r="E1945" s="1">
        <v>44362</v>
      </c>
      <c r="F1945">
        <v>0.25</v>
      </c>
    </row>
    <row r="1946" spans="1:6" x14ac:dyDescent="0.25">
      <c r="A1946" s="1">
        <v>44490</v>
      </c>
      <c r="B1946">
        <v>2.15</v>
      </c>
      <c r="C1946" s="1">
        <v>44490</v>
      </c>
      <c r="D1946">
        <v>1.7</v>
      </c>
      <c r="E1946" s="1">
        <v>44363</v>
      </c>
      <c r="F1946">
        <v>0.25</v>
      </c>
    </row>
    <row r="1947" spans="1:6" x14ac:dyDescent="0.25">
      <c r="A1947" s="1">
        <v>44491</v>
      </c>
      <c r="B1947">
        <v>2</v>
      </c>
      <c r="C1947" s="1">
        <v>44491</v>
      </c>
      <c r="D1947">
        <v>1.68</v>
      </c>
      <c r="E1947" s="1">
        <v>44364</v>
      </c>
      <c r="F1947">
        <v>0.25</v>
      </c>
    </row>
    <row r="1948" spans="1:6" x14ac:dyDescent="0.25">
      <c r="A1948" s="1">
        <v>44494</v>
      </c>
      <c r="B1948">
        <v>2.323</v>
      </c>
      <c r="C1948" s="1">
        <v>44494</v>
      </c>
      <c r="D1948">
        <v>1.62</v>
      </c>
      <c r="E1948" s="1">
        <v>44365</v>
      </c>
      <c r="F1948">
        <v>0.25</v>
      </c>
    </row>
    <row r="1949" spans="1:6" x14ac:dyDescent="0.25">
      <c r="A1949" s="1">
        <v>44495</v>
      </c>
      <c r="B1949">
        <v>2.5</v>
      </c>
      <c r="C1949" s="1">
        <v>44495</v>
      </c>
      <c r="D1949">
        <v>1.5518000000000001</v>
      </c>
      <c r="E1949" s="1">
        <v>44368</v>
      </c>
      <c r="F1949">
        <v>0.25</v>
      </c>
    </row>
    <row r="1950" spans="1:6" x14ac:dyDescent="0.25">
      <c r="A1950" s="1">
        <v>44496</v>
      </c>
      <c r="B1950">
        <v>2.5</v>
      </c>
      <c r="C1950" s="1">
        <v>44496</v>
      </c>
      <c r="D1950">
        <v>1.93</v>
      </c>
      <c r="E1950" s="1">
        <v>44369</v>
      </c>
      <c r="F1950">
        <v>0.25</v>
      </c>
    </row>
    <row r="1951" spans="1:6" x14ac:dyDescent="0.25">
      <c r="A1951" s="1">
        <v>44497</v>
      </c>
      <c r="B1951">
        <v>2.4500000000000002</v>
      </c>
      <c r="C1951" s="1">
        <v>44497</v>
      </c>
      <c r="D1951">
        <v>1.95</v>
      </c>
      <c r="E1951" s="1">
        <v>44370</v>
      </c>
      <c r="F1951">
        <v>0.25</v>
      </c>
    </row>
    <row r="1952" spans="1:6" x14ac:dyDescent="0.25">
      <c r="A1952" s="1">
        <v>44498</v>
      </c>
      <c r="B1952">
        <v>2.35</v>
      </c>
      <c r="C1952" s="1">
        <v>44498</v>
      </c>
      <c r="D1952">
        <v>2.2599999999999998</v>
      </c>
      <c r="E1952" s="1">
        <v>44371</v>
      </c>
      <c r="F1952">
        <v>0.25</v>
      </c>
    </row>
    <row r="1953" spans="1:6" x14ac:dyDescent="0.25">
      <c r="A1953" s="1">
        <v>44501</v>
      </c>
      <c r="B1953">
        <v>2.2000000000000002</v>
      </c>
      <c r="C1953" s="1">
        <v>44501</v>
      </c>
      <c r="D1953">
        <v>2.0499999999999998</v>
      </c>
      <c r="E1953" s="1">
        <v>44372</v>
      </c>
      <c r="F1953">
        <v>0.25</v>
      </c>
    </row>
    <row r="1954" spans="1:6" x14ac:dyDescent="0.25">
      <c r="A1954" s="1">
        <v>44502</v>
      </c>
      <c r="B1954">
        <v>2.2000000000000002</v>
      </c>
      <c r="C1954" s="1">
        <v>44502</v>
      </c>
      <c r="D1954">
        <v>2.14</v>
      </c>
      <c r="E1954" s="1">
        <v>44375</v>
      </c>
      <c r="F1954">
        <v>0.25</v>
      </c>
    </row>
    <row r="1955" spans="1:6" x14ac:dyDescent="0.25">
      <c r="A1955" s="1">
        <v>44503</v>
      </c>
      <c r="B1955">
        <v>2.2000000000000002</v>
      </c>
      <c r="C1955" s="1">
        <v>44503</v>
      </c>
      <c r="D1955">
        <v>2.0099999999999998</v>
      </c>
      <c r="E1955" s="1">
        <v>44376</v>
      </c>
      <c r="F1955">
        <v>0.25</v>
      </c>
    </row>
    <row r="1956" spans="1:6" x14ac:dyDescent="0.25">
      <c r="A1956" s="1">
        <v>44504</v>
      </c>
      <c r="B1956">
        <v>2.15</v>
      </c>
      <c r="C1956" s="1">
        <v>44504</v>
      </c>
      <c r="D1956">
        <v>1.9</v>
      </c>
      <c r="E1956" s="1">
        <v>44377</v>
      </c>
      <c r="F1956">
        <v>0.25</v>
      </c>
    </row>
    <row r="1957" spans="1:6" x14ac:dyDescent="0.25">
      <c r="A1957" s="1">
        <v>44505</v>
      </c>
      <c r="B1957">
        <v>2.15</v>
      </c>
      <c r="C1957" s="1">
        <v>44505</v>
      </c>
      <c r="D1957">
        <v>1.9</v>
      </c>
      <c r="E1957" s="1">
        <v>44378</v>
      </c>
      <c r="F1957">
        <v>0.25</v>
      </c>
    </row>
    <row r="1958" spans="1:6" x14ac:dyDescent="0.25">
      <c r="A1958" s="1">
        <v>44508</v>
      </c>
      <c r="B1958">
        <v>2.12</v>
      </c>
      <c r="C1958" s="1">
        <v>44508</v>
      </c>
      <c r="D1958">
        <v>1.92</v>
      </c>
      <c r="E1958" s="1">
        <v>44379</v>
      </c>
      <c r="F1958">
        <v>0.25</v>
      </c>
    </row>
    <row r="1959" spans="1:6" x14ac:dyDescent="0.25">
      <c r="A1959" s="1">
        <v>44509</v>
      </c>
      <c r="B1959">
        <v>2.2000000000000002</v>
      </c>
      <c r="C1959" s="1">
        <v>44509</v>
      </c>
      <c r="D1959">
        <v>2.16</v>
      </c>
      <c r="E1959" s="1">
        <v>44382</v>
      </c>
      <c r="F1959">
        <v>0.25</v>
      </c>
    </row>
    <row r="1960" spans="1:6" x14ac:dyDescent="0.25">
      <c r="A1960" s="1">
        <v>44510</v>
      </c>
      <c r="B1960">
        <v>2.2000000000000002</v>
      </c>
      <c r="C1960" s="1">
        <v>44510</v>
      </c>
      <c r="D1960">
        <v>1.8469</v>
      </c>
      <c r="E1960" s="1">
        <v>44383</v>
      </c>
      <c r="F1960">
        <v>0.25</v>
      </c>
    </row>
    <row r="1961" spans="1:6" x14ac:dyDescent="0.25">
      <c r="A1961" s="1">
        <v>44511</v>
      </c>
      <c r="B1961">
        <v>2.15</v>
      </c>
      <c r="C1961" s="1">
        <v>44511</v>
      </c>
      <c r="D1961">
        <v>1.8978999999999999</v>
      </c>
      <c r="E1961" s="1">
        <v>44384</v>
      </c>
      <c r="F1961">
        <v>0.25</v>
      </c>
    </row>
    <row r="1962" spans="1:6" x14ac:dyDescent="0.25">
      <c r="A1962" s="1">
        <v>44512</v>
      </c>
      <c r="B1962">
        <v>2.15</v>
      </c>
      <c r="C1962" s="1">
        <v>44512</v>
      </c>
      <c r="D1962">
        <v>1.8673999999999999</v>
      </c>
      <c r="E1962" s="1">
        <v>44385</v>
      </c>
      <c r="F1962">
        <v>0.25</v>
      </c>
    </row>
    <row r="1963" spans="1:6" x14ac:dyDescent="0.25">
      <c r="A1963" s="1">
        <v>44515</v>
      </c>
      <c r="B1963">
        <v>2.15</v>
      </c>
      <c r="C1963" s="1">
        <v>44515</v>
      </c>
      <c r="D1963">
        <v>1.81</v>
      </c>
      <c r="E1963" s="1">
        <v>44386</v>
      </c>
      <c r="F1963">
        <v>0.25</v>
      </c>
    </row>
    <row r="1964" spans="1:6" x14ac:dyDescent="0.25">
      <c r="A1964" s="1">
        <v>44516</v>
      </c>
      <c r="B1964">
        <v>2.15</v>
      </c>
      <c r="C1964" s="1">
        <v>44516</v>
      </c>
      <c r="D1964">
        <v>1.94</v>
      </c>
      <c r="E1964" s="1">
        <v>44389</v>
      </c>
      <c r="F1964">
        <v>0.25</v>
      </c>
    </row>
    <row r="1965" spans="1:6" x14ac:dyDescent="0.25">
      <c r="A1965" s="1">
        <v>44517</v>
      </c>
      <c r="B1965">
        <v>2.21</v>
      </c>
      <c r="C1965" s="1">
        <v>44517</v>
      </c>
      <c r="D1965">
        <v>2.1987999999999999</v>
      </c>
      <c r="E1965" s="1">
        <v>44390</v>
      </c>
      <c r="F1965">
        <v>0.25</v>
      </c>
    </row>
    <row r="1966" spans="1:6" x14ac:dyDescent="0.25">
      <c r="A1966" s="1">
        <v>44518</v>
      </c>
      <c r="B1966">
        <v>2.2200000000000002</v>
      </c>
      <c r="C1966" s="1">
        <v>44518</v>
      </c>
      <c r="D1966">
        <v>1.95</v>
      </c>
      <c r="E1966" s="1">
        <v>44391</v>
      </c>
      <c r="F1966">
        <v>0.25</v>
      </c>
    </row>
    <row r="1967" spans="1:6" x14ac:dyDescent="0.25">
      <c r="A1967" s="1">
        <v>44519</v>
      </c>
      <c r="B1967">
        <v>2.2000000000000002</v>
      </c>
      <c r="C1967" s="1">
        <v>44519</v>
      </c>
      <c r="D1967">
        <v>2.02</v>
      </c>
      <c r="E1967" s="1">
        <v>44392</v>
      </c>
      <c r="F1967">
        <v>0.25</v>
      </c>
    </row>
    <row r="1968" spans="1:6" x14ac:dyDescent="0.25">
      <c r="A1968" s="1">
        <v>44522</v>
      </c>
      <c r="B1968">
        <v>2.1478000000000002</v>
      </c>
      <c r="C1968" s="1">
        <v>44522</v>
      </c>
      <c r="D1968">
        <v>1.98</v>
      </c>
      <c r="E1968" s="1">
        <v>44393</v>
      </c>
      <c r="F1968">
        <v>0.25</v>
      </c>
    </row>
    <row r="1969" spans="1:6" x14ac:dyDescent="0.25">
      <c r="A1969" s="1">
        <v>44523</v>
      </c>
      <c r="B1969">
        <v>2.1960999999999999</v>
      </c>
      <c r="C1969" s="1">
        <v>44523</v>
      </c>
      <c r="D1969">
        <v>2.2200000000000002</v>
      </c>
      <c r="E1969" s="1">
        <v>44396</v>
      </c>
      <c r="F1969">
        <v>0.25</v>
      </c>
    </row>
    <row r="1970" spans="1:6" x14ac:dyDescent="0.25">
      <c r="A1970" s="1">
        <v>44524</v>
      </c>
      <c r="B1970">
        <v>2.5</v>
      </c>
      <c r="C1970" s="1">
        <v>44524</v>
      </c>
      <c r="D1970">
        <v>1.81</v>
      </c>
      <c r="E1970" s="1">
        <v>44397</v>
      </c>
      <c r="F1970">
        <v>0.25</v>
      </c>
    </row>
    <row r="1971" spans="1:6" x14ac:dyDescent="0.25">
      <c r="A1971" s="1">
        <v>44525</v>
      </c>
      <c r="B1971">
        <v>2.5</v>
      </c>
      <c r="C1971" s="1">
        <v>44525</v>
      </c>
      <c r="D1971">
        <v>1.85</v>
      </c>
      <c r="E1971" s="1">
        <v>44398</v>
      </c>
      <c r="F1971">
        <v>0.25</v>
      </c>
    </row>
    <row r="1972" spans="1:6" x14ac:dyDescent="0.25">
      <c r="A1972" s="1">
        <v>44526</v>
      </c>
      <c r="B1972">
        <v>2.4500000000000002</v>
      </c>
      <c r="C1972" s="1">
        <v>44526</v>
      </c>
      <c r="D1972">
        <v>1.73</v>
      </c>
      <c r="E1972" s="1">
        <v>44399</v>
      </c>
      <c r="F1972">
        <v>0.25</v>
      </c>
    </row>
    <row r="1973" spans="1:6" x14ac:dyDescent="0.25">
      <c r="A1973" s="1">
        <v>44529</v>
      </c>
      <c r="B1973">
        <v>2.5</v>
      </c>
      <c r="C1973" s="1">
        <v>44529</v>
      </c>
      <c r="D1973">
        <v>1.87</v>
      </c>
      <c r="E1973" s="1">
        <v>44400</v>
      </c>
      <c r="F1973">
        <v>0.25</v>
      </c>
    </row>
    <row r="1974" spans="1:6" x14ac:dyDescent="0.25">
      <c r="A1974" s="1">
        <v>44530</v>
      </c>
      <c r="B1974">
        <v>2.5</v>
      </c>
      <c r="C1974" s="1">
        <v>44530</v>
      </c>
      <c r="D1974">
        <v>2.2725</v>
      </c>
      <c r="E1974" s="1">
        <v>44403</v>
      </c>
      <c r="F1974">
        <v>0.25</v>
      </c>
    </row>
    <row r="1975" spans="1:6" x14ac:dyDescent="0.25">
      <c r="A1975" s="1">
        <v>44531</v>
      </c>
      <c r="B1975">
        <v>2.23</v>
      </c>
      <c r="C1975" s="1">
        <v>44531</v>
      </c>
      <c r="D1975">
        <v>2.04</v>
      </c>
      <c r="E1975" s="1">
        <v>44404</v>
      </c>
      <c r="F1975">
        <v>0.25</v>
      </c>
    </row>
    <row r="1976" spans="1:6" x14ac:dyDescent="0.25">
      <c r="A1976" s="1">
        <v>44532</v>
      </c>
      <c r="B1976">
        <v>2.15</v>
      </c>
      <c r="C1976" s="1">
        <v>44532</v>
      </c>
      <c r="D1976">
        <v>2.02</v>
      </c>
      <c r="E1976" s="1">
        <v>44405</v>
      </c>
      <c r="F1976">
        <v>0.25</v>
      </c>
    </row>
    <row r="1977" spans="1:6" x14ac:dyDescent="0.25">
      <c r="A1977" s="1">
        <v>44533</v>
      </c>
      <c r="B1977">
        <v>2.1</v>
      </c>
      <c r="C1977" s="1">
        <v>44533</v>
      </c>
      <c r="D1977">
        <v>1.93</v>
      </c>
      <c r="E1977" s="1">
        <v>44406</v>
      </c>
      <c r="F1977">
        <v>0.25</v>
      </c>
    </row>
    <row r="1978" spans="1:6" x14ac:dyDescent="0.25">
      <c r="A1978" s="1">
        <v>44536</v>
      </c>
      <c r="B1978">
        <v>2.1595</v>
      </c>
      <c r="C1978" s="1">
        <v>44536</v>
      </c>
      <c r="D1978">
        <v>1.83</v>
      </c>
      <c r="E1978" s="1">
        <v>44407</v>
      </c>
      <c r="F1978">
        <v>0.25</v>
      </c>
    </row>
    <row r="1979" spans="1:6" x14ac:dyDescent="0.25">
      <c r="A1979" s="1">
        <v>44537</v>
      </c>
      <c r="B1979">
        <v>2.17</v>
      </c>
      <c r="C1979" s="1">
        <v>44537</v>
      </c>
      <c r="D1979">
        <v>2.15</v>
      </c>
      <c r="E1979" s="1">
        <v>44410</v>
      </c>
      <c r="F1979">
        <v>0.25</v>
      </c>
    </row>
    <row r="1980" spans="1:6" x14ac:dyDescent="0.25">
      <c r="A1980" s="1">
        <v>44538</v>
      </c>
      <c r="B1980">
        <v>2.2477</v>
      </c>
      <c r="C1980" s="1">
        <v>44538</v>
      </c>
      <c r="D1980">
        <v>2.2000000000000002</v>
      </c>
      <c r="E1980" s="1">
        <v>44411</v>
      </c>
      <c r="F1980">
        <v>0.25</v>
      </c>
    </row>
    <row r="1981" spans="1:6" x14ac:dyDescent="0.25">
      <c r="A1981" s="1">
        <v>44539</v>
      </c>
      <c r="B1981">
        <v>2.2945000000000002</v>
      </c>
      <c r="C1981" s="1">
        <v>44539</v>
      </c>
      <c r="D1981">
        <v>2.1800000000000002</v>
      </c>
      <c r="E1981" s="1">
        <v>44412</v>
      </c>
      <c r="F1981">
        <v>0.25</v>
      </c>
    </row>
    <row r="1982" spans="1:6" x14ac:dyDescent="0.25">
      <c r="A1982" s="1">
        <v>44540</v>
      </c>
      <c r="B1982">
        <v>2.2200000000000002</v>
      </c>
      <c r="C1982" s="1">
        <v>44540</v>
      </c>
      <c r="D1982">
        <v>1.83</v>
      </c>
      <c r="E1982" s="1">
        <v>44413</v>
      </c>
      <c r="F1982">
        <v>0.25</v>
      </c>
    </row>
    <row r="1983" spans="1:6" x14ac:dyDescent="0.25">
      <c r="A1983" s="1">
        <v>44543</v>
      </c>
      <c r="B1983">
        <v>2.21</v>
      </c>
      <c r="C1983" s="1">
        <v>44543</v>
      </c>
      <c r="D1983">
        <v>2.12</v>
      </c>
      <c r="E1983" s="1">
        <v>44414</v>
      </c>
      <c r="F1983">
        <v>0.25</v>
      </c>
    </row>
    <row r="1984" spans="1:6" x14ac:dyDescent="0.25">
      <c r="A1984" s="1">
        <v>44544</v>
      </c>
      <c r="B1984">
        <v>2.2999999999999998</v>
      </c>
      <c r="C1984" s="1">
        <v>44544</v>
      </c>
      <c r="D1984">
        <v>2.21</v>
      </c>
      <c r="E1984" s="1">
        <v>44417</v>
      </c>
      <c r="F1984">
        <v>0.25</v>
      </c>
    </row>
    <row r="1985" spans="1:6" x14ac:dyDescent="0.25">
      <c r="A1985" s="1">
        <v>44545</v>
      </c>
      <c r="B1985">
        <v>2.25</v>
      </c>
      <c r="C1985" s="1">
        <v>44545</v>
      </c>
      <c r="D1985">
        <v>2.17</v>
      </c>
      <c r="E1985" s="1">
        <v>44418</v>
      </c>
      <c r="F1985">
        <v>0.25</v>
      </c>
    </row>
    <row r="1986" spans="1:6" x14ac:dyDescent="0.25">
      <c r="A1986" s="1">
        <v>44546</v>
      </c>
      <c r="B1986">
        <v>2.2999999999999998</v>
      </c>
      <c r="C1986" s="1">
        <v>44546</v>
      </c>
      <c r="D1986">
        <v>2.14</v>
      </c>
      <c r="E1986" s="1">
        <v>44419</v>
      </c>
      <c r="F1986">
        <v>0.25</v>
      </c>
    </row>
    <row r="1987" spans="1:6" x14ac:dyDescent="0.25">
      <c r="A1987" s="1">
        <v>44547</v>
      </c>
      <c r="B1987">
        <v>2.2999999999999998</v>
      </c>
      <c r="C1987" s="1">
        <v>44547</v>
      </c>
      <c r="D1987">
        <v>1.89</v>
      </c>
      <c r="E1987" s="1">
        <v>44420</v>
      </c>
      <c r="F1987">
        <v>0.25</v>
      </c>
    </row>
    <row r="1988" spans="1:6" x14ac:dyDescent="0.25">
      <c r="A1988" s="1">
        <v>44550</v>
      </c>
      <c r="B1988">
        <v>2.15</v>
      </c>
      <c r="C1988" s="1">
        <v>44550</v>
      </c>
      <c r="D1988">
        <v>2.0099999999999998</v>
      </c>
      <c r="E1988" s="1">
        <v>44421</v>
      </c>
      <c r="F1988">
        <v>0.25</v>
      </c>
    </row>
    <row r="1989" spans="1:6" x14ac:dyDescent="0.25">
      <c r="A1989" s="1">
        <v>44551</v>
      </c>
      <c r="B1989">
        <v>2.1002999999999998</v>
      </c>
      <c r="C1989" s="1">
        <v>44551</v>
      </c>
      <c r="D1989">
        <v>1.88</v>
      </c>
      <c r="E1989" s="1">
        <v>44424</v>
      </c>
      <c r="F1989">
        <v>0.25</v>
      </c>
    </row>
    <row r="1990" spans="1:6" x14ac:dyDescent="0.25">
      <c r="A1990" s="1">
        <v>44552</v>
      </c>
      <c r="B1990">
        <v>2.0413000000000001</v>
      </c>
      <c r="C1990" s="1">
        <v>44552</v>
      </c>
      <c r="D1990">
        <v>1.71</v>
      </c>
      <c r="E1990" s="1">
        <v>44425</v>
      </c>
      <c r="F1990">
        <v>0.25</v>
      </c>
    </row>
    <row r="1991" spans="1:6" x14ac:dyDescent="0.25">
      <c r="A1991" s="1">
        <v>44553</v>
      </c>
      <c r="B1991">
        <v>2.0183</v>
      </c>
      <c r="C1991" s="1">
        <v>44553</v>
      </c>
      <c r="D1991">
        <v>1.65</v>
      </c>
      <c r="E1991" s="1">
        <v>44426</v>
      </c>
      <c r="F1991">
        <v>0.25</v>
      </c>
    </row>
    <row r="1992" spans="1:6" x14ac:dyDescent="0.25">
      <c r="A1992" s="1">
        <v>44554</v>
      </c>
      <c r="B1992">
        <v>1.93</v>
      </c>
      <c r="C1992" s="1">
        <v>44554</v>
      </c>
      <c r="D1992">
        <v>1.85</v>
      </c>
      <c r="E1992" s="1">
        <v>44427</v>
      </c>
      <c r="F1992">
        <v>0.25</v>
      </c>
    </row>
    <row r="1993" spans="1:6" x14ac:dyDescent="0.25">
      <c r="A1993" s="1">
        <v>44557</v>
      </c>
      <c r="B1993">
        <v>2.2999999999999998</v>
      </c>
      <c r="C1993" s="1">
        <v>44557</v>
      </c>
      <c r="D1993">
        <v>1.79</v>
      </c>
      <c r="E1993" s="1">
        <v>44428</v>
      </c>
      <c r="F1993">
        <v>0.25</v>
      </c>
    </row>
    <row r="1994" spans="1:6" x14ac:dyDescent="0.25">
      <c r="A1994" s="1">
        <v>44558</v>
      </c>
      <c r="B1994">
        <v>3</v>
      </c>
      <c r="C1994" s="1">
        <v>44558</v>
      </c>
      <c r="D1994">
        <v>1.63</v>
      </c>
      <c r="E1994" s="1">
        <v>44431</v>
      </c>
      <c r="F1994">
        <v>0.25</v>
      </c>
    </row>
    <row r="1995" spans="1:6" x14ac:dyDescent="0.25">
      <c r="A1995" s="1">
        <v>44559</v>
      </c>
      <c r="B1995">
        <v>2.9</v>
      </c>
      <c r="C1995" s="1">
        <v>44559</v>
      </c>
      <c r="D1995">
        <v>1.35</v>
      </c>
      <c r="E1995" s="1">
        <v>44432</v>
      </c>
      <c r="F1995">
        <v>0.25</v>
      </c>
    </row>
    <row r="1996" spans="1:6" x14ac:dyDescent="0.25">
      <c r="A1996" s="1">
        <v>44560</v>
      </c>
      <c r="B1996">
        <v>3</v>
      </c>
      <c r="C1996" s="1">
        <v>44560</v>
      </c>
      <c r="D1996">
        <v>1.31</v>
      </c>
      <c r="E1996" s="1">
        <v>44433</v>
      </c>
      <c r="F1996">
        <v>0.25</v>
      </c>
    </row>
    <row r="1997" spans="1:6" x14ac:dyDescent="0.25">
      <c r="A1997" s="1">
        <v>44561</v>
      </c>
      <c r="B1997">
        <v>2.4</v>
      </c>
      <c r="C1997" s="1">
        <v>44561</v>
      </c>
      <c r="D1997">
        <v>2.5</v>
      </c>
      <c r="E1997" s="1">
        <v>44434</v>
      </c>
      <c r="F1997">
        <v>0.25</v>
      </c>
    </row>
    <row r="1998" spans="1:6" x14ac:dyDescent="0.25">
      <c r="A1998" s="1">
        <v>44565</v>
      </c>
      <c r="B1998">
        <v>2.15</v>
      </c>
      <c r="C1998" s="1">
        <v>44565</v>
      </c>
      <c r="D1998">
        <v>1.95</v>
      </c>
      <c r="E1998" s="1">
        <v>44435</v>
      </c>
      <c r="F1998">
        <v>0.25</v>
      </c>
    </row>
    <row r="1999" spans="1:6" x14ac:dyDescent="0.25">
      <c r="A1999" s="1">
        <v>44566</v>
      </c>
      <c r="B1999">
        <v>2.1747999999999998</v>
      </c>
      <c r="C1999" s="1">
        <v>44566</v>
      </c>
      <c r="D1999">
        <v>1.82</v>
      </c>
      <c r="E1999" s="1">
        <v>44438</v>
      </c>
      <c r="F1999">
        <v>0.25</v>
      </c>
    </row>
    <row r="2000" spans="1:6" x14ac:dyDescent="0.25">
      <c r="A2000" s="1">
        <v>44567</v>
      </c>
      <c r="B2000">
        <v>2.14</v>
      </c>
      <c r="C2000" s="1">
        <v>44567</v>
      </c>
      <c r="D2000">
        <v>1.74</v>
      </c>
      <c r="E2000" s="1">
        <v>44439</v>
      </c>
      <c r="F2000">
        <v>0.25</v>
      </c>
    </row>
    <row r="2001" spans="1:6" x14ac:dyDescent="0.25">
      <c r="A2001" s="1">
        <v>44568</v>
      </c>
      <c r="B2001">
        <v>2.12</v>
      </c>
      <c r="C2001" s="1">
        <v>44568</v>
      </c>
      <c r="D2001">
        <v>1.86</v>
      </c>
      <c r="E2001" s="1">
        <v>44440</v>
      </c>
      <c r="F2001">
        <v>0.25</v>
      </c>
    </row>
    <row r="2002" spans="1:6" x14ac:dyDescent="0.25">
      <c r="A2002" s="1">
        <v>44571</v>
      </c>
      <c r="B2002">
        <v>2.11</v>
      </c>
      <c r="C2002" s="1">
        <v>44571</v>
      </c>
      <c r="D2002">
        <v>1.9</v>
      </c>
      <c r="E2002" s="1">
        <v>44441</v>
      </c>
      <c r="F2002">
        <v>0.25</v>
      </c>
    </row>
    <row r="2003" spans="1:6" x14ac:dyDescent="0.25">
      <c r="A2003" s="1">
        <v>44572</v>
      </c>
      <c r="B2003">
        <v>2.15</v>
      </c>
      <c r="C2003" s="1">
        <v>44572</v>
      </c>
      <c r="D2003">
        <v>2.0099999999999998</v>
      </c>
      <c r="E2003" s="1">
        <v>44442</v>
      </c>
      <c r="F2003">
        <v>0.25</v>
      </c>
    </row>
    <row r="2004" spans="1:6" x14ac:dyDescent="0.25">
      <c r="A2004" s="1">
        <v>44573</v>
      </c>
      <c r="B2004">
        <v>2.15</v>
      </c>
      <c r="C2004" s="1">
        <v>44573</v>
      </c>
      <c r="D2004">
        <v>2</v>
      </c>
      <c r="E2004" s="1">
        <v>44445</v>
      </c>
      <c r="F2004">
        <v>0.25</v>
      </c>
    </row>
    <row r="2005" spans="1:6" x14ac:dyDescent="0.25">
      <c r="A2005" s="1">
        <v>44574</v>
      </c>
      <c r="B2005">
        <v>2.2000000000000002</v>
      </c>
      <c r="C2005" s="1">
        <v>44574</v>
      </c>
      <c r="D2005">
        <v>2.2719</v>
      </c>
      <c r="E2005" s="1">
        <v>44446</v>
      </c>
      <c r="F2005">
        <v>0.25</v>
      </c>
    </row>
    <row r="2006" spans="1:6" x14ac:dyDescent="0.25">
      <c r="A2006" s="1">
        <v>44575</v>
      </c>
      <c r="B2006">
        <v>2.2799999999999998</v>
      </c>
      <c r="C2006" s="1">
        <v>44575</v>
      </c>
      <c r="D2006">
        <v>2.25</v>
      </c>
      <c r="E2006" s="1">
        <v>44447</v>
      </c>
      <c r="F2006">
        <v>0.25</v>
      </c>
    </row>
    <row r="2007" spans="1:6" x14ac:dyDescent="0.25">
      <c r="A2007" s="1">
        <v>44578</v>
      </c>
      <c r="B2007">
        <v>2.2200000000000002</v>
      </c>
      <c r="C2007" s="1">
        <v>44578</v>
      </c>
      <c r="D2007">
        <v>2.13</v>
      </c>
      <c r="E2007" s="1">
        <v>44448</v>
      </c>
      <c r="F2007">
        <v>0.25</v>
      </c>
    </row>
    <row r="2008" spans="1:6" x14ac:dyDescent="0.25">
      <c r="A2008" s="1">
        <v>44579</v>
      </c>
      <c r="B2008">
        <v>2.2000000000000002</v>
      </c>
      <c r="C2008" s="1">
        <v>44579</v>
      </c>
      <c r="D2008">
        <v>1.94</v>
      </c>
      <c r="E2008" s="1">
        <v>44449</v>
      </c>
      <c r="F2008">
        <v>0.25</v>
      </c>
    </row>
    <row r="2009" spans="1:6" x14ac:dyDescent="0.25">
      <c r="A2009" s="1">
        <v>44580</v>
      </c>
      <c r="B2009">
        <v>2.1659999999999999</v>
      </c>
      <c r="C2009" s="1">
        <v>44580</v>
      </c>
      <c r="D2009">
        <v>2.06</v>
      </c>
      <c r="E2009" s="1">
        <v>44452</v>
      </c>
      <c r="F2009">
        <v>0.25</v>
      </c>
    </row>
    <row r="2010" spans="1:6" x14ac:dyDescent="0.25">
      <c r="A2010" s="1">
        <v>44581</v>
      </c>
      <c r="B2010">
        <v>2.17</v>
      </c>
      <c r="C2010" s="1">
        <v>44581</v>
      </c>
      <c r="D2010">
        <v>2.0699999999999998</v>
      </c>
      <c r="E2010" s="1">
        <v>44453</v>
      </c>
      <c r="F2010">
        <v>0.25</v>
      </c>
    </row>
    <row r="2011" spans="1:6" x14ac:dyDescent="0.25">
      <c r="A2011" s="1">
        <v>44582</v>
      </c>
      <c r="B2011">
        <v>2.15</v>
      </c>
      <c r="C2011" s="1">
        <v>44582</v>
      </c>
      <c r="D2011">
        <v>2.1</v>
      </c>
      <c r="E2011" s="1">
        <v>44454</v>
      </c>
      <c r="F2011">
        <v>0.25</v>
      </c>
    </row>
    <row r="2012" spans="1:6" x14ac:dyDescent="0.25">
      <c r="A2012" s="1">
        <v>44585</v>
      </c>
      <c r="B2012">
        <v>2.08</v>
      </c>
      <c r="C2012" s="1">
        <v>44585</v>
      </c>
      <c r="D2012">
        <v>1.95</v>
      </c>
      <c r="E2012" s="1">
        <v>44455</v>
      </c>
      <c r="F2012">
        <v>0.25</v>
      </c>
    </row>
    <row r="2013" spans="1:6" x14ac:dyDescent="0.25">
      <c r="A2013" s="1">
        <v>44586</v>
      </c>
      <c r="B2013">
        <v>2</v>
      </c>
      <c r="C2013" s="1">
        <v>44586</v>
      </c>
      <c r="D2013">
        <v>1.9418</v>
      </c>
      <c r="E2013" s="1">
        <v>44456</v>
      </c>
      <c r="F2013">
        <v>0.25</v>
      </c>
    </row>
    <row r="2014" spans="1:6" x14ac:dyDescent="0.25">
      <c r="A2014" s="1">
        <v>44587</v>
      </c>
      <c r="B2014">
        <v>2.04</v>
      </c>
      <c r="C2014" s="1">
        <v>44587</v>
      </c>
      <c r="D2014">
        <v>1.75</v>
      </c>
      <c r="E2014" s="1">
        <v>44459</v>
      </c>
      <c r="F2014">
        <v>0.25</v>
      </c>
    </row>
    <row r="2015" spans="1:6" x14ac:dyDescent="0.25">
      <c r="A2015" s="1">
        <v>44588</v>
      </c>
      <c r="B2015">
        <v>2.58</v>
      </c>
      <c r="C2015" s="1">
        <v>44588</v>
      </c>
      <c r="D2015">
        <v>1.6243000000000001</v>
      </c>
      <c r="E2015" s="1">
        <v>44460</v>
      </c>
      <c r="F2015">
        <v>0.25</v>
      </c>
    </row>
    <row r="2016" spans="1:6" x14ac:dyDescent="0.25">
      <c r="A2016" s="1">
        <v>44589</v>
      </c>
      <c r="B2016">
        <v>2.5499999999999998</v>
      </c>
      <c r="C2016" s="1">
        <v>44589</v>
      </c>
      <c r="D2016">
        <v>1.1998</v>
      </c>
      <c r="E2016" s="1">
        <v>44461</v>
      </c>
      <c r="F2016">
        <v>0.25</v>
      </c>
    </row>
    <row r="2017" spans="1:6" x14ac:dyDescent="0.25">
      <c r="A2017" s="1">
        <v>44590</v>
      </c>
      <c r="B2017">
        <v>2.2999999999999998</v>
      </c>
      <c r="C2017" s="1">
        <v>44590</v>
      </c>
      <c r="D2017">
        <v>1.24</v>
      </c>
      <c r="E2017" s="1">
        <v>44462</v>
      </c>
      <c r="F2017">
        <v>0.25</v>
      </c>
    </row>
    <row r="2018" spans="1:6" x14ac:dyDescent="0.25">
      <c r="A2018" s="1">
        <v>44591</v>
      </c>
      <c r="B2018">
        <v>2.27</v>
      </c>
      <c r="C2018" s="1">
        <v>44591</v>
      </c>
      <c r="D2018">
        <v>2.15</v>
      </c>
      <c r="E2018" s="1">
        <v>44463</v>
      </c>
      <c r="F2018">
        <v>0.25</v>
      </c>
    </row>
    <row r="2019" spans="1:6" x14ac:dyDescent="0.25">
      <c r="A2019" s="1">
        <v>44599</v>
      </c>
      <c r="B2019">
        <v>2.1800000000000002</v>
      </c>
      <c r="C2019" s="1">
        <v>44599</v>
      </c>
      <c r="D2019">
        <v>2.15</v>
      </c>
      <c r="E2019" s="1">
        <v>44466</v>
      </c>
      <c r="F2019">
        <v>0.25</v>
      </c>
    </row>
    <row r="2020" spans="1:6" x14ac:dyDescent="0.25">
      <c r="A2020" s="1">
        <v>44600</v>
      </c>
      <c r="B2020">
        <v>2.16</v>
      </c>
      <c r="C2020" s="1">
        <v>44600</v>
      </c>
      <c r="D2020">
        <v>2.0699999999999998</v>
      </c>
      <c r="E2020" s="1">
        <v>44467</v>
      </c>
      <c r="F2020">
        <v>0.25</v>
      </c>
    </row>
    <row r="2021" spans="1:6" x14ac:dyDescent="0.25">
      <c r="A2021" s="1">
        <v>44601</v>
      </c>
      <c r="B2021">
        <v>2.0499999999999998</v>
      </c>
      <c r="C2021" s="1">
        <v>44601</v>
      </c>
      <c r="D2021">
        <v>1.7407999999999999</v>
      </c>
      <c r="E2021" s="1">
        <v>44468</v>
      </c>
      <c r="F2021">
        <v>0.25</v>
      </c>
    </row>
    <row r="2022" spans="1:6" x14ac:dyDescent="0.25">
      <c r="A2022" s="1">
        <v>44602</v>
      </c>
      <c r="B2022">
        <v>2</v>
      </c>
      <c r="C2022" s="1">
        <v>44602</v>
      </c>
      <c r="D2022">
        <v>1.69</v>
      </c>
      <c r="E2022" s="1">
        <v>44469</v>
      </c>
      <c r="F2022">
        <v>0.25</v>
      </c>
    </row>
    <row r="2023" spans="1:6" x14ac:dyDescent="0.25">
      <c r="A2023" s="1">
        <v>44603</v>
      </c>
      <c r="B2023">
        <v>2</v>
      </c>
      <c r="C2023" s="1">
        <v>44603</v>
      </c>
      <c r="D2023">
        <v>1.83</v>
      </c>
      <c r="E2023" s="1">
        <v>44470</v>
      </c>
      <c r="F2023">
        <v>0.25</v>
      </c>
    </row>
    <row r="2024" spans="1:6" x14ac:dyDescent="0.25">
      <c r="A2024" s="1">
        <v>44606</v>
      </c>
      <c r="B2024">
        <v>2.02</v>
      </c>
      <c r="C2024" s="1">
        <v>44606</v>
      </c>
      <c r="D2024">
        <v>1.88</v>
      </c>
      <c r="E2024" s="1">
        <v>44473</v>
      </c>
      <c r="F2024">
        <v>0.25</v>
      </c>
    </row>
    <row r="2025" spans="1:6" x14ac:dyDescent="0.25">
      <c r="A2025" s="1">
        <v>44607</v>
      </c>
      <c r="B2025">
        <v>2.0499999999999998</v>
      </c>
      <c r="C2025" s="1">
        <v>44607</v>
      </c>
      <c r="D2025">
        <v>1.83</v>
      </c>
      <c r="E2025" s="1">
        <v>44474</v>
      </c>
      <c r="F2025">
        <v>0.25</v>
      </c>
    </row>
    <row r="2026" spans="1:6" x14ac:dyDescent="0.25">
      <c r="A2026" s="1">
        <v>44608</v>
      </c>
      <c r="B2026">
        <v>2.0760000000000001</v>
      </c>
      <c r="C2026" s="1">
        <v>44608</v>
      </c>
      <c r="D2026">
        <v>1.96</v>
      </c>
      <c r="E2026" s="1">
        <v>44475</v>
      </c>
      <c r="F2026">
        <v>0.25</v>
      </c>
    </row>
    <row r="2027" spans="1:6" x14ac:dyDescent="0.25">
      <c r="A2027" s="1">
        <v>44609</v>
      </c>
      <c r="B2027">
        <v>2.0499999999999998</v>
      </c>
      <c r="C2027" s="1">
        <v>44609</v>
      </c>
      <c r="D2027">
        <v>1.88</v>
      </c>
      <c r="E2027" s="1">
        <v>44476</v>
      </c>
      <c r="F2027">
        <v>0.25</v>
      </c>
    </row>
    <row r="2028" spans="1:6" x14ac:dyDescent="0.25">
      <c r="A2028" s="1">
        <v>44610</v>
      </c>
      <c r="B2028">
        <v>2.1</v>
      </c>
      <c r="C2028" s="1">
        <v>44610</v>
      </c>
      <c r="D2028">
        <v>2.15</v>
      </c>
      <c r="E2028" s="1">
        <v>44477</v>
      </c>
      <c r="F2028">
        <v>0.25</v>
      </c>
    </row>
    <row r="2029" spans="1:6" x14ac:dyDescent="0.25">
      <c r="A2029" s="1">
        <v>44613</v>
      </c>
      <c r="B2029">
        <v>2.15</v>
      </c>
      <c r="C2029" s="1">
        <v>44613</v>
      </c>
      <c r="D2029">
        <v>2.2200000000000002</v>
      </c>
      <c r="E2029" s="1">
        <v>44480</v>
      </c>
      <c r="F2029">
        <v>0.25</v>
      </c>
    </row>
    <row r="2030" spans="1:6" x14ac:dyDescent="0.25">
      <c r="A2030" s="1">
        <v>44614</v>
      </c>
      <c r="B2030">
        <v>2.4</v>
      </c>
      <c r="C2030" s="1">
        <v>44614</v>
      </c>
      <c r="D2030">
        <v>2.0499999999999998</v>
      </c>
      <c r="E2030" s="1">
        <v>44481</v>
      </c>
      <c r="F2030">
        <v>0.25</v>
      </c>
    </row>
    <row r="2031" spans="1:6" x14ac:dyDescent="0.25">
      <c r="A2031" s="1">
        <v>44615</v>
      </c>
      <c r="B2031">
        <v>2.4500000000000002</v>
      </c>
      <c r="C2031" s="1">
        <v>44615</v>
      </c>
      <c r="D2031">
        <v>2.06</v>
      </c>
      <c r="E2031" s="1">
        <v>44482</v>
      </c>
      <c r="F2031">
        <v>0.25</v>
      </c>
    </row>
    <row r="2032" spans="1:6" x14ac:dyDescent="0.25">
      <c r="A2032" s="1">
        <v>44616</v>
      </c>
      <c r="B2032">
        <v>2.4500000000000002</v>
      </c>
      <c r="C2032" s="1">
        <v>44616</v>
      </c>
      <c r="D2032">
        <v>2.2385999999999999</v>
      </c>
      <c r="E2032" s="1">
        <v>44483</v>
      </c>
      <c r="F2032">
        <v>0.25</v>
      </c>
    </row>
    <row r="2033" spans="1:6" x14ac:dyDescent="0.25">
      <c r="A2033" s="1">
        <v>44617</v>
      </c>
      <c r="B2033">
        <v>2.5</v>
      </c>
      <c r="C2033" s="1">
        <v>44617</v>
      </c>
      <c r="D2033">
        <v>2.25</v>
      </c>
      <c r="E2033" s="1">
        <v>44484</v>
      </c>
      <c r="F2033">
        <v>0.25</v>
      </c>
    </row>
    <row r="2034" spans="1:6" x14ac:dyDescent="0.25">
      <c r="A2034" s="1">
        <v>44620</v>
      </c>
      <c r="B2034">
        <v>2.38</v>
      </c>
      <c r="C2034" s="1">
        <v>44620</v>
      </c>
      <c r="D2034">
        <v>2.36</v>
      </c>
      <c r="E2034" s="1">
        <v>44487</v>
      </c>
      <c r="F2034">
        <v>0.25</v>
      </c>
    </row>
    <row r="2035" spans="1:6" x14ac:dyDescent="0.25">
      <c r="A2035" s="1">
        <v>44621</v>
      </c>
      <c r="B2035">
        <v>2.1</v>
      </c>
      <c r="C2035" s="1">
        <v>44621</v>
      </c>
      <c r="D2035">
        <v>1.82</v>
      </c>
      <c r="E2035" s="1">
        <v>44488</v>
      </c>
      <c r="F2035">
        <v>0.25</v>
      </c>
    </row>
    <row r="2036" spans="1:6" x14ac:dyDescent="0.25">
      <c r="A2036" s="1">
        <v>44622</v>
      </c>
      <c r="B2036">
        <v>2.09</v>
      </c>
      <c r="C2036" s="1">
        <v>44622</v>
      </c>
      <c r="D2036">
        <v>1.9</v>
      </c>
      <c r="E2036" s="1">
        <v>44489</v>
      </c>
      <c r="F2036">
        <v>0.25</v>
      </c>
    </row>
    <row r="2037" spans="1:6" x14ac:dyDescent="0.25">
      <c r="A2037" s="1">
        <v>44623</v>
      </c>
      <c r="B2037">
        <v>2.0499999999999998</v>
      </c>
      <c r="C2037" s="1">
        <v>44623</v>
      </c>
      <c r="D2037">
        <v>1.75</v>
      </c>
      <c r="E2037" s="1">
        <v>44490</v>
      </c>
      <c r="F2037">
        <v>0.25</v>
      </c>
    </row>
    <row r="2038" spans="1:6" x14ac:dyDescent="0.25">
      <c r="A2038" s="1">
        <v>44624</v>
      </c>
      <c r="B2038">
        <v>2.0499999999999998</v>
      </c>
      <c r="C2038" s="1">
        <v>44624</v>
      </c>
      <c r="D2038">
        <v>1.93</v>
      </c>
      <c r="E2038" s="1">
        <v>44491</v>
      </c>
      <c r="F2038">
        <v>0.25</v>
      </c>
    </row>
    <row r="2039" spans="1:6" x14ac:dyDescent="0.25">
      <c r="A2039" s="1">
        <v>44627</v>
      </c>
      <c r="B2039">
        <v>2.06</v>
      </c>
      <c r="C2039" s="1">
        <v>44627</v>
      </c>
      <c r="D2039">
        <v>2.06</v>
      </c>
      <c r="E2039" s="1">
        <v>44494</v>
      </c>
      <c r="F2039">
        <v>0.25</v>
      </c>
    </row>
    <row r="2040" spans="1:6" x14ac:dyDescent="0.25">
      <c r="A2040" s="1">
        <v>44628</v>
      </c>
      <c r="B2040">
        <v>2.1</v>
      </c>
      <c r="C2040" s="1">
        <v>44628</v>
      </c>
      <c r="D2040">
        <v>2.0699999999999998</v>
      </c>
      <c r="E2040" s="1">
        <v>44495</v>
      </c>
      <c r="F2040">
        <v>0.25</v>
      </c>
    </row>
    <row r="2041" spans="1:6" x14ac:dyDescent="0.25">
      <c r="A2041" s="1">
        <v>44629</v>
      </c>
      <c r="B2041">
        <v>2.09</v>
      </c>
      <c r="C2041" s="1">
        <v>44629</v>
      </c>
      <c r="D2041">
        <v>2.0365000000000002</v>
      </c>
      <c r="E2041" s="1">
        <v>44496</v>
      </c>
      <c r="F2041">
        <v>0.25</v>
      </c>
    </row>
    <row r="2042" spans="1:6" x14ac:dyDescent="0.25">
      <c r="A2042" s="1">
        <v>44630</v>
      </c>
      <c r="B2042">
        <v>2.1</v>
      </c>
      <c r="C2042" s="1">
        <v>44630</v>
      </c>
      <c r="D2042">
        <v>2.04</v>
      </c>
      <c r="E2042" s="1">
        <v>44497</v>
      </c>
      <c r="F2042">
        <v>0.25</v>
      </c>
    </row>
    <row r="2043" spans="1:6" x14ac:dyDescent="0.25">
      <c r="A2043" s="1">
        <v>44631</v>
      </c>
      <c r="B2043">
        <v>2.1480999999999999</v>
      </c>
      <c r="C2043" s="1">
        <v>44631</v>
      </c>
      <c r="D2043">
        <v>2.06</v>
      </c>
      <c r="E2043" s="1">
        <v>44498</v>
      </c>
      <c r="F2043">
        <v>0.25</v>
      </c>
    </row>
    <row r="2044" spans="1:6" x14ac:dyDescent="0.25">
      <c r="A2044" s="1">
        <v>44634</v>
      </c>
      <c r="B2044">
        <v>2.15</v>
      </c>
      <c r="C2044" s="1">
        <v>44634</v>
      </c>
      <c r="D2044">
        <v>2.08</v>
      </c>
      <c r="E2044" s="1">
        <v>44501</v>
      </c>
      <c r="F2044">
        <v>0.25</v>
      </c>
    </row>
    <row r="2045" spans="1:6" x14ac:dyDescent="0.25">
      <c r="A2045" s="1">
        <v>44635</v>
      </c>
      <c r="B2045">
        <v>2.2000000000000002</v>
      </c>
      <c r="C2045" s="1">
        <v>44635</v>
      </c>
      <c r="D2045">
        <v>2.08</v>
      </c>
      <c r="E2045" s="1">
        <v>44502</v>
      </c>
      <c r="F2045">
        <v>0.25</v>
      </c>
    </row>
    <row r="2046" spans="1:6" x14ac:dyDescent="0.25">
      <c r="A2046" s="1">
        <v>44636</v>
      </c>
      <c r="B2046">
        <v>2.2000000000000002</v>
      </c>
      <c r="C2046" s="1">
        <v>44636</v>
      </c>
      <c r="D2046">
        <v>2.0520999999999998</v>
      </c>
      <c r="E2046" s="1">
        <v>44503</v>
      </c>
      <c r="F2046">
        <v>0.25</v>
      </c>
    </row>
    <row r="2047" spans="1:6" x14ac:dyDescent="0.25">
      <c r="A2047" s="1">
        <v>44637</v>
      </c>
      <c r="B2047">
        <v>2.17</v>
      </c>
      <c r="C2047" s="1">
        <v>44637</v>
      </c>
      <c r="D2047">
        <v>2.02</v>
      </c>
      <c r="E2047" s="1">
        <v>44504</v>
      </c>
      <c r="F2047">
        <v>0.25</v>
      </c>
    </row>
    <row r="2048" spans="1:6" x14ac:dyDescent="0.25">
      <c r="A2048" s="1">
        <v>44638</v>
      </c>
      <c r="B2048">
        <v>2.13</v>
      </c>
      <c r="C2048" s="1">
        <v>44638</v>
      </c>
      <c r="D2048">
        <v>2.0099999999999998</v>
      </c>
      <c r="E2048" s="1">
        <v>44505</v>
      </c>
      <c r="F2048">
        <v>0.25</v>
      </c>
    </row>
    <row r="2049" spans="1:6" x14ac:dyDescent="0.25">
      <c r="A2049" s="1">
        <v>44641</v>
      </c>
      <c r="B2049">
        <v>2.17</v>
      </c>
      <c r="C2049" s="1">
        <v>44641</v>
      </c>
      <c r="D2049">
        <v>2.0299999999999998</v>
      </c>
      <c r="E2049" s="1">
        <v>44508</v>
      </c>
      <c r="F2049">
        <v>0.25</v>
      </c>
    </row>
    <row r="2050" spans="1:6" x14ac:dyDescent="0.25">
      <c r="A2050" s="1">
        <v>44642</v>
      </c>
      <c r="B2050">
        <v>2.1800000000000002</v>
      </c>
      <c r="C2050" s="1">
        <v>44642</v>
      </c>
      <c r="D2050">
        <v>1.97</v>
      </c>
      <c r="E2050" s="1">
        <v>44509</v>
      </c>
      <c r="F2050">
        <v>0.25</v>
      </c>
    </row>
    <row r="2051" spans="1:6" x14ac:dyDescent="0.25">
      <c r="A2051" s="1">
        <v>44643</v>
      </c>
      <c r="B2051">
        <v>2.15</v>
      </c>
      <c r="C2051" s="1">
        <v>44643</v>
      </c>
      <c r="D2051">
        <v>2.0299999999999998</v>
      </c>
      <c r="E2051" s="1">
        <v>44510</v>
      </c>
      <c r="F2051">
        <v>0.25</v>
      </c>
    </row>
    <row r="2052" spans="1:6" x14ac:dyDescent="0.25">
      <c r="A2052" s="1">
        <v>44644</v>
      </c>
      <c r="B2052">
        <v>2.09</v>
      </c>
      <c r="C2052" s="1">
        <v>44644</v>
      </c>
      <c r="D2052">
        <v>2.0211000000000001</v>
      </c>
      <c r="E2052" s="1">
        <v>44511</v>
      </c>
      <c r="F2052">
        <v>0.25</v>
      </c>
    </row>
    <row r="2053" spans="1:6" x14ac:dyDescent="0.25">
      <c r="A2053" s="1">
        <v>44645</v>
      </c>
      <c r="B2053">
        <v>2.6</v>
      </c>
      <c r="C2053" s="1">
        <v>44645</v>
      </c>
      <c r="D2053">
        <v>2.0099999999999998</v>
      </c>
      <c r="E2053" s="1">
        <v>44512</v>
      </c>
      <c r="F2053">
        <v>0.25</v>
      </c>
    </row>
    <row r="2054" spans="1:6" x14ac:dyDescent="0.25">
      <c r="A2054" s="1">
        <v>44648</v>
      </c>
      <c r="B2054">
        <v>2.41</v>
      </c>
      <c r="C2054" s="1">
        <v>44648</v>
      </c>
      <c r="D2054">
        <v>1.9569000000000001</v>
      </c>
      <c r="E2054" s="1">
        <v>44515</v>
      </c>
      <c r="F2054">
        <v>0.25</v>
      </c>
    </row>
    <row r="2055" spans="1:6" x14ac:dyDescent="0.25">
      <c r="A2055" s="1">
        <v>44649</v>
      </c>
      <c r="B2055">
        <v>3.1</v>
      </c>
      <c r="C2055" s="1">
        <v>44649</v>
      </c>
      <c r="D2055">
        <v>1.732</v>
      </c>
      <c r="E2055" s="1">
        <v>44516</v>
      </c>
      <c r="F2055">
        <v>0.25</v>
      </c>
    </row>
    <row r="2056" spans="1:6" x14ac:dyDescent="0.25">
      <c r="A2056" s="1">
        <v>44650</v>
      </c>
      <c r="B2056">
        <v>3.1</v>
      </c>
      <c r="C2056" s="1">
        <v>44650</v>
      </c>
      <c r="D2056">
        <v>1.5562</v>
      </c>
      <c r="E2056" s="1">
        <v>44517</v>
      </c>
      <c r="F2056">
        <v>0.25</v>
      </c>
    </row>
    <row r="2057" spans="1:6" x14ac:dyDescent="0.25">
      <c r="A2057" s="1">
        <v>44651</v>
      </c>
      <c r="B2057">
        <v>2.5249999999999999</v>
      </c>
      <c r="C2057" s="1">
        <v>44651</v>
      </c>
      <c r="D2057">
        <v>2.15</v>
      </c>
      <c r="E2057" s="1">
        <v>44518</v>
      </c>
      <c r="F2057">
        <v>0.25</v>
      </c>
    </row>
    <row r="2058" spans="1:6" x14ac:dyDescent="0.25">
      <c r="A2058" s="1">
        <v>44652</v>
      </c>
      <c r="B2058">
        <v>2.1</v>
      </c>
      <c r="C2058" s="1">
        <v>44652</v>
      </c>
      <c r="D2058">
        <v>1.61</v>
      </c>
      <c r="E2058" s="1">
        <v>44519</v>
      </c>
      <c r="F2058">
        <v>0.25</v>
      </c>
    </row>
    <row r="2059" spans="1:6" x14ac:dyDescent="0.25">
      <c r="A2059" s="1">
        <v>44653</v>
      </c>
      <c r="B2059">
        <v>1.82</v>
      </c>
      <c r="C2059" s="1">
        <v>44653</v>
      </c>
      <c r="D2059">
        <v>1.3</v>
      </c>
      <c r="E2059" s="1">
        <v>44522</v>
      </c>
      <c r="F2059">
        <v>0.25</v>
      </c>
    </row>
    <row r="2060" spans="1:6" x14ac:dyDescent="0.25">
      <c r="A2060" s="1">
        <v>44657</v>
      </c>
      <c r="B2060">
        <v>2.1</v>
      </c>
      <c r="C2060" s="1">
        <v>44657</v>
      </c>
      <c r="D2060">
        <v>1.8595999999999999</v>
      </c>
      <c r="E2060" s="1">
        <v>44523</v>
      </c>
      <c r="F2060">
        <v>0.25</v>
      </c>
    </row>
    <row r="2061" spans="1:6" x14ac:dyDescent="0.25">
      <c r="A2061" s="1">
        <v>44658</v>
      </c>
      <c r="B2061">
        <v>2.1</v>
      </c>
      <c r="C2061" s="1">
        <v>44658</v>
      </c>
      <c r="D2061">
        <v>1.84</v>
      </c>
      <c r="E2061" s="1">
        <v>44524</v>
      </c>
      <c r="F2061">
        <v>0.25</v>
      </c>
    </row>
    <row r="2062" spans="1:6" x14ac:dyDescent="0.25">
      <c r="A2062" s="1">
        <v>44659</v>
      </c>
      <c r="B2062">
        <v>2</v>
      </c>
      <c r="C2062" s="1">
        <v>44659</v>
      </c>
      <c r="D2062">
        <v>1.76</v>
      </c>
      <c r="E2062" s="1">
        <v>44525</v>
      </c>
      <c r="F2062">
        <v>0.25</v>
      </c>
    </row>
    <row r="2063" spans="1:6" x14ac:dyDescent="0.25">
      <c r="A2063" s="1">
        <v>44662</v>
      </c>
      <c r="B2063">
        <v>2</v>
      </c>
      <c r="C2063" s="1">
        <v>44662</v>
      </c>
      <c r="D2063">
        <v>1.8645</v>
      </c>
      <c r="E2063" s="1">
        <v>44526</v>
      </c>
      <c r="F2063">
        <v>0.25</v>
      </c>
    </row>
    <row r="2064" spans="1:6" x14ac:dyDescent="0.25">
      <c r="A2064" s="1">
        <v>44663</v>
      </c>
      <c r="B2064">
        <v>2</v>
      </c>
      <c r="C2064" s="1">
        <v>44663</v>
      </c>
      <c r="D2064">
        <v>1.79</v>
      </c>
      <c r="E2064" s="1">
        <v>44529</v>
      </c>
      <c r="F2064">
        <v>0.25</v>
      </c>
    </row>
    <row r="2065" spans="1:6" x14ac:dyDescent="0.25">
      <c r="A2065" s="1">
        <v>44664</v>
      </c>
      <c r="B2065">
        <v>1.96</v>
      </c>
      <c r="C2065" s="1">
        <v>44664</v>
      </c>
      <c r="D2065">
        <v>1.66</v>
      </c>
      <c r="E2065" s="1">
        <v>44530</v>
      </c>
      <c r="F2065">
        <v>0.25</v>
      </c>
    </row>
    <row r="2066" spans="1:6" x14ac:dyDescent="0.25">
      <c r="A2066" s="1">
        <v>44665</v>
      </c>
      <c r="B2066">
        <v>1.95</v>
      </c>
      <c r="C2066" s="1">
        <v>44665</v>
      </c>
      <c r="D2066">
        <v>1.56</v>
      </c>
      <c r="E2066" s="1">
        <v>44531</v>
      </c>
      <c r="F2066">
        <v>0.25</v>
      </c>
    </row>
    <row r="2067" spans="1:6" x14ac:dyDescent="0.25">
      <c r="A2067" s="1">
        <v>44666</v>
      </c>
      <c r="B2067">
        <v>1.86</v>
      </c>
      <c r="C2067" s="1">
        <v>44666</v>
      </c>
      <c r="D2067">
        <v>1.35</v>
      </c>
      <c r="E2067" s="1">
        <v>44532</v>
      </c>
      <c r="F2067">
        <v>0.25</v>
      </c>
    </row>
    <row r="2068" spans="1:6" x14ac:dyDescent="0.25">
      <c r="A2068" s="1">
        <v>44669</v>
      </c>
      <c r="B2068">
        <v>1.9</v>
      </c>
      <c r="C2068" s="1">
        <v>44669</v>
      </c>
      <c r="D2068">
        <v>1.41</v>
      </c>
      <c r="E2068" s="1">
        <v>44533</v>
      </c>
      <c r="F2068">
        <v>0.25</v>
      </c>
    </row>
    <row r="2069" spans="1:6" x14ac:dyDescent="0.25">
      <c r="A2069" s="1">
        <v>44670</v>
      </c>
      <c r="B2069">
        <v>1.85</v>
      </c>
      <c r="C2069" s="1">
        <v>44670</v>
      </c>
      <c r="D2069">
        <v>1.31</v>
      </c>
      <c r="E2069" s="1">
        <v>44536</v>
      </c>
      <c r="F2069">
        <v>0.25</v>
      </c>
    </row>
    <row r="2070" spans="1:6" x14ac:dyDescent="0.25">
      <c r="A2070" s="1">
        <v>44671</v>
      </c>
      <c r="B2070">
        <v>1.85</v>
      </c>
      <c r="C2070" s="1">
        <v>44671</v>
      </c>
      <c r="D2070">
        <v>1.3170999999999999</v>
      </c>
      <c r="E2070" s="1">
        <v>44537</v>
      </c>
      <c r="F2070">
        <v>0.25</v>
      </c>
    </row>
    <row r="2071" spans="1:6" x14ac:dyDescent="0.25">
      <c r="A2071" s="1">
        <v>44672</v>
      </c>
      <c r="B2071">
        <v>1.77</v>
      </c>
      <c r="C2071" s="1">
        <v>44672</v>
      </c>
      <c r="D2071">
        <v>1.3</v>
      </c>
      <c r="E2071" s="1">
        <v>44538</v>
      </c>
      <c r="F2071">
        <v>0.25</v>
      </c>
    </row>
    <row r="2072" spans="1:6" x14ac:dyDescent="0.25">
      <c r="A2072" s="1">
        <v>44673</v>
      </c>
      <c r="B2072">
        <v>1.7</v>
      </c>
      <c r="C2072" s="1">
        <v>44673</v>
      </c>
      <c r="D2072">
        <v>1.26</v>
      </c>
      <c r="E2072" s="1">
        <v>44539</v>
      </c>
      <c r="F2072">
        <v>0.25</v>
      </c>
    </row>
    <row r="2073" spans="1:6" x14ac:dyDescent="0.25">
      <c r="A2073" s="1">
        <v>44675</v>
      </c>
      <c r="B2073">
        <v>1.8</v>
      </c>
      <c r="C2073" s="1">
        <v>44675</v>
      </c>
      <c r="D2073">
        <v>1.3</v>
      </c>
      <c r="E2073" s="1">
        <v>44540</v>
      </c>
      <c r="F2073">
        <v>0.25</v>
      </c>
    </row>
    <row r="2074" spans="1:6" x14ac:dyDescent="0.25">
      <c r="A2074" s="1">
        <v>44676</v>
      </c>
      <c r="B2074">
        <v>1.75</v>
      </c>
      <c r="C2074" s="1">
        <v>44676</v>
      </c>
      <c r="D2074">
        <v>1.3184</v>
      </c>
      <c r="E2074" s="1">
        <v>44543</v>
      </c>
      <c r="F2074">
        <v>0.25</v>
      </c>
    </row>
    <row r="2075" spans="1:6" x14ac:dyDescent="0.25">
      <c r="A2075" s="1">
        <v>44677</v>
      </c>
      <c r="B2075">
        <v>1.9</v>
      </c>
      <c r="C2075" s="1">
        <v>44677</v>
      </c>
      <c r="D2075">
        <v>1.32</v>
      </c>
      <c r="E2075" s="1">
        <v>44544</v>
      </c>
      <c r="F2075">
        <v>0.25</v>
      </c>
    </row>
    <row r="2076" spans="1:6" x14ac:dyDescent="0.25">
      <c r="A2076" s="1">
        <v>44678</v>
      </c>
      <c r="B2076">
        <v>2</v>
      </c>
      <c r="C2076" s="1">
        <v>44678</v>
      </c>
      <c r="D2076">
        <v>1.3146</v>
      </c>
      <c r="E2076" s="1">
        <v>44545</v>
      </c>
      <c r="F2076">
        <v>0.25</v>
      </c>
    </row>
    <row r="2077" spans="1:6" x14ac:dyDescent="0.25">
      <c r="A2077" s="1">
        <v>44679</v>
      </c>
      <c r="B2077">
        <v>2</v>
      </c>
      <c r="C2077" s="1">
        <v>44679</v>
      </c>
      <c r="D2077">
        <v>1.31</v>
      </c>
      <c r="E2077" s="1">
        <v>44546</v>
      </c>
      <c r="F2077">
        <v>0.25</v>
      </c>
    </row>
    <row r="2078" spans="1:6" x14ac:dyDescent="0.25">
      <c r="A2078" s="1">
        <v>44680</v>
      </c>
      <c r="B2078">
        <v>2.02</v>
      </c>
      <c r="C2078" s="1">
        <v>44680</v>
      </c>
      <c r="D2078">
        <v>1.9</v>
      </c>
      <c r="E2078" s="1">
        <v>44547</v>
      </c>
      <c r="F2078">
        <v>0.25</v>
      </c>
    </row>
    <row r="2079" spans="1:6" x14ac:dyDescent="0.25">
      <c r="A2079" s="1">
        <v>44686</v>
      </c>
      <c r="B2079">
        <v>1.8568</v>
      </c>
      <c r="C2079" s="1">
        <v>44686</v>
      </c>
      <c r="D2079">
        <v>1.79</v>
      </c>
      <c r="E2079" s="1">
        <v>44550</v>
      </c>
      <c r="F2079">
        <v>0.25</v>
      </c>
    </row>
    <row r="2080" spans="1:6" x14ac:dyDescent="0.25">
      <c r="A2080" s="1">
        <v>44687</v>
      </c>
      <c r="B2080">
        <v>1.8313999999999999</v>
      </c>
      <c r="C2080" s="1">
        <v>44687</v>
      </c>
      <c r="D2080">
        <v>1.34</v>
      </c>
      <c r="E2080" s="1">
        <v>44551</v>
      </c>
      <c r="F2080">
        <v>0.25</v>
      </c>
    </row>
    <row r="2081" spans="1:6" x14ac:dyDescent="0.25">
      <c r="A2081" s="1">
        <v>44688</v>
      </c>
      <c r="B2081">
        <v>1.6</v>
      </c>
      <c r="C2081" s="1">
        <v>44688</v>
      </c>
      <c r="D2081">
        <v>1.29</v>
      </c>
      <c r="E2081" s="1">
        <v>44552</v>
      </c>
      <c r="F2081">
        <v>0.25</v>
      </c>
    </row>
    <row r="2082" spans="1:6" x14ac:dyDescent="0.25">
      <c r="A2082" s="1">
        <v>44690</v>
      </c>
      <c r="B2082">
        <v>1.78</v>
      </c>
      <c r="C2082" s="1">
        <v>44690</v>
      </c>
      <c r="D2082">
        <v>1.32</v>
      </c>
      <c r="E2082" s="1">
        <v>44553</v>
      </c>
      <c r="F2082">
        <v>0.25</v>
      </c>
    </row>
    <row r="2083" spans="1:6" x14ac:dyDescent="0.25">
      <c r="A2083" s="1">
        <v>44691</v>
      </c>
      <c r="B2083">
        <v>1.65</v>
      </c>
      <c r="C2083" s="1">
        <v>44691</v>
      </c>
      <c r="D2083">
        <v>1.32</v>
      </c>
      <c r="E2083" s="1">
        <v>44554</v>
      </c>
      <c r="F2083">
        <v>0.25</v>
      </c>
    </row>
    <row r="2084" spans="1:6" x14ac:dyDescent="0.25">
      <c r="A2084" s="1">
        <v>44692</v>
      </c>
      <c r="B2084">
        <v>1.65</v>
      </c>
      <c r="C2084" s="1">
        <v>44692</v>
      </c>
      <c r="D2084">
        <v>1.34</v>
      </c>
      <c r="E2084" s="1">
        <v>44557</v>
      </c>
      <c r="F2084">
        <v>0.25</v>
      </c>
    </row>
    <row r="2085" spans="1:6" x14ac:dyDescent="0.25">
      <c r="A2085" s="1">
        <v>44693</v>
      </c>
      <c r="B2085">
        <v>1.6</v>
      </c>
      <c r="C2085" s="1">
        <v>44693</v>
      </c>
      <c r="D2085">
        <v>1.3271999999999999</v>
      </c>
      <c r="E2085" s="1">
        <v>44558</v>
      </c>
      <c r="F2085">
        <v>0.25</v>
      </c>
    </row>
    <row r="2086" spans="1:6" x14ac:dyDescent="0.25">
      <c r="A2086" s="1">
        <v>44694</v>
      </c>
      <c r="B2086">
        <v>1.6</v>
      </c>
      <c r="C2086" s="1">
        <v>44694</v>
      </c>
      <c r="D2086">
        <v>1.33</v>
      </c>
      <c r="E2086" s="1">
        <v>44559</v>
      </c>
      <c r="F2086">
        <v>0.25</v>
      </c>
    </row>
    <row r="2087" spans="1:6" x14ac:dyDescent="0.25">
      <c r="A2087" s="1">
        <v>44697</v>
      </c>
      <c r="B2087">
        <v>1.65</v>
      </c>
      <c r="C2087" s="1">
        <v>44697</v>
      </c>
      <c r="D2087">
        <v>1.33</v>
      </c>
      <c r="E2087" s="1">
        <v>44560</v>
      </c>
      <c r="F2087">
        <v>0.25</v>
      </c>
    </row>
    <row r="2088" spans="1:6" x14ac:dyDescent="0.25">
      <c r="A2088" s="1">
        <v>44698</v>
      </c>
      <c r="B2088">
        <v>1.6</v>
      </c>
      <c r="C2088" s="1">
        <v>44698</v>
      </c>
      <c r="D2088">
        <v>1.35</v>
      </c>
      <c r="E2088" s="1">
        <v>44561</v>
      </c>
      <c r="F2088">
        <v>0.25</v>
      </c>
    </row>
    <row r="2089" spans="1:6" x14ac:dyDescent="0.25">
      <c r="A2089" s="1">
        <v>44699</v>
      </c>
      <c r="B2089">
        <v>1.62</v>
      </c>
      <c r="C2089" s="1">
        <v>44699</v>
      </c>
      <c r="D2089">
        <v>1.35</v>
      </c>
      <c r="E2089" s="1">
        <v>44564</v>
      </c>
      <c r="F2089">
        <v>0.25</v>
      </c>
    </row>
    <row r="2090" spans="1:6" x14ac:dyDescent="0.25">
      <c r="A2090" s="1">
        <v>44700</v>
      </c>
      <c r="B2090">
        <v>1.6</v>
      </c>
      <c r="C2090" s="1">
        <v>44700</v>
      </c>
      <c r="D2090">
        <v>1.44</v>
      </c>
      <c r="E2090" s="1">
        <v>44565</v>
      </c>
      <c r="F2090">
        <v>0.25</v>
      </c>
    </row>
    <row r="2091" spans="1:6" x14ac:dyDescent="0.25">
      <c r="A2091" s="1">
        <v>44701</v>
      </c>
      <c r="B2091">
        <v>1.65</v>
      </c>
      <c r="C2091" s="1">
        <v>44701</v>
      </c>
      <c r="D2091">
        <v>1.35</v>
      </c>
      <c r="E2091" s="1">
        <v>44566</v>
      </c>
      <c r="F2091">
        <v>0.25</v>
      </c>
    </row>
    <row r="2092" spans="1:6" x14ac:dyDescent="0.25">
      <c r="A2092" s="1">
        <v>44704</v>
      </c>
      <c r="B2092">
        <v>1.6</v>
      </c>
      <c r="C2092" s="1">
        <v>44704</v>
      </c>
      <c r="D2092">
        <v>1.35</v>
      </c>
      <c r="E2092" s="1">
        <v>44567</v>
      </c>
      <c r="F2092">
        <v>0.25</v>
      </c>
    </row>
    <row r="2093" spans="1:6" x14ac:dyDescent="0.25">
      <c r="A2093" s="1">
        <v>44705</v>
      </c>
      <c r="B2093">
        <v>1.64</v>
      </c>
      <c r="C2093" s="1">
        <v>44705</v>
      </c>
      <c r="D2093">
        <v>1.36</v>
      </c>
      <c r="E2093" s="1">
        <v>44568</v>
      </c>
      <c r="F2093">
        <v>0.25</v>
      </c>
    </row>
    <row r="2094" spans="1:6" x14ac:dyDescent="0.25">
      <c r="A2094" s="1">
        <v>44706</v>
      </c>
      <c r="B2094">
        <v>1.82</v>
      </c>
      <c r="C2094" s="1">
        <v>44706</v>
      </c>
      <c r="D2094">
        <v>1.38</v>
      </c>
      <c r="E2094" s="1">
        <v>44571</v>
      </c>
      <c r="F2094">
        <v>0.25</v>
      </c>
    </row>
    <row r="2095" spans="1:6" x14ac:dyDescent="0.25">
      <c r="A2095" s="1">
        <v>44707</v>
      </c>
      <c r="B2095">
        <v>1.87</v>
      </c>
      <c r="C2095" s="1">
        <v>44707</v>
      </c>
      <c r="D2095">
        <v>1.39</v>
      </c>
      <c r="E2095" s="1">
        <v>44572</v>
      </c>
      <c r="F2095">
        <v>0.25</v>
      </c>
    </row>
    <row r="2096" spans="1:6" x14ac:dyDescent="0.25">
      <c r="A2096" s="1">
        <v>44708</v>
      </c>
      <c r="B2096">
        <v>1.85</v>
      </c>
      <c r="C2096" s="1">
        <v>44708</v>
      </c>
      <c r="D2096">
        <v>1.4</v>
      </c>
      <c r="E2096" s="1">
        <v>44573</v>
      </c>
      <c r="F2096">
        <v>0.25</v>
      </c>
    </row>
    <row r="2097" spans="1:6" x14ac:dyDescent="0.25">
      <c r="A2097" s="1">
        <v>44711</v>
      </c>
      <c r="B2097">
        <v>1.85</v>
      </c>
      <c r="C2097" s="1">
        <v>44711</v>
      </c>
      <c r="D2097">
        <v>1.42</v>
      </c>
      <c r="E2097" s="1">
        <v>44574</v>
      </c>
      <c r="F2097">
        <v>0.25</v>
      </c>
    </row>
    <row r="2098" spans="1:6" x14ac:dyDescent="0.25">
      <c r="A2098" s="1">
        <v>44712</v>
      </c>
      <c r="B2098">
        <v>1.86</v>
      </c>
      <c r="C2098" s="1">
        <v>44712</v>
      </c>
      <c r="D2098">
        <v>1.68</v>
      </c>
      <c r="E2098" s="1">
        <v>44575</v>
      </c>
      <c r="F2098">
        <v>0.25</v>
      </c>
    </row>
    <row r="2099" spans="1:6" x14ac:dyDescent="0.25">
      <c r="A2099" s="1">
        <v>44713</v>
      </c>
      <c r="B2099">
        <v>1.64</v>
      </c>
      <c r="C2099" s="1">
        <v>44713</v>
      </c>
      <c r="D2099">
        <v>1.44</v>
      </c>
      <c r="E2099" s="1">
        <v>44578</v>
      </c>
      <c r="F2099">
        <v>0.25</v>
      </c>
    </row>
    <row r="2100" spans="1:6" x14ac:dyDescent="0.25">
      <c r="A2100" s="1">
        <v>44714</v>
      </c>
      <c r="B2100">
        <v>1.65</v>
      </c>
      <c r="C2100" s="1">
        <v>44714</v>
      </c>
      <c r="D2100">
        <v>1.45</v>
      </c>
      <c r="E2100" s="1">
        <v>44579</v>
      </c>
      <c r="F2100">
        <v>0.25</v>
      </c>
    </row>
    <row r="2101" spans="1:6" x14ac:dyDescent="0.25">
      <c r="A2101" s="1">
        <v>44718</v>
      </c>
      <c r="B2101">
        <v>1.68</v>
      </c>
      <c r="C2101" s="1">
        <v>44718</v>
      </c>
      <c r="D2101">
        <v>1.48</v>
      </c>
      <c r="E2101" s="1">
        <v>44580</v>
      </c>
      <c r="F2101">
        <v>0.25</v>
      </c>
    </row>
    <row r="2102" spans="1:6" x14ac:dyDescent="0.25">
      <c r="A2102" s="1">
        <v>44719</v>
      </c>
      <c r="B2102">
        <v>1.65</v>
      </c>
      <c r="C2102" s="1">
        <v>44719</v>
      </c>
      <c r="D2102">
        <v>1.45</v>
      </c>
      <c r="E2102" s="1">
        <v>44581</v>
      </c>
      <c r="F2102">
        <v>0.25</v>
      </c>
    </row>
    <row r="2103" spans="1:6" x14ac:dyDescent="0.25">
      <c r="A2103" s="1">
        <v>44720</v>
      </c>
      <c r="B2103">
        <v>1.65</v>
      </c>
      <c r="C2103" s="1">
        <v>44720</v>
      </c>
      <c r="D2103">
        <v>1.45</v>
      </c>
      <c r="E2103" s="1">
        <v>44582</v>
      </c>
      <c r="F2103">
        <v>0.25</v>
      </c>
    </row>
    <row r="2104" spans="1:6" x14ac:dyDescent="0.25">
      <c r="A2104" s="1">
        <v>44721</v>
      </c>
      <c r="B2104">
        <v>1.65</v>
      </c>
      <c r="C2104" s="1">
        <v>44721</v>
      </c>
      <c r="D2104">
        <v>1.45</v>
      </c>
      <c r="E2104" s="1">
        <v>44585</v>
      </c>
      <c r="F2104">
        <v>0.25</v>
      </c>
    </row>
    <row r="2105" spans="1:6" x14ac:dyDescent="0.25">
      <c r="A2105" s="1">
        <v>44722</v>
      </c>
      <c r="B2105">
        <v>1.62</v>
      </c>
      <c r="C2105" s="1">
        <v>44722</v>
      </c>
      <c r="D2105">
        <v>1.44</v>
      </c>
      <c r="E2105" s="1">
        <v>44586</v>
      </c>
      <c r="F2105">
        <v>0.25</v>
      </c>
    </row>
    <row r="2106" spans="1:6" x14ac:dyDescent="0.25">
      <c r="A2106" s="1">
        <v>44725</v>
      </c>
      <c r="B2106">
        <v>1.65</v>
      </c>
      <c r="C2106" s="1">
        <v>44725</v>
      </c>
      <c r="D2106">
        <v>1.45</v>
      </c>
      <c r="E2106" s="1">
        <v>44587</v>
      </c>
      <c r="F2106">
        <v>0.25</v>
      </c>
    </row>
    <row r="2107" spans="1:6" x14ac:dyDescent="0.25">
      <c r="A2107" s="1">
        <v>44726</v>
      </c>
      <c r="B2107">
        <v>1.63</v>
      </c>
      <c r="C2107" s="1">
        <v>44726</v>
      </c>
      <c r="D2107">
        <v>1.45</v>
      </c>
      <c r="E2107" s="1">
        <v>44588</v>
      </c>
      <c r="F2107">
        <v>0.25</v>
      </c>
    </row>
    <row r="2108" spans="1:6" x14ac:dyDescent="0.25">
      <c r="A2108" s="1">
        <v>44727</v>
      </c>
      <c r="B2108">
        <v>1.63</v>
      </c>
      <c r="C2108" s="1">
        <v>44727</v>
      </c>
      <c r="D2108">
        <v>1.45</v>
      </c>
      <c r="E2108" s="1">
        <v>44589</v>
      </c>
      <c r="F2108">
        <v>0.25</v>
      </c>
    </row>
    <row r="2109" spans="1:6" x14ac:dyDescent="0.25">
      <c r="A2109" s="1">
        <v>44728</v>
      </c>
      <c r="B2109">
        <v>1.65</v>
      </c>
      <c r="C2109" s="1">
        <v>44728</v>
      </c>
      <c r="D2109">
        <v>1.45</v>
      </c>
      <c r="E2109" s="1">
        <v>44592</v>
      </c>
      <c r="F2109">
        <v>0.25</v>
      </c>
    </row>
    <row r="2110" spans="1:6" x14ac:dyDescent="0.25">
      <c r="A2110" s="1">
        <v>44729</v>
      </c>
      <c r="B2110">
        <v>1.7</v>
      </c>
      <c r="C2110" s="1">
        <v>44729</v>
      </c>
      <c r="D2110">
        <v>1.45</v>
      </c>
      <c r="E2110" s="1">
        <v>44593</v>
      </c>
      <c r="F2110">
        <v>0.25</v>
      </c>
    </row>
    <row r="2111" spans="1:6" x14ac:dyDescent="0.25">
      <c r="A2111" s="1">
        <v>44732</v>
      </c>
      <c r="B2111">
        <v>1.7</v>
      </c>
      <c r="C2111" s="1">
        <v>44732</v>
      </c>
      <c r="D2111">
        <v>1.45</v>
      </c>
      <c r="E2111" s="1">
        <v>44594</v>
      </c>
      <c r="F2111">
        <v>0.25</v>
      </c>
    </row>
    <row r="2112" spans="1:6" x14ac:dyDescent="0.25">
      <c r="A2112" s="1">
        <v>44733</v>
      </c>
      <c r="B2112">
        <v>1.75</v>
      </c>
      <c r="C2112" s="1">
        <v>44733</v>
      </c>
      <c r="D2112">
        <v>1.48</v>
      </c>
      <c r="E2112" s="1">
        <v>44595</v>
      </c>
      <c r="F2112">
        <v>0.25</v>
      </c>
    </row>
    <row r="2113" spans="1:6" x14ac:dyDescent="0.25">
      <c r="A2113" s="1">
        <v>44734</v>
      </c>
      <c r="B2113">
        <v>1.7373000000000001</v>
      </c>
      <c r="C2113" s="1">
        <v>44734</v>
      </c>
      <c r="D2113">
        <v>1.48</v>
      </c>
      <c r="E2113" s="1">
        <v>44596</v>
      </c>
      <c r="F2113">
        <v>0.25</v>
      </c>
    </row>
    <row r="2114" spans="1:6" x14ac:dyDescent="0.25">
      <c r="A2114" s="1">
        <v>44735</v>
      </c>
      <c r="B2114">
        <v>1.65</v>
      </c>
      <c r="C2114" s="1">
        <v>44735</v>
      </c>
      <c r="D2114">
        <v>1.47</v>
      </c>
      <c r="E2114" s="1">
        <v>44599</v>
      </c>
      <c r="F2114">
        <v>0.25</v>
      </c>
    </row>
    <row r="2115" spans="1:6" x14ac:dyDescent="0.25">
      <c r="A2115" s="1">
        <v>44736</v>
      </c>
      <c r="B2115">
        <v>2.5</v>
      </c>
      <c r="C2115" s="1">
        <v>44736</v>
      </c>
      <c r="D2115">
        <v>1.47</v>
      </c>
      <c r="E2115" s="1">
        <v>44600</v>
      </c>
      <c r="F2115">
        <v>0.25</v>
      </c>
    </row>
    <row r="2116" spans="1:6" x14ac:dyDescent="0.25">
      <c r="A2116" s="1">
        <v>44739</v>
      </c>
      <c r="B2116">
        <v>2.5</v>
      </c>
      <c r="C2116" s="1">
        <v>44739</v>
      </c>
      <c r="D2116">
        <v>1.47</v>
      </c>
      <c r="E2116" s="1">
        <v>44601</v>
      </c>
      <c r="F2116">
        <v>0.25</v>
      </c>
    </row>
    <row r="2117" spans="1:6" x14ac:dyDescent="0.25">
      <c r="A2117" s="1">
        <v>44740</v>
      </c>
      <c r="B2117">
        <v>2.5</v>
      </c>
      <c r="C2117" s="1">
        <v>44740</v>
      </c>
      <c r="D2117">
        <v>1.47</v>
      </c>
      <c r="E2117" s="1">
        <v>44602</v>
      </c>
      <c r="F2117">
        <v>0.25</v>
      </c>
    </row>
    <row r="2118" spans="1:6" x14ac:dyDescent="0.25">
      <c r="A2118" s="1">
        <v>44741</v>
      </c>
      <c r="B2118">
        <v>2.5</v>
      </c>
      <c r="C2118" s="1">
        <v>44741</v>
      </c>
      <c r="D2118">
        <v>1.4</v>
      </c>
      <c r="E2118" s="1">
        <v>44603</v>
      </c>
      <c r="F2118">
        <v>0.25</v>
      </c>
    </row>
    <row r="2119" spans="1:6" x14ac:dyDescent="0.25">
      <c r="A2119" s="1">
        <v>44742</v>
      </c>
      <c r="B2119">
        <v>2.5</v>
      </c>
      <c r="C2119" s="1">
        <v>44742</v>
      </c>
      <c r="D2119">
        <v>2.1</v>
      </c>
      <c r="E2119" s="1">
        <v>44606</v>
      </c>
      <c r="F2119">
        <v>0.25</v>
      </c>
    </row>
    <row r="2120" spans="1:6" x14ac:dyDescent="0.25">
      <c r="A2120" s="1">
        <v>44743</v>
      </c>
      <c r="B2120">
        <v>1.75</v>
      </c>
      <c r="C2120" s="1">
        <v>44743</v>
      </c>
      <c r="D2120">
        <v>1.48</v>
      </c>
      <c r="E2120" s="1">
        <v>44607</v>
      </c>
      <c r="F2120">
        <v>0.25</v>
      </c>
    </row>
    <row r="2121" spans="1:6" x14ac:dyDescent="0.25">
      <c r="A2121" s="1">
        <v>44746</v>
      </c>
      <c r="B2121">
        <v>1.6</v>
      </c>
      <c r="C2121" s="1">
        <v>44746</v>
      </c>
      <c r="D2121">
        <v>1.45</v>
      </c>
      <c r="E2121" s="1">
        <v>44608</v>
      </c>
      <c r="F2121">
        <v>0.25</v>
      </c>
    </row>
    <row r="2122" spans="1:6" x14ac:dyDescent="0.25">
      <c r="A2122" s="1">
        <v>44747</v>
      </c>
      <c r="B2122">
        <v>1.7</v>
      </c>
      <c r="C2122" s="1">
        <v>44747</v>
      </c>
      <c r="D2122">
        <v>1.4</v>
      </c>
      <c r="E2122" s="1">
        <v>44609</v>
      </c>
      <c r="F2122">
        <v>0.25</v>
      </c>
    </row>
    <row r="2123" spans="1:6" x14ac:dyDescent="0.25">
      <c r="A2123" s="1">
        <v>44748</v>
      </c>
      <c r="B2123">
        <v>1.7</v>
      </c>
      <c r="C2123" s="1">
        <v>44748</v>
      </c>
      <c r="D2123">
        <v>1.2496</v>
      </c>
      <c r="E2123" s="1">
        <v>44610</v>
      </c>
      <c r="F2123">
        <v>0.25</v>
      </c>
    </row>
    <row r="2124" spans="1:6" x14ac:dyDescent="0.25">
      <c r="A2124" s="1">
        <v>44749</v>
      </c>
      <c r="B2124">
        <v>1.65</v>
      </c>
      <c r="C2124" s="1">
        <v>44749</v>
      </c>
      <c r="D2124">
        <v>1.26</v>
      </c>
      <c r="E2124" s="1">
        <v>44613</v>
      </c>
      <c r="F2124">
        <v>0.25</v>
      </c>
    </row>
    <row r="2125" spans="1:6" x14ac:dyDescent="0.25">
      <c r="A2125" s="1">
        <v>44750</v>
      </c>
      <c r="B2125">
        <v>1.6</v>
      </c>
      <c r="C2125" s="1">
        <v>44750</v>
      </c>
      <c r="D2125">
        <v>1.26</v>
      </c>
      <c r="E2125" s="1">
        <v>44614</v>
      </c>
      <c r="F2125">
        <v>0.25</v>
      </c>
    </row>
    <row r="2126" spans="1:6" x14ac:dyDescent="0.25">
      <c r="A2126" s="1">
        <v>44753</v>
      </c>
      <c r="B2126">
        <v>1.6</v>
      </c>
      <c r="C2126" s="1">
        <v>44753</v>
      </c>
      <c r="D2126">
        <v>1.26</v>
      </c>
      <c r="E2126" s="1">
        <v>44615</v>
      </c>
      <c r="F2126">
        <v>0.25</v>
      </c>
    </row>
    <row r="2127" spans="1:6" x14ac:dyDescent="0.25">
      <c r="A2127" s="1">
        <v>44754</v>
      </c>
      <c r="B2127">
        <v>1.6</v>
      </c>
      <c r="C2127" s="1">
        <v>44754</v>
      </c>
      <c r="D2127">
        <v>1.256</v>
      </c>
      <c r="E2127" s="1">
        <v>44616</v>
      </c>
      <c r="F2127">
        <v>0.25</v>
      </c>
    </row>
    <row r="2128" spans="1:6" x14ac:dyDescent="0.25">
      <c r="A2128" s="1">
        <v>44755</v>
      </c>
      <c r="B2128">
        <v>1.59</v>
      </c>
      <c r="C2128" s="1">
        <v>44755</v>
      </c>
      <c r="D2128">
        <v>1.2641</v>
      </c>
      <c r="E2128" s="1">
        <v>44617</v>
      </c>
      <c r="F2128">
        <v>0.25</v>
      </c>
    </row>
    <row r="2129" spans="1:6" x14ac:dyDescent="0.25">
      <c r="A2129" s="1">
        <v>44756</v>
      </c>
      <c r="B2129">
        <v>1.6</v>
      </c>
      <c r="C2129" s="1">
        <v>44756</v>
      </c>
      <c r="D2129">
        <v>1.2364999999999999</v>
      </c>
      <c r="E2129" s="1">
        <v>44620</v>
      </c>
      <c r="F2129">
        <v>0.25</v>
      </c>
    </row>
    <row r="2130" spans="1:6" x14ac:dyDescent="0.25">
      <c r="A2130" s="1">
        <v>44757</v>
      </c>
      <c r="B2130">
        <v>1.57</v>
      </c>
      <c r="C2130" s="1">
        <v>44757</v>
      </c>
      <c r="D2130">
        <v>1.2565</v>
      </c>
      <c r="E2130" s="1">
        <v>44621</v>
      </c>
      <c r="F2130">
        <v>0.25</v>
      </c>
    </row>
    <row r="2131" spans="1:6" x14ac:dyDescent="0.25">
      <c r="A2131" s="1">
        <v>44760</v>
      </c>
      <c r="B2131">
        <v>1.6103000000000001</v>
      </c>
      <c r="C2131" s="1">
        <v>44760</v>
      </c>
      <c r="D2131">
        <v>1.2625999999999999</v>
      </c>
      <c r="E2131" s="1">
        <v>44622</v>
      </c>
      <c r="F2131">
        <v>0.25</v>
      </c>
    </row>
    <row r="2132" spans="1:6" x14ac:dyDescent="0.25">
      <c r="A2132" s="1">
        <v>44761</v>
      </c>
      <c r="B2132">
        <v>1.6</v>
      </c>
      <c r="C2132" s="1">
        <v>44761</v>
      </c>
      <c r="D2132">
        <v>1.2906</v>
      </c>
      <c r="E2132" s="1">
        <v>44623</v>
      </c>
      <c r="F2132">
        <v>0.25</v>
      </c>
    </row>
    <row r="2133" spans="1:6" x14ac:dyDescent="0.25">
      <c r="A2133" s="1">
        <v>44762</v>
      </c>
      <c r="B2133">
        <v>1.6</v>
      </c>
      <c r="C2133" s="1">
        <v>44762</v>
      </c>
      <c r="D2133">
        <v>1.3190999999999999</v>
      </c>
      <c r="E2133" s="1">
        <v>44624</v>
      </c>
      <c r="F2133">
        <v>0.25</v>
      </c>
    </row>
    <row r="2134" spans="1:6" x14ac:dyDescent="0.25">
      <c r="A2134" s="1">
        <v>44763</v>
      </c>
      <c r="B2134">
        <v>1.6</v>
      </c>
      <c r="C2134" s="1">
        <v>44763</v>
      </c>
      <c r="D2134">
        <v>1.298</v>
      </c>
      <c r="E2134" s="1">
        <v>44627</v>
      </c>
      <c r="F2134">
        <v>0.25</v>
      </c>
    </row>
    <row r="2135" spans="1:6" x14ac:dyDescent="0.25">
      <c r="A2135" s="1">
        <v>44764</v>
      </c>
      <c r="B2135">
        <v>1.55</v>
      </c>
      <c r="C2135" s="1">
        <v>44764</v>
      </c>
      <c r="D2135">
        <v>1.2372000000000001</v>
      </c>
      <c r="E2135" s="1">
        <v>44628</v>
      </c>
      <c r="F2135">
        <v>0.25</v>
      </c>
    </row>
    <row r="2136" spans="1:6" x14ac:dyDescent="0.25">
      <c r="A2136" s="1">
        <v>44767</v>
      </c>
      <c r="B2136">
        <v>1.8</v>
      </c>
      <c r="C2136" s="1">
        <v>44767</v>
      </c>
      <c r="D2136">
        <v>1.1180000000000001</v>
      </c>
      <c r="E2136" s="1">
        <v>44629</v>
      </c>
      <c r="F2136">
        <v>0.25</v>
      </c>
    </row>
    <row r="2137" spans="1:6" x14ac:dyDescent="0.25">
      <c r="A2137" s="1">
        <v>44768</v>
      </c>
      <c r="B2137">
        <v>1.75</v>
      </c>
      <c r="C2137" s="1">
        <v>44768</v>
      </c>
      <c r="D2137">
        <v>1.0626</v>
      </c>
      <c r="E2137" s="1">
        <v>44630</v>
      </c>
      <c r="F2137">
        <v>0.25</v>
      </c>
    </row>
    <row r="2138" spans="1:6" x14ac:dyDescent="0.25">
      <c r="A2138" s="1">
        <v>44769</v>
      </c>
      <c r="B2138">
        <v>1.7</v>
      </c>
      <c r="C2138" s="1">
        <v>44769</v>
      </c>
      <c r="D2138">
        <v>1.0437000000000001</v>
      </c>
      <c r="E2138" s="1">
        <v>44631</v>
      </c>
      <c r="F2138">
        <v>0.25</v>
      </c>
    </row>
    <row r="2139" spans="1:6" x14ac:dyDescent="0.25">
      <c r="A2139" s="1">
        <v>44770</v>
      </c>
      <c r="B2139">
        <v>1.7</v>
      </c>
      <c r="C2139" s="1">
        <v>44770</v>
      </c>
      <c r="D2139">
        <v>1.0571999999999999</v>
      </c>
      <c r="E2139" s="1">
        <v>44634</v>
      </c>
      <c r="F2139">
        <v>0.25</v>
      </c>
    </row>
    <row r="2140" spans="1:6" x14ac:dyDescent="0.25">
      <c r="A2140" s="1">
        <v>44771</v>
      </c>
      <c r="B2140">
        <v>1.65</v>
      </c>
      <c r="C2140" s="1">
        <v>44771</v>
      </c>
      <c r="D2140">
        <v>1.43</v>
      </c>
      <c r="E2140" s="1">
        <v>44635</v>
      </c>
      <c r="F2140">
        <v>0.25</v>
      </c>
    </row>
    <row r="2141" spans="1:6" x14ac:dyDescent="0.25">
      <c r="A2141" s="1">
        <v>44774</v>
      </c>
      <c r="B2141">
        <v>1.55</v>
      </c>
      <c r="C2141" s="1">
        <v>44774</v>
      </c>
      <c r="D2141">
        <v>1.23</v>
      </c>
      <c r="E2141" s="1">
        <v>44636</v>
      </c>
      <c r="F2141">
        <v>0.5</v>
      </c>
    </row>
    <row r="2142" spans="1:6" x14ac:dyDescent="0.25">
      <c r="A2142" s="1">
        <v>44775</v>
      </c>
      <c r="B2142">
        <v>1.5</v>
      </c>
      <c r="C2142" s="1">
        <v>44775</v>
      </c>
      <c r="D2142">
        <v>1.1200000000000001</v>
      </c>
      <c r="E2142" s="1">
        <v>44637</v>
      </c>
      <c r="F2142">
        <v>0.5</v>
      </c>
    </row>
    <row r="2143" spans="1:6" x14ac:dyDescent="0.25">
      <c r="A2143" s="1">
        <v>44776</v>
      </c>
      <c r="B2143">
        <v>1.4</v>
      </c>
      <c r="C2143" s="1">
        <v>44776</v>
      </c>
      <c r="D2143">
        <v>1.0692999999999999</v>
      </c>
      <c r="E2143" s="1">
        <v>44638</v>
      </c>
      <c r="F2143">
        <v>0.5</v>
      </c>
    </row>
    <row r="2144" spans="1:6" x14ac:dyDescent="0.25">
      <c r="A2144" s="1">
        <v>44777</v>
      </c>
      <c r="B2144">
        <v>1.4</v>
      </c>
      <c r="C2144" s="1">
        <v>44777</v>
      </c>
      <c r="D2144">
        <v>1.0651999999999999</v>
      </c>
      <c r="E2144" s="1">
        <v>44641</v>
      </c>
      <c r="F2144">
        <v>0.5</v>
      </c>
    </row>
    <row r="2145" spans="1:6" x14ac:dyDescent="0.25">
      <c r="A2145" s="1">
        <v>44778</v>
      </c>
      <c r="B2145">
        <v>1.4</v>
      </c>
      <c r="C2145" s="1">
        <v>44778</v>
      </c>
      <c r="D2145">
        <v>1.0610999999999999</v>
      </c>
      <c r="E2145" s="1">
        <v>44642</v>
      </c>
      <c r="F2145">
        <v>0.5</v>
      </c>
    </row>
    <row r="2146" spans="1:6" x14ac:dyDescent="0.25">
      <c r="A2146" s="1">
        <v>44781</v>
      </c>
      <c r="B2146">
        <v>1.37</v>
      </c>
      <c r="C2146" s="1">
        <v>44781</v>
      </c>
      <c r="D2146">
        <v>1.0582</v>
      </c>
      <c r="E2146" s="1">
        <v>44643</v>
      </c>
      <c r="F2146">
        <v>0.5</v>
      </c>
    </row>
    <row r="2147" spans="1:6" x14ac:dyDescent="0.25">
      <c r="A2147" s="1">
        <v>44782</v>
      </c>
      <c r="B2147">
        <v>1.3736999999999999</v>
      </c>
      <c r="C2147" s="1">
        <v>44782</v>
      </c>
      <c r="D2147">
        <v>1.0653999999999999</v>
      </c>
      <c r="E2147" s="1">
        <v>44644</v>
      </c>
      <c r="F2147">
        <v>0.5</v>
      </c>
    </row>
    <row r="2148" spans="1:6" x14ac:dyDescent="0.25">
      <c r="A2148" s="1">
        <v>44783</v>
      </c>
      <c r="B2148">
        <v>1.4</v>
      </c>
      <c r="C2148" s="1">
        <v>44783</v>
      </c>
      <c r="D2148">
        <v>1.1200000000000001</v>
      </c>
      <c r="E2148" s="1">
        <v>44645</v>
      </c>
      <c r="F2148">
        <v>0.5</v>
      </c>
    </row>
    <row r="2149" spans="1:6" x14ac:dyDescent="0.25">
      <c r="A2149" s="1">
        <v>44784</v>
      </c>
      <c r="B2149">
        <v>1.4</v>
      </c>
      <c r="C2149" s="1">
        <v>44784</v>
      </c>
      <c r="D2149">
        <v>1.0718000000000001</v>
      </c>
      <c r="E2149" s="1">
        <v>44648</v>
      </c>
      <c r="F2149">
        <v>0.5</v>
      </c>
    </row>
    <row r="2150" spans="1:6" x14ac:dyDescent="0.25">
      <c r="A2150" s="1">
        <v>44785</v>
      </c>
      <c r="B2150">
        <v>1.45</v>
      </c>
      <c r="C2150" s="1">
        <v>44785</v>
      </c>
      <c r="D2150">
        <v>1.1000000000000001</v>
      </c>
      <c r="E2150" s="1">
        <v>44649</v>
      </c>
      <c r="F2150">
        <v>0.5</v>
      </c>
    </row>
    <row r="2151" spans="1:6" x14ac:dyDescent="0.25">
      <c r="A2151" s="1">
        <v>44788</v>
      </c>
      <c r="B2151">
        <v>1.41</v>
      </c>
      <c r="C2151" s="1">
        <v>44788</v>
      </c>
      <c r="D2151">
        <v>1.0874999999999999</v>
      </c>
      <c r="E2151" s="1">
        <v>44650</v>
      </c>
      <c r="F2151">
        <v>0.5</v>
      </c>
    </row>
    <row r="2152" spans="1:6" x14ac:dyDescent="0.25">
      <c r="A2152" s="1">
        <v>44789</v>
      </c>
      <c r="B2152">
        <v>1.4</v>
      </c>
      <c r="C2152" s="1">
        <v>44789</v>
      </c>
      <c r="D2152">
        <v>1.1214</v>
      </c>
      <c r="E2152" s="1">
        <v>44651</v>
      </c>
      <c r="F2152">
        <v>0.5</v>
      </c>
    </row>
    <row r="2153" spans="1:6" x14ac:dyDescent="0.25">
      <c r="A2153" s="1">
        <v>44790</v>
      </c>
      <c r="B2153">
        <v>1.5</v>
      </c>
      <c r="C2153" s="1">
        <v>44790</v>
      </c>
      <c r="D2153">
        <v>1.19</v>
      </c>
      <c r="E2153" s="1">
        <v>44652</v>
      </c>
      <c r="F2153">
        <v>0.5</v>
      </c>
    </row>
    <row r="2154" spans="1:6" x14ac:dyDescent="0.25">
      <c r="A2154" s="1">
        <v>44791</v>
      </c>
      <c r="B2154">
        <v>1.5</v>
      </c>
      <c r="C2154" s="1">
        <v>44791</v>
      </c>
      <c r="D2154">
        <v>1.262</v>
      </c>
      <c r="E2154" s="1">
        <v>44655</v>
      </c>
      <c r="F2154">
        <v>0.5</v>
      </c>
    </row>
    <row r="2155" spans="1:6" x14ac:dyDescent="0.25">
      <c r="A2155" s="1">
        <v>44792</v>
      </c>
      <c r="B2155">
        <v>1.5</v>
      </c>
      <c r="C2155" s="1">
        <v>44792</v>
      </c>
      <c r="D2155">
        <v>1.29</v>
      </c>
      <c r="E2155" s="1">
        <v>44656</v>
      </c>
      <c r="F2155">
        <v>0.5</v>
      </c>
    </row>
    <row r="2156" spans="1:6" x14ac:dyDescent="0.25">
      <c r="A2156" s="1">
        <v>44795</v>
      </c>
      <c r="B2156">
        <v>1.5</v>
      </c>
      <c r="C2156" s="1">
        <v>44795</v>
      </c>
      <c r="D2156">
        <v>1.2</v>
      </c>
      <c r="E2156" s="1">
        <v>44657</v>
      </c>
      <c r="F2156">
        <v>0.5</v>
      </c>
    </row>
    <row r="2157" spans="1:6" x14ac:dyDescent="0.25">
      <c r="A2157" s="1">
        <v>44796</v>
      </c>
      <c r="B2157">
        <v>1.45</v>
      </c>
      <c r="C2157" s="1">
        <v>44796</v>
      </c>
      <c r="D2157">
        <v>1.1795</v>
      </c>
      <c r="E2157" s="1">
        <v>44658</v>
      </c>
      <c r="F2157">
        <v>0.5</v>
      </c>
    </row>
    <row r="2158" spans="1:6" x14ac:dyDescent="0.25">
      <c r="A2158" s="1">
        <v>44797</v>
      </c>
      <c r="B2158">
        <v>1.45</v>
      </c>
      <c r="C2158" s="1">
        <v>44797</v>
      </c>
      <c r="D2158">
        <v>1.18</v>
      </c>
      <c r="E2158" s="1">
        <v>44659</v>
      </c>
      <c r="F2158">
        <v>0.5</v>
      </c>
    </row>
    <row r="2159" spans="1:6" x14ac:dyDescent="0.25">
      <c r="A2159" s="1">
        <v>44798</v>
      </c>
      <c r="B2159">
        <v>1.7</v>
      </c>
      <c r="C2159" s="1">
        <v>44798</v>
      </c>
      <c r="D2159">
        <v>1.22</v>
      </c>
      <c r="E2159" s="1">
        <v>44662</v>
      </c>
      <c r="F2159">
        <v>0.5</v>
      </c>
    </row>
    <row r="2160" spans="1:6" x14ac:dyDescent="0.25">
      <c r="A2160" s="1">
        <v>44799</v>
      </c>
      <c r="B2160">
        <v>1.8</v>
      </c>
      <c r="C2160" s="1">
        <v>44799</v>
      </c>
      <c r="D2160">
        <v>1.32</v>
      </c>
      <c r="E2160" s="1">
        <v>44663</v>
      </c>
      <c r="F2160">
        <v>0.5</v>
      </c>
    </row>
    <row r="2161" spans="1:6" x14ac:dyDescent="0.25">
      <c r="A2161" s="1">
        <v>44802</v>
      </c>
      <c r="B2161">
        <v>1.8</v>
      </c>
      <c r="C2161" s="1">
        <v>44802</v>
      </c>
      <c r="D2161">
        <v>1.28</v>
      </c>
      <c r="E2161" s="1">
        <v>44664</v>
      </c>
      <c r="F2161">
        <v>0.5</v>
      </c>
    </row>
    <row r="2162" spans="1:6" x14ac:dyDescent="0.25">
      <c r="A2162" s="1">
        <v>44803</v>
      </c>
      <c r="B2162">
        <v>1.75</v>
      </c>
      <c r="C2162" s="1">
        <v>44803</v>
      </c>
      <c r="D2162">
        <v>1.17</v>
      </c>
      <c r="E2162" s="1">
        <v>44665</v>
      </c>
      <c r="F2162">
        <v>0.5</v>
      </c>
    </row>
    <row r="2163" spans="1:6" x14ac:dyDescent="0.25">
      <c r="A2163" s="1">
        <v>44804</v>
      </c>
      <c r="B2163">
        <v>1.7</v>
      </c>
      <c r="C2163" s="1">
        <v>44804</v>
      </c>
      <c r="D2163">
        <v>1.6</v>
      </c>
      <c r="E2163" s="1">
        <v>44666</v>
      </c>
      <c r="F2163">
        <v>0.5</v>
      </c>
    </row>
    <row r="2164" spans="1:6" x14ac:dyDescent="0.25">
      <c r="A2164" s="1">
        <v>44805</v>
      </c>
      <c r="B2164">
        <v>1.5</v>
      </c>
      <c r="C2164" s="1">
        <v>44805</v>
      </c>
      <c r="D2164">
        <v>1.55</v>
      </c>
      <c r="E2164" s="1">
        <v>44669</v>
      </c>
      <c r="F2164">
        <v>0.5</v>
      </c>
    </row>
    <row r="2165" spans="1:6" x14ac:dyDescent="0.25">
      <c r="A2165" s="1">
        <v>44806</v>
      </c>
      <c r="B2165">
        <v>1.5199</v>
      </c>
      <c r="C2165" s="1">
        <v>44806</v>
      </c>
      <c r="D2165">
        <v>1.2425999999999999</v>
      </c>
      <c r="E2165" s="1">
        <v>44670</v>
      </c>
      <c r="F2165">
        <v>0.5</v>
      </c>
    </row>
    <row r="2166" spans="1:6" x14ac:dyDescent="0.25">
      <c r="A2166" s="1">
        <v>44809</v>
      </c>
      <c r="B2166">
        <v>1.5</v>
      </c>
      <c r="C2166" s="1">
        <v>44809</v>
      </c>
      <c r="D2166">
        <v>1.1000000000000001</v>
      </c>
      <c r="E2166" s="1">
        <v>44671</v>
      </c>
      <c r="F2166">
        <v>0.5</v>
      </c>
    </row>
    <row r="2167" spans="1:6" x14ac:dyDescent="0.25">
      <c r="A2167" s="1">
        <v>44810</v>
      </c>
      <c r="B2167">
        <v>1.5</v>
      </c>
      <c r="C2167" s="1">
        <v>44810</v>
      </c>
      <c r="D2167">
        <v>1.1200000000000001</v>
      </c>
      <c r="E2167" s="1">
        <v>44672</v>
      </c>
      <c r="F2167">
        <v>0.5</v>
      </c>
    </row>
    <row r="2168" spans="1:6" x14ac:dyDescent="0.25">
      <c r="A2168" s="1">
        <v>44811</v>
      </c>
      <c r="B2168">
        <v>1.51</v>
      </c>
      <c r="C2168" s="1">
        <v>44811</v>
      </c>
      <c r="D2168">
        <v>1.17</v>
      </c>
      <c r="E2168" s="1">
        <v>44673</v>
      </c>
      <c r="F2168">
        <v>0.5</v>
      </c>
    </row>
    <row r="2169" spans="1:6" x14ac:dyDescent="0.25">
      <c r="A2169" s="1">
        <v>44812</v>
      </c>
      <c r="B2169">
        <v>1.5</v>
      </c>
      <c r="C2169" s="1">
        <v>44812</v>
      </c>
      <c r="D2169">
        <v>1.21</v>
      </c>
      <c r="E2169" s="1">
        <v>44676</v>
      </c>
      <c r="F2169">
        <v>0.5</v>
      </c>
    </row>
    <row r="2170" spans="1:6" x14ac:dyDescent="0.25">
      <c r="A2170" s="1">
        <v>44813</v>
      </c>
      <c r="B2170">
        <v>1.55</v>
      </c>
      <c r="C2170" s="1">
        <v>44813</v>
      </c>
      <c r="D2170">
        <v>1.2453000000000001</v>
      </c>
      <c r="E2170" s="1">
        <v>44677</v>
      </c>
      <c r="F2170">
        <v>0.5</v>
      </c>
    </row>
    <row r="2171" spans="1:6" x14ac:dyDescent="0.25">
      <c r="A2171" s="1">
        <v>44817</v>
      </c>
      <c r="B2171">
        <v>1.55</v>
      </c>
      <c r="C2171" s="1">
        <v>44817</v>
      </c>
      <c r="D2171">
        <v>1.22</v>
      </c>
      <c r="E2171" s="1">
        <v>44678</v>
      </c>
      <c r="F2171">
        <v>0.5</v>
      </c>
    </row>
    <row r="2172" spans="1:6" x14ac:dyDescent="0.25">
      <c r="A2172" s="1">
        <v>44818</v>
      </c>
      <c r="B2172">
        <v>1.6</v>
      </c>
      <c r="C2172" s="1">
        <v>44818</v>
      </c>
      <c r="D2172">
        <v>1.2463</v>
      </c>
      <c r="E2172" s="1">
        <v>44679</v>
      </c>
      <c r="F2172">
        <v>0.5</v>
      </c>
    </row>
    <row r="2173" spans="1:6" x14ac:dyDescent="0.25">
      <c r="A2173" s="1">
        <v>44819</v>
      </c>
      <c r="B2173">
        <v>1.6</v>
      </c>
      <c r="C2173" s="1">
        <v>44819</v>
      </c>
      <c r="D2173">
        <v>1.3</v>
      </c>
      <c r="E2173" s="1">
        <v>44680</v>
      </c>
      <c r="F2173">
        <v>0.5</v>
      </c>
    </row>
    <row r="2174" spans="1:6" x14ac:dyDescent="0.25">
      <c r="A2174" s="1">
        <v>44820</v>
      </c>
      <c r="B2174">
        <v>1.63</v>
      </c>
      <c r="C2174" s="1">
        <v>44820</v>
      </c>
      <c r="D2174">
        <v>1.35</v>
      </c>
      <c r="E2174" s="1">
        <v>44683</v>
      </c>
      <c r="F2174">
        <v>0.5</v>
      </c>
    </row>
    <row r="2175" spans="1:6" x14ac:dyDescent="0.25">
      <c r="A2175" s="1">
        <v>44823</v>
      </c>
      <c r="B2175">
        <v>1.7</v>
      </c>
      <c r="C2175" s="1">
        <v>44823</v>
      </c>
      <c r="D2175">
        <v>1.4836</v>
      </c>
      <c r="E2175" s="1">
        <v>44684</v>
      </c>
      <c r="F2175">
        <v>0.5</v>
      </c>
    </row>
    <row r="2176" spans="1:6" x14ac:dyDescent="0.25">
      <c r="A2176" s="1">
        <v>44824</v>
      </c>
      <c r="B2176">
        <v>1.75</v>
      </c>
      <c r="C2176" s="1">
        <v>44824</v>
      </c>
      <c r="D2176">
        <v>1.52</v>
      </c>
      <c r="E2176" s="1">
        <v>44685</v>
      </c>
      <c r="F2176">
        <v>1</v>
      </c>
    </row>
    <row r="2177" spans="1:6" x14ac:dyDescent="0.25">
      <c r="A2177" s="1">
        <v>44825</v>
      </c>
      <c r="B2177">
        <v>1.74</v>
      </c>
      <c r="C2177" s="1">
        <v>44825</v>
      </c>
      <c r="D2177">
        <v>1.52</v>
      </c>
      <c r="E2177" s="1">
        <v>44686</v>
      </c>
      <c r="F2177">
        <v>1</v>
      </c>
    </row>
    <row r="2178" spans="1:6" x14ac:dyDescent="0.25">
      <c r="A2178" s="1">
        <v>44826</v>
      </c>
      <c r="B2178">
        <v>1.65</v>
      </c>
      <c r="C2178" s="1">
        <v>44826</v>
      </c>
      <c r="D2178">
        <v>1.52</v>
      </c>
      <c r="E2178" s="1">
        <v>44687</v>
      </c>
      <c r="F2178">
        <v>1</v>
      </c>
    </row>
    <row r="2179" spans="1:6" x14ac:dyDescent="0.25">
      <c r="A2179" s="1">
        <v>44827</v>
      </c>
      <c r="B2179">
        <v>1.55</v>
      </c>
      <c r="C2179" s="1">
        <v>44827</v>
      </c>
      <c r="D2179">
        <v>1.52</v>
      </c>
      <c r="E2179" s="1">
        <v>44690</v>
      </c>
      <c r="F2179">
        <v>1</v>
      </c>
    </row>
    <row r="2180" spans="1:6" x14ac:dyDescent="0.25">
      <c r="A2180" s="1">
        <v>44830</v>
      </c>
      <c r="B2180">
        <v>1.79</v>
      </c>
      <c r="C2180" s="1">
        <v>44830</v>
      </c>
      <c r="D2180">
        <v>1.4535</v>
      </c>
      <c r="E2180" s="1">
        <v>44691</v>
      </c>
      <c r="F2180">
        <v>1</v>
      </c>
    </row>
    <row r="2181" spans="1:6" x14ac:dyDescent="0.25">
      <c r="A2181" s="1">
        <v>44831</v>
      </c>
      <c r="B2181">
        <v>1.45</v>
      </c>
      <c r="C2181" s="1">
        <v>44831</v>
      </c>
      <c r="D2181">
        <v>1.44</v>
      </c>
      <c r="E2181" s="1">
        <v>44692</v>
      </c>
      <c r="F2181">
        <v>1</v>
      </c>
    </row>
    <row r="2182" spans="1:6" x14ac:dyDescent="0.25">
      <c r="A2182" s="1">
        <v>44832</v>
      </c>
      <c r="B2182">
        <v>1.6854</v>
      </c>
      <c r="C2182" s="1">
        <v>44832</v>
      </c>
      <c r="D2182">
        <v>1.3</v>
      </c>
      <c r="E2182" s="1">
        <v>44693</v>
      </c>
      <c r="F2182">
        <v>1</v>
      </c>
    </row>
    <row r="2183" spans="1:6" x14ac:dyDescent="0.25">
      <c r="A2183" s="1">
        <v>44833</v>
      </c>
      <c r="B2183">
        <v>2.06</v>
      </c>
      <c r="C2183" s="1">
        <v>44833</v>
      </c>
      <c r="D2183">
        <v>1</v>
      </c>
      <c r="E2183" s="1">
        <v>44694</v>
      </c>
      <c r="F2183">
        <v>1</v>
      </c>
    </row>
    <row r="2184" spans="1:6" x14ac:dyDescent="0.25">
      <c r="A2184" s="1">
        <v>44834</v>
      </c>
      <c r="B2184">
        <v>2.06</v>
      </c>
      <c r="C2184" s="1">
        <v>44834</v>
      </c>
      <c r="D2184">
        <v>2.2000000000000002</v>
      </c>
      <c r="E2184" s="1">
        <v>44697</v>
      </c>
      <c r="F2184">
        <v>1</v>
      </c>
    </row>
    <row r="2185" spans="1:6" x14ac:dyDescent="0.25">
      <c r="A2185" s="1">
        <v>44842</v>
      </c>
      <c r="B2185">
        <v>1.65</v>
      </c>
      <c r="C2185" s="1">
        <v>44842</v>
      </c>
      <c r="D2185">
        <v>1.65</v>
      </c>
      <c r="E2185" s="1">
        <v>44698</v>
      </c>
      <c r="F2185">
        <v>1</v>
      </c>
    </row>
    <row r="2186" spans="1:6" x14ac:dyDescent="0.25">
      <c r="A2186" s="1">
        <v>44843</v>
      </c>
      <c r="B2186">
        <v>1.4</v>
      </c>
      <c r="C2186" s="1">
        <v>44843</v>
      </c>
      <c r="D2186">
        <v>1.18</v>
      </c>
      <c r="E2186" s="1">
        <v>44699</v>
      </c>
      <c r="F2186">
        <v>1</v>
      </c>
    </row>
    <row r="2187" spans="1:6" x14ac:dyDescent="0.25">
      <c r="A2187" s="1">
        <v>44844</v>
      </c>
      <c r="B2187">
        <v>1.5401</v>
      </c>
      <c r="C2187" s="1">
        <v>44844</v>
      </c>
      <c r="D2187">
        <v>1.1599999999999999</v>
      </c>
      <c r="E2187" s="1">
        <v>44700</v>
      </c>
      <c r="F2187">
        <v>1</v>
      </c>
    </row>
    <row r="2188" spans="1:6" x14ac:dyDescent="0.25">
      <c r="A2188" s="1">
        <v>44845</v>
      </c>
      <c r="B2188">
        <v>1.6</v>
      </c>
      <c r="C2188" s="1">
        <v>44845</v>
      </c>
      <c r="D2188">
        <v>1.25</v>
      </c>
      <c r="E2188" s="1">
        <v>44701</v>
      </c>
      <c r="F2188">
        <v>1</v>
      </c>
    </row>
    <row r="2189" spans="1:6" x14ac:dyDescent="0.25">
      <c r="A2189" s="1">
        <v>44846</v>
      </c>
      <c r="B2189">
        <v>1.61</v>
      </c>
      <c r="C2189" s="1">
        <v>44846</v>
      </c>
      <c r="D2189">
        <v>1.21</v>
      </c>
      <c r="E2189" s="1">
        <v>44704</v>
      </c>
      <c r="F2189">
        <v>1</v>
      </c>
    </row>
    <row r="2190" spans="1:6" x14ac:dyDescent="0.25">
      <c r="A2190" s="1">
        <v>44847</v>
      </c>
      <c r="B2190">
        <v>1.62</v>
      </c>
      <c r="C2190" s="1">
        <v>44847</v>
      </c>
      <c r="D2190">
        <v>1.25</v>
      </c>
      <c r="E2190" s="1">
        <v>44705</v>
      </c>
      <c r="F2190">
        <v>1</v>
      </c>
    </row>
    <row r="2191" spans="1:6" x14ac:dyDescent="0.25">
      <c r="A2191" s="1">
        <v>44848</v>
      </c>
      <c r="B2191">
        <v>1.6</v>
      </c>
      <c r="C2191" s="1">
        <v>44848</v>
      </c>
      <c r="D2191">
        <v>1.2</v>
      </c>
      <c r="E2191" s="1">
        <v>44706</v>
      </c>
      <c r="F2191">
        <v>1</v>
      </c>
    </row>
    <row r="2192" spans="1:6" x14ac:dyDescent="0.25">
      <c r="A2192" s="1">
        <v>44851</v>
      </c>
      <c r="B2192">
        <v>1.55</v>
      </c>
      <c r="C2192" s="1">
        <v>44851</v>
      </c>
      <c r="D2192">
        <v>1.2434000000000001</v>
      </c>
      <c r="E2192" s="1">
        <v>44707</v>
      </c>
      <c r="F2192">
        <v>1</v>
      </c>
    </row>
    <row r="2193" spans="1:6" x14ac:dyDescent="0.25">
      <c r="A2193" s="1">
        <v>44852</v>
      </c>
      <c r="B2193">
        <v>1.5248999999999999</v>
      </c>
      <c r="C2193" s="1">
        <v>44852</v>
      </c>
      <c r="D2193">
        <v>1.2</v>
      </c>
      <c r="E2193" s="1">
        <v>44708</v>
      </c>
      <c r="F2193">
        <v>1</v>
      </c>
    </row>
    <row r="2194" spans="1:6" x14ac:dyDescent="0.25">
      <c r="A2194" s="1">
        <v>44853</v>
      </c>
      <c r="B2194">
        <v>1.58</v>
      </c>
      <c r="C2194" s="1">
        <v>44853</v>
      </c>
      <c r="D2194">
        <v>1.1896</v>
      </c>
      <c r="E2194" s="1">
        <v>44711</v>
      </c>
      <c r="F2194">
        <v>1</v>
      </c>
    </row>
    <row r="2195" spans="1:6" x14ac:dyDescent="0.25">
      <c r="A2195" s="1">
        <v>44854</v>
      </c>
      <c r="B2195">
        <v>1.6</v>
      </c>
      <c r="C2195" s="1">
        <v>44854</v>
      </c>
      <c r="D2195">
        <v>1.23</v>
      </c>
      <c r="E2195" s="1">
        <v>44712</v>
      </c>
      <c r="F2195">
        <v>1</v>
      </c>
    </row>
    <row r="2196" spans="1:6" x14ac:dyDescent="0.25">
      <c r="A2196" s="1">
        <v>44855</v>
      </c>
      <c r="B2196">
        <v>1.67</v>
      </c>
      <c r="C2196" s="1">
        <v>44855</v>
      </c>
      <c r="D2196">
        <v>1.32</v>
      </c>
      <c r="E2196" s="1">
        <v>44713</v>
      </c>
      <c r="F2196">
        <v>1</v>
      </c>
    </row>
    <row r="2197" spans="1:6" x14ac:dyDescent="0.25">
      <c r="A2197" s="1">
        <v>44858</v>
      </c>
      <c r="B2197">
        <v>1.71</v>
      </c>
      <c r="C2197" s="1">
        <v>44858</v>
      </c>
      <c r="D2197">
        <v>1.4728000000000001</v>
      </c>
      <c r="E2197" s="1">
        <v>44714</v>
      </c>
      <c r="F2197">
        <v>1</v>
      </c>
    </row>
    <row r="2198" spans="1:6" x14ac:dyDescent="0.25">
      <c r="A2198" s="1">
        <v>44859</v>
      </c>
      <c r="B2198">
        <v>2.2000000000000002</v>
      </c>
      <c r="C2198" s="1">
        <v>44859</v>
      </c>
      <c r="D2198">
        <v>1.9</v>
      </c>
      <c r="E2198" s="1">
        <v>44715</v>
      </c>
      <c r="F2198">
        <v>1</v>
      </c>
    </row>
    <row r="2199" spans="1:6" x14ac:dyDescent="0.25">
      <c r="A2199" s="1">
        <v>44860</v>
      </c>
      <c r="B2199">
        <v>2.2000000000000002</v>
      </c>
      <c r="C2199" s="1">
        <v>44860</v>
      </c>
      <c r="D2199">
        <v>1.9</v>
      </c>
      <c r="E2199" s="1">
        <v>44718</v>
      </c>
      <c r="F2199">
        <v>1</v>
      </c>
    </row>
    <row r="2200" spans="1:6" x14ac:dyDescent="0.25">
      <c r="A2200" s="1">
        <v>44861</v>
      </c>
      <c r="B2200">
        <v>2.2000000000000002</v>
      </c>
      <c r="C2200" s="1">
        <v>44861</v>
      </c>
      <c r="D2200">
        <v>1.84</v>
      </c>
      <c r="E2200" s="1">
        <v>44719</v>
      </c>
      <c r="F2200">
        <v>1</v>
      </c>
    </row>
    <row r="2201" spans="1:6" x14ac:dyDescent="0.25">
      <c r="A2201" s="1">
        <v>44862</v>
      </c>
      <c r="B2201">
        <v>1.99</v>
      </c>
      <c r="C2201" s="1">
        <v>44862</v>
      </c>
      <c r="D2201">
        <v>1.38</v>
      </c>
      <c r="E2201" s="1">
        <v>44720</v>
      </c>
      <c r="F2201">
        <v>1</v>
      </c>
    </row>
    <row r="2202" spans="1:6" x14ac:dyDescent="0.25">
      <c r="A2202" s="1">
        <v>44865</v>
      </c>
      <c r="B2202">
        <v>1.94</v>
      </c>
      <c r="C2202" s="1">
        <v>44865</v>
      </c>
      <c r="D2202">
        <v>1.91</v>
      </c>
      <c r="E2202" s="1">
        <v>44721</v>
      </c>
      <c r="F2202">
        <v>1</v>
      </c>
    </row>
    <row r="2203" spans="1:6" x14ac:dyDescent="0.25">
      <c r="A2203" s="1">
        <v>44866</v>
      </c>
      <c r="B2203">
        <v>1.85</v>
      </c>
      <c r="C2203" s="1">
        <v>44866</v>
      </c>
      <c r="D2203">
        <v>1.95</v>
      </c>
      <c r="E2203" s="1">
        <v>44722</v>
      </c>
      <c r="F2203">
        <v>1</v>
      </c>
    </row>
    <row r="2204" spans="1:6" x14ac:dyDescent="0.25">
      <c r="A2204" s="1">
        <v>44867</v>
      </c>
      <c r="B2204">
        <v>1.8</v>
      </c>
      <c r="C2204" s="1">
        <v>44867</v>
      </c>
      <c r="D2204">
        <v>1.8</v>
      </c>
      <c r="E2204" s="1">
        <v>44725</v>
      </c>
      <c r="F2204">
        <v>1</v>
      </c>
    </row>
    <row r="2205" spans="1:6" x14ac:dyDescent="0.25">
      <c r="A2205" s="1">
        <v>44868</v>
      </c>
      <c r="B2205">
        <v>1.65</v>
      </c>
      <c r="C2205" s="1">
        <v>44868</v>
      </c>
      <c r="D2205">
        <v>1.3978999999999999</v>
      </c>
      <c r="E2205" s="1">
        <v>44726</v>
      </c>
      <c r="F2205">
        <v>1</v>
      </c>
    </row>
    <row r="2206" spans="1:6" x14ac:dyDescent="0.25">
      <c r="A2206" s="1">
        <v>44869</v>
      </c>
      <c r="B2206">
        <v>1.68</v>
      </c>
      <c r="C2206" s="1">
        <v>44869</v>
      </c>
      <c r="D2206">
        <v>1.4604999999999999</v>
      </c>
      <c r="E2206" s="1">
        <v>44727</v>
      </c>
      <c r="F2206">
        <v>1.75</v>
      </c>
    </row>
    <row r="2207" spans="1:6" x14ac:dyDescent="0.25">
      <c r="A2207" s="1">
        <v>44872</v>
      </c>
      <c r="B2207">
        <v>1.75</v>
      </c>
      <c r="C2207" s="1">
        <v>44872</v>
      </c>
      <c r="D2207">
        <v>1.7</v>
      </c>
      <c r="E2207" s="1">
        <v>44728</v>
      </c>
      <c r="F2207">
        <v>1.75</v>
      </c>
    </row>
    <row r="2208" spans="1:6" x14ac:dyDescent="0.25">
      <c r="A2208" s="1">
        <v>44873</v>
      </c>
      <c r="B2208">
        <v>1.84</v>
      </c>
      <c r="C2208" s="1">
        <v>44873</v>
      </c>
      <c r="D2208">
        <v>1.83</v>
      </c>
      <c r="E2208" s="1">
        <v>44729</v>
      </c>
      <c r="F2208">
        <v>1.75</v>
      </c>
    </row>
    <row r="2209" spans="1:6" x14ac:dyDescent="0.25">
      <c r="A2209" s="1">
        <v>44874</v>
      </c>
      <c r="B2209">
        <v>1.91</v>
      </c>
      <c r="C2209" s="1">
        <v>44874</v>
      </c>
      <c r="D2209">
        <v>1.9</v>
      </c>
      <c r="E2209" s="1">
        <v>44732</v>
      </c>
      <c r="F2209">
        <v>1.75</v>
      </c>
    </row>
    <row r="2210" spans="1:6" x14ac:dyDescent="0.25">
      <c r="A2210" s="1">
        <v>44875</v>
      </c>
      <c r="B2210">
        <v>1.9</v>
      </c>
      <c r="C2210" s="1">
        <v>44875</v>
      </c>
      <c r="D2210">
        <v>1.9000999999999999</v>
      </c>
      <c r="E2210" s="1">
        <v>44733</v>
      </c>
      <c r="F2210">
        <v>1.75</v>
      </c>
    </row>
    <row r="2211" spans="1:6" x14ac:dyDescent="0.25">
      <c r="A2211" s="1">
        <v>44876</v>
      </c>
      <c r="B2211">
        <v>1.85</v>
      </c>
      <c r="C2211" s="1">
        <v>44876</v>
      </c>
      <c r="D2211">
        <v>1.75</v>
      </c>
      <c r="E2211" s="1">
        <v>44734</v>
      </c>
      <c r="F2211">
        <v>1.75</v>
      </c>
    </row>
    <row r="2212" spans="1:6" x14ac:dyDescent="0.25">
      <c r="A2212" s="1">
        <v>44879</v>
      </c>
      <c r="B2212">
        <v>1.85</v>
      </c>
      <c r="C2212" s="1">
        <v>44879</v>
      </c>
      <c r="D2212">
        <v>1.69</v>
      </c>
      <c r="E2212" s="1">
        <v>44735</v>
      </c>
      <c r="F2212">
        <v>1.75</v>
      </c>
    </row>
    <row r="2213" spans="1:6" x14ac:dyDescent="0.25">
      <c r="A2213" s="1">
        <v>44880</v>
      </c>
      <c r="B2213">
        <v>2</v>
      </c>
      <c r="C2213" s="1">
        <v>44880</v>
      </c>
      <c r="D2213">
        <v>1.9246000000000001</v>
      </c>
      <c r="E2213" s="1">
        <v>44736</v>
      </c>
      <c r="F2213">
        <v>1.75</v>
      </c>
    </row>
    <row r="2214" spans="1:6" x14ac:dyDescent="0.25">
      <c r="A2214" s="1">
        <v>44881</v>
      </c>
      <c r="B2214">
        <v>2.0312999999999999</v>
      </c>
      <c r="C2214" s="1">
        <v>44881</v>
      </c>
      <c r="D2214">
        <v>2.0099999999999998</v>
      </c>
      <c r="E2214" s="1">
        <v>44739</v>
      </c>
      <c r="F2214">
        <v>1.75</v>
      </c>
    </row>
    <row r="2215" spans="1:6" x14ac:dyDescent="0.25">
      <c r="A2215" s="1">
        <v>44882</v>
      </c>
      <c r="B2215">
        <v>1.95</v>
      </c>
      <c r="C2215" s="1">
        <v>44882</v>
      </c>
      <c r="D2215">
        <v>1.73</v>
      </c>
      <c r="E2215" s="1">
        <v>44740</v>
      </c>
      <c r="F2215">
        <v>1.75</v>
      </c>
    </row>
    <row r="2216" spans="1:6" x14ac:dyDescent="0.25">
      <c r="A2216" s="1">
        <v>44883</v>
      </c>
      <c r="B2216">
        <v>1.81</v>
      </c>
      <c r="C2216" s="1">
        <v>44883</v>
      </c>
      <c r="D2216">
        <v>1.4</v>
      </c>
      <c r="E2216" s="1">
        <v>44741</v>
      </c>
      <c r="F2216">
        <v>1.75</v>
      </c>
    </row>
    <row r="2217" spans="1:6" x14ac:dyDescent="0.25">
      <c r="A2217" s="1">
        <v>44886</v>
      </c>
      <c r="B2217">
        <v>1.7</v>
      </c>
      <c r="C2217" s="1">
        <v>44886</v>
      </c>
      <c r="D2217">
        <v>1.18</v>
      </c>
      <c r="E2217" s="1">
        <v>44742</v>
      </c>
      <c r="F2217">
        <v>1.75</v>
      </c>
    </row>
    <row r="2218" spans="1:6" x14ac:dyDescent="0.25">
      <c r="A2218" s="1">
        <v>44887</v>
      </c>
      <c r="B2218">
        <v>1.7111000000000001</v>
      </c>
      <c r="C2218" s="1">
        <v>44887</v>
      </c>
      <c r="D2218">
        <v>0.93</v>
      </c>
      <c r="E2218" s="1">
        <v>44743</v>
      </c>
      <c r="F2218">
        <v>1.75</v>
      </c>
    </row>
    <row r="2219" spans="1:6" x14ac:dyDescent="0.25">
      <c r="A2219" s="1">
        <v>44888</v>
      </c>
      <c r="B2219">
        <v>1.7</v>
      </c>
      <c r="C2219" s="1">
        <v>44888</v>
      </c>
      <c r="D2219">
        <v>1.1000000000000001</v>
      </c>
      <c r="E2219" s="1">
        <v>44746</v>
      </c>
      <c r="F2219">
        <v>1.75</v>
      </c>
    </row>
    <row r="2220" spans="1:6" x14ac:dyDescent="0.25">
      <c r="A2220" s="1">
        <v>44889</v>
      </c>
      <c r="B2220">
        <v>2.1</v>
      </c>
      <c r="C2220" s="1">
        <v>44889</v>
      </c>
      <c r="D2220">
        <v>1.1000000000000001</v>
      </c>
      <c r="E2220" s="1">
        <v>44747</v>
      </c>
      <c r="F2220">
        <v>1.75</v>
      </c>
    </row>
    <row r="2221" spans="1:6" x14ac:dyDescent="0.25">
      <c r="A2221" s="1">
        <v>44890</v>
      </c>
      <c r="B2221">
        <v>2.15</v>
      </c>
      <c r="C2221" s="1">
        <v>44890</v>
      </c>
      <c r="D2221">
        <v>1.1000000000000001</v>
      </c>
      <c r="E2221" s="1">
        <v>44748</v>
      </c>
      <c r="F2221">
        <v>1.75</v>
      </c>
    </row>
    <row r="2222" spans="1:6" x14ac:dyDescent="0.25">
      <c r="A2222" s="1">
        <v>44893</v>
      </c>
      <c r="B2222">
        <v>2.0499999999999998</v>
      </c>
      <c r="C2222" s="1">
        <v>44893</v>
      </c>
      <c r="D2222">
        <v>1.1000000000000001</v>
      </c>
      <c r="E2222" s="1">
        <v>44749</v>
      </c>
      <c r="F2222">
        <v>1.75</v>
      </c>
    </row>
    <row r="2223" spans="1:6" x14ac:dyDescent="0.25">
      <c r="A2223" s="1">
        <v>44894</v>
      </c>
      <c r="B2223">
        <v>2.1</v>
      </c>
      <c r="C2223" s="1">
        <v>44894</v>
      </c>
      <c r="D2223">
        <v>1.0749</v>
      </c>
      <c r="E2223" s="1">
        <v>44750</v>
      </c>
      <c r="F2223">
        <v>1.75</v>
      </c>
    </row>
    <row r="2224" spans="1:6" x14ac:dyDescent="0.25">
      <c r="A2224" s="1">
        <v>44895</v>
      </c>
      <c r="B2224">
        <v>2.2000000000000002</v>
      </c>
      <c r="C2224" s="1">
        <v>44895</v>
      </c>
      <c r="D2224">
        <v>1.73</v>
      </c>
      <c r="E2224" s="1">
        <v>44753</v>
      </c>
      <c r="F2224">
        <v>1.75</v>
      </c>
    </row>
    <row r="2225" spans="1:6" x14ac:dyDescent="0.25">
      <c r="A2225" s="1">
        <v>44896</v>
      </c>
      <c r="B2225">
        <v>1.75</v>
      </c>
      <c r="C2225" s="1">
        <v>44896</v>
      </c>
      <c r="D2225">
        <v>1.5</v>
      </c>
      <c r="E2225" s="1">
        <v>44754</v>
      </c>
      <c r="F2225">
        <v>1.75</v>
      </c>
    </row>
    <row r="2226" spans="1:6" x14ac:dyDescent="0.25">
      <c r="A2226" s="1">
        <v>44897</v>
      </c>
      <c r="B2226">
        <v>1.7</v>
      </c>
      <c r="C2226" s="1">
        <v>44897</v>
      </c>
      <c r="D2226">
        <v>1.22</v>
      </c>
      <c r="E2226" s="1">
        <v>44755</v>
      </c>
      <c r="F2226">
        <v>1.75</v>
      </c>
    </row>
    <row r="2227" spans="1:6" x14ac:dyDescent="0.25">
      <c r="A2227" s="1">
        <v>44900</v>
      </c>
      <c r="B2227">
        <v>1.7</v>
      </c>
      <c r="C2227" s="1">
        <v>44900</v>
      </c>
      <c r="D2227">
        <v>1.1399999999999999</v>
      </c>
      <c r="E2227" s="1">
        <v>44756</v>
      </c>
      <c r="F2227">
        <v>1.75</v>
      </c>
    </row>
    <row r="2228" spans="1:6" x14ac:dyDescent="0.25">
      <c r="A2228" s="1">
        <v>44901</v>
      </c>
      <c r="B2228">
        <v>1.66</v>
      </c>
      <c r="C2228" s="1">
        <v>44901</v>
      </c>
      <c r="D2228">
        <v>1.1000000000000001</v>
      </c>
      <c r="E2228" s="1">
        <v>44757</v>
      </c>
      <c r="F2228">
        <v>1.75</v>
      </c>
    </row>
    <row r="2229" spans="1:6" x14ac:dyDescent="0.25">
      <c r="A2229" s="1">
        <v>44902</v>
      </c>
      <c r="B2229">
        <v>1.68</v>
      </c>
      <c r="C2229" s="1">
        <v>44902</v>
      </c>
      <c r="D2229">
        <v>1.08</v>
      </c>
      <c r="E2229" s="1">
        <v>44760</v>
      </c>
      <c r="F2229">
        <v>1.75</v>
      </c>
    </row>
    <row r="2230" spans="1:6" x14ac:dyDescent="0.25">
      <c r="A2230" s="1">
        <v>44903</v>
      </c>
      <c r="B2230">
        <v>1.7</v>
      </c>
      <c r="C2230" s="1">
        <v>44903</v>
      </c>
      <c r="D2230">
        <v>1.1480999999999999</v>
      </c>
      <c r="E2230" s="1">
        <v>44761</v>
      </c>
      <c r="F2230">
        <v>1.75</v>
      </c>
    </row>
    <row r="2231" spans="1:6" x14ac:dyDescent="0.25">
      <c r="A2231" s="1">
        <v>44904</v>
      </c>
      <c r="B2231">
        <v>1.76</v>
      </c>
      <c r="C2231" s="1">
        <v>44904</v>
      </c>
      <c r="D2231">
        <v>1.1462000000000001</v>
      </c>
      <c r="E2231" s="1">
        <v>44762</v>
      </c>
      <c r="F2231">
        <v>1.75</v>
      </c>
    </row>
    <row r="2232" spans="1:6" x14ac:dyDescent="0.25">
      <c r="A2232" s="1">
        <v>44907</v>
      </c>
      <c r="B2232">
        <v>1.75</v>
      </c>
      <c r="C2232" s="1">
        <v>44907</v>
      </c>
      <c r="D2232">
        <v>1.1299999999999999</v>
      </c>
      <c r="E2232" s="1">
        <v>44763</v>
      </c>
      <c r="F2232">
        <v>1.75</v>
      </c>
    </row>
    <row r="2233" spans="1:6" x14ac:dyDescent="0.25">
      <c r="A2233" s="1">
        <v>44908</v>
      </c>
      <c r="B2233">
        <v>1.81</v>
      </c>
      <c r="C2233" s="1">
        <v>44908</v>
      </c>
      <c r="D2233">
        <v>1.1200000000000001</v>
      </c>
      <c r="E2233" s="1">
        <v>44764</v>
      </c>
      <c r="F2233">
        <v>1.75</v>
      </c>
    </row>
    <row r="2234" spans="1:6" x14ac:dyDescent="0.25">
      <c r="A2234" s="1">
        <v>44909</v>
      </c>
      <c r="B2234">
        <v>1.8</v>
      </c>
      <c r="C2234" s="1">
        <v>44909</v>
      </c>
      <c r="D2234">
        <v>1.28</v>
      </c>
      <c r="E2234" s="1">
        <v>44767</v>
      </c>
      <c r="F2234">
        <v>1.75</v>
      </c>
    </row>
    <row r="2235" spans="1:6" x14ac:dyDescent="0.25">
      <c r="A2235" s="1">
        <v>44910</v>
      </c>
      <c r="B2235">
        <v>1.88</v>
      </c>
      <c r="C2235" s="1">
        <v>44910</v>
      </c>
      <c r="D2235">
        <v>1.3</v>
      </c>
      <c r="E2235" s="1">
        <v>44768</v>
      </c>
      <c r="F2235">
        <v>1.75</v>
      </c>
    </row>
    <row r="2236" spans="1:6" x14ac:dyDescent="0.25">
      <c r="A2236" s="1">
        <v>44911</v>
      </c>
      <c r="B2236">
        <v>1.82</v>
      </c>
      <c r="C2236" s="1">
        <v>44911</v>
      </c>
      <c r="D2236">
        <v>1.3</v>
      </c>
      <c r="E2236" s="1">
        <v>44769</v>
      </c>
      <c r="F2236">
        <v>2.5</v>
      </c>
    </row>
    <row r="2237" spans="1:6" x14ac:dyDescent="0.25">
      <c r="A2237" s="1">
        <v>44914</v>
      </c>
      <c r="B2237">
        <v>1.83</v>
      </c>
      <c r="C2237" s="1">
        <v>44914</v>
      </c>
      <c r="D2237">
        <v>1.29</v>
      </c>
      <c r="E2237" s="1">
        <v>44770</v>
      </c>
      <c r="F2237">
        <v>2.5</v>
      </c>
    </row>
    <row r="2238" spans="1:6" x14ac:dyDescent="0.25">
      <c r="A2238" s="1">
        <v>44915</v>
      </c>
      <c r="B2238">
        <v>1.9</v>
      </c>
      <c r="C2238" s="1">
        <v>44915</v>
      </c>
      <c r="D2238">
        <v>1.25</v>
      </c>
      <c r="E2238" s="1">
        <v>44771</v>
      </c>
      <c r="F2238">
        <v>2.5</v>
      </c>
    </row>
    <row r="2239" spans="1:6" x14ac:dyDescent="0.25">
      <c r="A2239" s="1">
        <v>44916</v>
      </c>
      <c r="B2239">
        <v>2</v>
      </c>
      <c r="C2239" s="1">
        <v>44916</v>
      </c>
      <c r="D2239">
        <v>1</v>
      </c>
      <c r="E2239" s="1">
        <v>44774</v>
      </c>
      <c r="F2239">
        <v>2.5</v>
      </c>
    </row>
    <row r="2240" spans="1:6" x14ac:dyDescent="0.25">
      <c r="A2240" s="1">
        <v>44917</v>
      </c>
      <c r="B2240">
        <v>1.8</v>
      </c>
      <c r="C2240" s="1">
        <v>44917</v>
      </c>
      <c r="D2240">
        <v>0.85</v>
      </c>
      <c r="E2240" s="1">
        <v>44775</v>
      </c>
      <c r="F2240">
        <v>2.5</v>
      </c>
    </row>
    <row r="2241" spans="1:6" x14ac:dyDescent="0.25">
      <c r="A2241" s="1">
        <v>44918</v>
      </c>
      <c r="B2241">
        <v>1.8</v>
      </c>
      <c r="C2241" s="1">
        <v>44918</v>
      </c>
      <c r="D2241">
        <v>0.7</v>
      </c>
      <c r="E2241" s="1">
        <v>44776</v>
      </c>
      <c r="F2241">
        <v>2.5</v>
      </c>
    </row>
    <row r="2242" spans="1:6" x14ac:dyDescent="0.25">
      <c r="A2242" s="1">
        <v>44921</v>
      </c>
      <c r="B2242">
        <v>2.0558000000000001</v>
      </c>
      <c r="C2242" s="1">
        <v>44921</v>
      </c>
      <c r="D2242">
        <v>0.86</v>
      </c>
      <c r="E2242" s="1">
        <v>44777</v>
      </c>
      <c r="F2242">
        <v>2.5</v>
      </c>
    </row>
    <row r="2243" spans="1:6" x14ac:dyDescent="0.25">
      <c r="A2243" s="1">
        <v>44922</v>
      </c>
      <c r="B2243">
        <v>5</v>
      </c>
      <c r="C2243" s="1">
        <v>44922</v>
      </c>
      <c r="D2243">
        <v>0.75</v>
      </c>
      <c r="E2243" s="1">
        <v>44778</v>
      </c>
      <c r="F2243">
        <v>2.5</v>
      </c>
    </row>
    <row r="2244" spans="1:6" x14ac:dyDescent="0.25">
      <c r="A2244" s="1">
        <v>44923</v>
      </c>
      <c r="B2244">
        <v>4.8</v>
      </c>
      <c r="C2244" s="1">
        <v>44923</v>
      </c>
      <c r="D2244">
        <v>0.6</v>
      </c>
      <c r="E2244" s="1">
        <v>44781</v>
      </c>
      <c r="F2244">
        <v>2.5</v>
      </c>
    </row>
    <row r="2245" spans="1:6" x14ac:dyDescent="0.25">
      <c r="A2245" s="1">
        <v>44924</v>
      </c>
      <c r="B2245">
        <v>3.5</v>
      </c>
      <c r="C2245" s="1">
        <v>44924</v>
      </c>
      <c r="D2245">
        <v>0.55000000000000004</v>
      </c>
      <c r="E2245" s="1">
        <v>44782</v>
      </c>
      <c r="F2245">
        <v>2.5</v>
      </c>
    </row>
    <row r="2246" spans="1:6" x14ac:dyDescent="0.25">
      <c r="A2246" s="1">
        <v>44925</v>
      </c>
      <c r="B2246">
        <v>3</v>
      </c>
      <c r="C2246" s="1">
        <v>44925</v>
      </c>
      <c r="D2246">
        <v>3</v>
      </c>
      <c r="E2246" s="1">
        <v>44783</v>
      </c>
      <c r="F2246">
        <v>2.5</v>
      </c>
    </row>
    <row r="2247" spans="1:6" x14ac:dyDescent="0.25">
      <c r="A2247" s="1">
        <v>44929</v>
      </c>
      <c r="B2247">
        <v>1.9242999999999999</v>
      </c>
      <c r="C2247" s="1">
        <v>44929</v>
      </c>
      <c r="D2247">
        <v>1.5306999999999999</v>
      </c>
      <c r="E2247" s="1">
        <v>44784</v>
      </c>
      <c r="F2247">
        <v>2.5</v>
      </c>
    </row>
    <row r="2248" spans="1:6" x14ac:dyDescent="0.25">
      <c r="A2248" s="1">
        <v>44930</v>
      </c>
      <c r="B2248">
        <v>1.7</v>
      </c>
      <c r="C2248" s="1">
        <v>44930</v>
      </c>
      <c r="D2248">
        <v>1.1000000000000001</v>
      </c>
      <c r="E2248" s="1">
        <v>44785</v>
      </c>
      <c r="F2248">
        <v>2.5</v>
      </c>
    </row>
    <row r="2249" spans="1:6" x14ac:dyDescent="0.25">
      <c r="A2249" s="1">
        <v>44931</v>
      </c>
      <c r="B2249">
        <v>1.7</v>
      </c>
      <c r="C2249" s="1">
        <v>44931</v>
      </c>
      <c r="D2249">
        <v>0.65</v>
      </c>
      <c r="E2249" s="1">
        <v>44788</v>
      </c>
      <c r="F2249">
        <v>2.5</v>
      </c>
    </row>
    <row r="2250" spans="1:6" x14ac:dyDescent="0.25">
      <c r="A2250" s="1">
        <v>44932</v>
      </c>
      <c r="B2250">
        <v>1.75</v>
      </c>
      <c r="C2250" s="1">
        <v>44932</v>
      </c>
      <c r="D2250">
        <v>0.65</v>
      </c>
      <c r="E2250" s="1">
        <v>44789</v>
      </c>
      <c r="F2250">
        <v>2.5</v>
      </c>
    </row>
    <row r="2251" spans="1:6" x14ac:dyDescent="0.25">
      <c r="A2251" s="1">
        <v>44935</v>
      </c>
      <c r="B2251">
        <v>1.85</v>
      </c>
      <c r="C2251" s="1">
        <v>44935</v>
      </c>
      <c r="D2251">
        <v>0.75</v>
      </c>
      <c r="E2251" s="1">
        <v>44790</v>
      </c>
      <c r="F2251">
        <v>2.5</v>
      </c>
    </row>
    <row r="2252" spans="1:6" x14ac:dyDescent="0.25">
      <c r="A2252" s="1">
        <v>44936</v>
      </c>
      <c r="B2252">
        <v>1.98</v>
      </c>
      <c r="C2252" s="1">
        <v>44936</v>
      </c>
      <c r="D2252">
        <v>1.2</v>
      </c>
      <c r="E2252" s="1">
        <v>44791</v>
      </c>
      <c r="F2252">
        <v>2.5</v>
      </c>
    </row>
    <row r="2253" spans="1:6" x14ac:dyDescent="0.25">
      <c r="A2253" s="1">
        <v>44937</v>
      </c>
      <c r="B2253">
        <v>2.2999999999999998</v>
      </c>
      <c r="C2253" s="1">
        <v>44937</v>
      </c>
      <c r="D2253">
        <v>1.57</v>
      </c>
      <c r="E2253" s="1">
        <v>44792</v>
      </c>
      <c r="F2253">
        <v>2.5</v>
      </c>
    </row>
    <row r="2254" spans="1:6" x14ac:dyDescent="0.25">
      <c r="A2254" s="1">
        <v>44938</v>
      </c>
      <c r="B2254">
        <v>2.2000000000000002</v>
      </c>
      <c r="C2254" s="1">
        <v>44938</v>
      </c>
      <c r="D2254">
        <v>1.6</v>
      </c>
      <c r="E2254" s="1">
        <v>44795</v>
      </c>
      <c r="F2254">
        <v>2.5</v>
      </c>
    </row>
    <row r="2255" spans="1:6" x14ac:dyDescent="0.25">
      <c r="A2255" s="1">
        <v>44939</v>
      </c>
      <c r="B2255">
        <v>1.95</v>
      </c>
      <c r="C2255" s="1">
        <v>44939</v>
      </c>
      <c r="D2255">
        <v>1.33</v>
      </c>
      <c r="E2255" s="1">
        <v>44796</v>
      </c>
      <c r="F2255">
        <v>2.5</v>
      </c>
    </row>
    <row r="2256" spans="1:6" x14ac:dyDescent="0.25">
      <c r="A2256" s="1">
        <v>44942</v>
      </c>
      <c r="B2256">
        <v>2.15</v>
      </c>
      <c r="C2256" s="1">
        <v>44942</v>
      </c>
      <c r="D2256">
        <v>1.65</v>
      </c>
      <c r="E2256" s="1">
        <v>44797</v>
      </c>
      <c r="F2256">
        <v>2.5</v>
      </c>
    </row>
    <row r="2257" spans="1:6" x14ac:dyDescent="0.25">
      <c r="A2257" s="1">
        <v>44943</v>
      </c>
      <c r="B2257">
        <v>2.6</v>
      </c>
      <c r="C2257" s="1">
        <v>44943</v>
      </c>
      <c r="D2257">
        <v>2</v>
      </c>
      <c r="E2257" s="1">
        <v>44798</v>
      </c>
      <c r="F2257">
        <v>2.5</v>
      </c>
    </row>
    <row r="2258" spans="1:6" x14ac:dyDescent="0.25">
      <c r="A2258" s="1">
        <v>44944</v>
      </c>
      <c r="B2258">
        <v>2.6</v>
      </c>
      <c r="C2258" s="1">
        <v>44944</v>
      </c>
      <c r="D2258">
        <v>2.0099999999999998</v>
      </c>
      <c r="E2258" s="1">
        <v>44799</v>
      </c>
      <c r="F2258">
        <v>2.5</v>
      </c>
    </row>
    <row r="2259" spans="1:6" x14ac:dyDescent="0.25">
      <c r="A2259" s="1">
        <v>44945</v>
      </c>
      <c r="B2259">
        <v>2.4</v>
      </c>
      <c r="C2259" s="1">
        <v>44945</v>
      </c>
      <c r="D2259">
        <v>1.6887000000000001</v>
      </c>
      <c r="E2259" s="1">
        <v>44802</v>
      </c>
      <c r="F2259">
        <v>2.5</v>
      </c>
    </row>
    <row r="2260" spans="1:6" x14ac:dyDescent="0.25">
      <c r="A2260" s="1">
        <v>44946</v>
      </c>
      <c r="B2260">
        <v>2</v>
      </c>
      <c r="C2260" s="1">
        <v>44946</v>
      </c>
      <c r="D2260">
        <v>1.83</v>
      </c>
      <c r="E2260" s="1">
        <v>44803</v>
      </c>
      <c r="F2260">
        <v>2.5</v>
      </c>
    </row>
    <row r="2261" spans="1:6" x14ac:dyDescent="0.25">
      <c r="A2261" s="1">
        <v>44954</v>
      </c>
      <c r="B2261">
        <v>1.95</v>
      </c>
      <c r="C2261" s="1">
        <v>44954</v>
      </c>
      <c r="D2261">
        <v>1.44</v>
      </c>
      <c r="E2261" s="1">
        <v>44804</v>
      </c>
      <c r="F2261">
        <v>2.5</v>
      </c>
    </row>
    <row r="2262" spans="1:6" x14ac:dyDescent="0.25">
      <c r="A2262" s="1">
        <v>44955</v>
      </c>
      <c r="B2262">
        <v>1.8540000000000001</v>
      </c>
      <c r="C2262" s="1">
        <v>44955</v>
      </c>
      <c r="D2262">
        <v>1.2</v>
      </c>
      <c r="E2262" s="1">
        <v>44805</v>
      </c>
      <c r="F2262">
        <v>2.5</v>
      </c>
    </row>
    <row r="2263" spans="1:6" x14ac:dyDescent="0.25">
      <c r="A2263" s="1">
        <v>44956</v>
      </c>
      <c r="B2263">
        <v>2.14</v>
      </c>
      <c r="C2263" s="1">
        <v>44956</v>
      </c>
      <c r="D2263">
        <v>1.5</v>
      </c>
      <c r="E2263" s="1">
        <v>44806</v>
      </c>
      <c r="F2263">
        <v>2.5</v>
      </c>
    </row>
    <row r="2264" spans="1:6" x14ac:dyDescent="0.25">
      <c r="A2264" s="1">
        <v>44957</v>
      </c>
      <c r="B2264">
        <v>2.2000000000000002</v>
      </c>
      <c r="C2264" s="1">
        <v>44957</v>
      </c>
      <c r="D2264">
        <v>2.4500000000000002</v>
      </c>
      <c r="E2264" s="1">
        <v>44809</v>
      </c>
      <c r="F2264">
        <v>2.5</v>
      </c>
    </row>
    <row r="2265" spans="1:6" x14ac:dyDescent="0.25">
      <c r="A2265" s="1">
        <v>44958</v>
      </c>
      <c r="B2265">
        <v>2.0499999999999998</v>
      </c>
      <c r="C2265" s="1">
        <v>44958</v>
      </c>
      <c r="D2265">
        <v>2.23</v>
      </c>
      <c r="E2265" s="1">
        <v>44810</v>
      </c>
      <c r="F2265">
        <v>2.5</v>
      </c>
    </row>
    <row r="2266" spans="1:6" x14ac:dyDescent="0.25">
      <c r="A2266" s="1">
        <v>44959</v>
      </c>
      <c r="B2266">
        <v>2.0499999999999998</v>
      </c>
      <c r="C2266" s="1">
        <v>44959</v>
      </c>
      <c r="D2266">
        <v>1.7</v>
      </c>
      <c r="E2266" s="1">
        <v>44811</v>
      </c>
      <c r="F2266">
        <v>2.5</v>
      </c>
    </row>
    <row r="2267" spans="1:6" x14ac:dyDescent="0.25">
      <c r="A2267" s="1">
        <v>44960</v>
      </c>
      <c r="B2267">
        <v>1.9</v>
      </c>
      <c r="C2267" s="1">
        <v>44960</v>
      </c>
      <c r="D2267">
        <v>1.35</v>
      </c>
      <c r="E2267" s="1">
        <v>44812</v>
      </c>
      <c r="F2267">
        <v>2.5</v>
      </c>
    </row>
    <row r="2268" spans="1:6" x14ac:dyDescent="0.25">
      <c r="A2268" s="1">
        <v>44963</v>
      </c>
      <c r="B2268">
        <v>2.0299999999999998</v>
      </c>
      <c r="C2268" s="1">
        <v>44963</v>
      </c>
      <c r="D2268">
        <v>1.9</v>
      </c>
      <c r="E2268" s="1">
        <v>44813</v>
      </c>
      <c r="F2268">
        <v>2.5</v>
      </c>
    </row>
    <row r="2269" spans="1:6" x14ac:dyDescent="0.25">
      <c r="A2269" s="1">
        <v>44964</v>
      </c>
      <c r="B2269">
        <v>2.2999999999999998</v>
      </c>
      <c r="C2269" s="1">
        <v>44964</v>
      </c>
      <c r="D2269">
        <v>2.39</v>
      </c>
      <c r="E2269" s="1">
        <v>44816</v>
      </c>
      <c r="F2269">
        <v>2.5</v>
      </c>
    </row>
    <row r="2270" spans="1:6" x14ac:dyDescent="0.25">
      <c r="A2270" s="1">
        <v>44965</v>
      </c>
      <c r="B2270">
        <v>2.4500000000000002</v>
      </c>
      <c r="C2270" s="1">
        <v>44965</v>
      </c>
      <c r="D2270">
        <v>2.5499999999999998</v>
      </c>
      <c r="E2270" s="1">
        <v>44817</v>
      </c>
      <c r="F2270">
        <v>2.5</v>
      </c>
    </row>
    <row r="2271" spans="1:6" x14ac:dyDescent="0.25">
      <c r="A2271" s="1">
        <v>44966</v>
      </c>
      <c r="B2271">
        <v>2.4</v>
      </c>
      <c r="C2271" s="1">
        <v>44966</v>
      </c>
      <c r="D2271">
        <v>2.4500000000000002</v>
      </c>
      <c r="E2271" s="1">
        <v>44818</v>
      </c>
      <c r="F2271">
        <v>2.5</v>
      </c>
    </row>
    <row r="2272" spans="1:6" x14ac:dyDescent="0.25">
      <c r="A2272" s="1">
        <v>44967</v>
      </c>
      <c r="B2272">
        <v>2.08</v>
      </c>
      <c r="C2272" s="1">
        <v>44967</v>
      </c>
      <c r="D2272">
        <v>1.9</v>
      </c>
      <c r="E2272" s="1">
        <v>44819</v>
      </c>
      <c r="F2272">
        <v>2.5</v>
      </c>
    </row>
    <row r="2273" spans="1:6" x14ac:dyDescent="0.25">
      <c r="A2273" s="1">
        <v>44970</v>
      </c>
      <c r="B2273">
        <v>2</v>
      </c>
      <c r="C2273" s="1">
        <v>44970</v>
      </c>
      <c r="D2273">
        <v>1.4543999999999999</v>
      </c>
      <c r="E2273" s="1">
        <v>44820</v>
      </c>
      <c r="F2273">
        <v>2.5</v>
      </c>
    </row>
    <row r="2274" spans="1:6" x14ac:dyDescent="0.25">
      <c r="A2274" s="1">
        <v>44971</v>
      </c>
      <c r="B2274">
        <v>2.13</v>
      </c>
      <c r="C2274" s="1">
        <v>44971</v>
      </c>
      <c r="D2274">
        <v>1.6223000000000001</v>
      </c>
      <c r="E2274" s="1">
        <v>44823</v>
      </c>
      <c r="F2274">
        <v>2.5</v>
      </c>
    </row>
    <row r="2275" spans="1:6" x14ac:dyDescent="0.25">
      <c r="A2275" s="1">
        <v>44972</v>
      </c>
      <c r="B2275">
        <v>2.1</v>
      </c>
      <c r="C2275" s="1">
        <v>44972</v>
      </c>
      <c r="D2275">
        <v>2</v>
      </c>
      <c r="E2275" s="1">
        <v>44824</v>
      </c>
      <c r="F2275">
        <v>2.5</v>
      </c>
    </row>
    <row r="2276" spans="1:6" x14ac:dyDescent="0.25">
      <c r="A2276" s="1">
        <v>44973</v>
      </c>
      <c r="B2276">
        <v>2.13</v>
      </c>
      <c r="C2276" s="1">
        <v>44973</v>
      </c>
      <c r="D2276">
        <v>2.1</v>
      </c>
      <c r="E2276" s="1">
        <v>44825</v>
      </c>
      <c r="F2276">
        <v>3.25</v>
      </c>
    </row>
    <row r="2277" spans="1:6" x14ac:dyDescent="0.25">
      <c r="A2277" s="1">
        <v>44974</v>
      </c>
      <c r="B2277">
        <v>2.5</v>
      </c>
      <c r="C2277" s="1">
        <v>44974</v>
      </c>
      <c r="D2277">
        <v>2.2999999999999998</v>
      </c>
      <c r="E2277" s="1">
        <v>44826</v>
      </c>
      <c r="F2277">
        <v>3.25</v>
      </c>
    </row>
    <row r="2278" spans="1:6" x14ac:dyDescent="0.25">
      <c r="A2278" s="1">
        <v>44977</v>
      </c>
      <c r="B2278">
        <v>2.2999999999999998</v>
      </c>
      <c r="C2278" s="1">
        <v>44977</v>
      </c>
      <c r="D2278">
        <v>2.25</v>
      </c>
      <c r="E2278" s="1">
        <v>44827</v>
      </c>
      <c r="F2278">
        <v>3.25</v>
      </c>
    </row>
    <row r="2279" spans="1:6" x14ac:dyDescent="0.25">
      <c r="A2279" s="1">
        <v>44978</v>
      </c>
      <c r="B2279">
        <v>2.2006999999999999</v>
      </c>
      <c r="C2279" s="1">
        <v>44978</v>
      </c>
      <c r="D2279">
        <v>2.25</v>
      </c>
      <c r="E2279" s="1">
        <v>44830</v>
      </c>
      <c r="F2279">
        <v>3.25</v>
      </c>
    </row>
    <row r="2280" spans="1:6" x14ac:dyDescent="0.25">
      <c r="A2280" s="1">
        <v>44979</v>
      </c>
      <c r="B2280">
        <v>2.65</v>
      </c>
      <c r="C2280" s="1">
        <v>44979</v>
      </c>
      <c r="D2280">
        <v>1.8063</v>
      </c>
      <c r="E2280" s="1">
        <v>44831</v>
      </c>
      <c r="F2280">
        <v>3.25</v>
      </c>
    </row>
    <row r="2281" spans="1:6" x14ac:dyDescent="0.25">
      <c r="A2281" s="1">
        <v>44980</v>
      </c>
      <c r="B2281">
        <v>2.6</v>
      </c>
      <c r="C2281" s="1">
        <v>44980</v>
      </c>
      <c r="D2281">
        <v>1.54</v>
      </c>
      <c r="E2281" s="1">
        <v>44832</v>
      </c>
      <c r="F2281">
        <v>3.25</v>
      </c>
    </row>
    <row r="2282" spans="1:6" x14ac:dyDescent="0.25">
      <c r="A2282" s="1">
        <v>44981</v>
      </c>
      <c r="B2282">
        <v>2.6</v>
      </c>
      <c r="C2282" s="1">
        <v>44981</v>
      </c>
      <c r="D2282">
        <v>1.5</v>
      </c>
      <c r="E2282" s="1">
        <v>44833</v>
      </c>
      <c r="F2282">
        <v>3.25</v>
      </c>
    </row>
    <row r="2283" spans="1:6" x14ac:dyDescent="0.25">
      <c r="A2283" s="1">
        <v>44984</v>
      </c>
      <c r="B2283">
        <v>2.65</v>
      </c>
      <c r="C2283" s="1">
        <v>44984</v>
      </c>
      <c r="D2283">
        <v>1.86</v>
      </c>
      <c r="E2283" s="1">
        <v>44834</v>
      </c>
      <c r="F2283">
        <v>3.25</v>
      </c>
    </row>
    <row r="2284" spans="1:6" x14ac:dyDescent="0.25">
      <c r="A2284" s="1">
        <v>44985</v>
      </c>
      <c r="B2284">
        <v>2.85</v>
      </c>
      <c r="C2284" s="1">
        <v>44985</v>
      </c>
      <c r="D2284">
        <v>2.2000000000000002</v>
      </c>
      <c r="E2284" s="1">
        <v>44837</v>
      </c>
      <c r="F2284">
        <v>3.25</v>
      </c>
    </row>
    <row r="2285" spans="1:6" x14ac:dyDescent="0.25">
      <c r="A2285" s="1">
        <v>44986</v>
      </c>
      <c r="B2285">
        <v>2.12</v>
      </c>
      <c r="C2285" s="1">
        <v>44986</v>
      </c>
      <c r="D2285">
        <v>2.17</v>
      </c>
      <c r="E2285" s="1">
        <v>44838</v>
      </c>
      <c r="F2285">
        <v>3.25</v>
      </c>
    </row>
    <row r="2286" spans="1:6" x14ac:dyDescent="0.25">
      <c r="A2286" s="1">
        <v>44987</v>
      </c>
      <c r="B2286">
        <v>2.2000000000000002</v>
      </c>
      <c r="C2286" s="1">
        <v>44987</v>
      </c>
      <c r="D2286">
        <v>1.66</v>
      </c>
      <c r="E2286" s="1">
        <v>44839</v>
      </c>
      <c r="F2286">
        <v>3.25</v>
      </c>
    </row>
    <row r="2287" spans="1:6" x14ac:dyDescent="0.25">
      <c r="A2287" s="1">
        <v>44988</v>
      </c>
      <c r="B2287">
        <v>2</v>
      </c>
      <c r="C2287" s="1">
        <v>44988</v>
      </c>
      <c r="D2287">
        <v>1.35</v>
      </c>
      <c r="E2287" s="1">
        <v>44840</v>
      </c>
      <c r="F2287">
        <v>3.25</v>
      </c>
    </row>
    <row r="2288" spans="1:6" x14ac:dyDescent="0.25">
      <c r="A2288" s="1">
        <v>44991</v>
      </c>
      <c r="B2288">
        <v>2</v>
      </c>
      <c r="C2288" s="1">
        <v>44991</v>
      </c>
      <c r="D2288">
        <v>1.28</v>
      </c>
      <c r="E2288" s="1">
        <v>44841</v>
      </c>
      <c r="F2288">
        <v>3.25</v>
      </c>
    </row>
    <row r="2289" spans="1:6" x14ac:dyDescent="0.25">
      <c r="A2289" s="1">
        <v>44992</v>
      </c>
      <c r="B2289">
        <v>2</v>
      </c>
      <c r="C2289" s="1">
        <v>44992</v>
      </c>
      <c r="D2289">
        <v>1.5</v>
      </c>
      <c r="E2289" s="1">
        <v>44844</v>
      </c>
      <c r="F2289">
        <v>3.25</v>
      </c>
    </row>
    <row r="2290" spans="1:6" x14ac:dyDescent="0.25">
      <c r="A2290" s="1">
        <v>44993</v>
      </c>
      <c r="B2290">
        <v>2</v>
      </c>
      <c r="C2290" s="1">
        <v>44993</v>
      </c>
      <c r="D2290">
        <v>1.7</v>
      </c>
      <c r="E2290" s="1">
        <v>44845</v>
      </c>
      <c r="F2290">
        <v>3.25</v>
      </c>
    </row>
    <row r="2291" spans="1:6" x14ac:dyDescent="0.25">
      <c r="A2291" s="1">
        <v>44994</v>
      </c>
      <c r="B2291">
        <v>2.1</v>
      </c>
      <c r="C2291" s="1">
        <v>44994</v>
      </c>
      <c r="D2291">
        <v>1.45</v>
      </c>
      <c r="E2291" s="1">
        <v>44846</v>
      </c>
      <c r="F2291">
        <v>3.25</v>
      </c>
    </row>
    <row r="2292" spans="1:6" x14ac:dyDescent="0.25">
      <c r="A2292" s="1">
        <v>44995</v>
      </c>
      <c r="B2292">
        <v>2.1</v>
      </c>
      <c r="C2292" s="1">
        <v>44995</v>
      </c>
      <c r="D2292">
        <v>1.91</v>
      </c>
      <c r="E2292" s="1">
        <v>44847</v>
      </c>
      <c r="F2292">
        <v>3.25</v>
      </c>
    </row>
    <row r="2293" spans="1:6" x14ac:dyDescent="0.25">
      <c r="A2293" s="1">
        <v>44998</v>
      </c>
      <c r="B2293">
        <v>2.2000000000000002</v>
      </c>
      <c r="C2293" s="1">
        <v>44998</v>
      </c>
      <c r="D2293">
        <v>1.67</v>
      </c>
      <c r="E2293" s="1">
        <v>44848</v>
      </c>
      <c r="F2293">
        <v>3.25</v>
      </c>
    </row>
    <row r="2294" spans="1:6" x14ac:dyDescent="0.25">
      <c r="A2294" s="1">
        <v>44999</v>
      </c>
      <c r="B2294">
        <v>2.2000000000000002</v>
      </c>
      <c r="C2294" s="1">
        <v>44999</v>
      </c>
      <c r="D2294">
        <v>1.88</v>
      </c>
      <c r="E2294" s="1">
        <v>44851</v>
      </c>
      <c r="F2294">
        <v>3.25</v>
      </c>
    </row>
    <row r="2295" spans="1:6" x14ac:dyDescent="0.25">
      <c r="A2295" s="1">
        <v>45000</v>
      </c>
      <c r="B2295">
        <v>2.25</v>
      </c>
      <c r="C2295" s="1">
        <v>45000</v>
      </c>
      <c r="D2295">
        <v>2.2200000000000002</v>
      </c>
      <c r="E2295" s="1">
        <v>44852</v>
      </c>
      <c r="F2295">
        <v>3.25</v>
      </c>
    </row>
    <row r="2296" spans="1:6" x14ac:dyDescent="0.25">
      <c r="A2296" s="1">
        <v>45001</v>
      </c>
      <c r="B2296">
        <v>2.2999999999999998</v>
      </c>
      <c r="C2296" s="1">
        <v>45001</v>
      </c>
      <c r="D2296">
        <v>2.4500000000000002</v>
      </c>
      <c r="E2296" s="1">
        <v>44853</v>
      </c>
      <c r="F2296">
        <v>3.25</v>
      </c>
    </row>
    <row r="2297" spans="1:6" x14ac:dyDescent="0.25">
      <c r="A2297" s="1">
        <v>45002</v>
      </c>
      <c r="B2297">
        <v>2.2999999999999998</v>
      </c>
      <c r="C2297" s="1">
        <v>45002</v>
      </c>
      <c r="D2297">
        <v>2.3199999999999998</v>
      </c>
      <c r="E2297" s="1">
        <v>44854</v>
      </c>
      <c r="F2297">
        <v>3.25</v>
      </c>
    </row>
    <row r="2298" spans="1:6" x14ac:dyDescent="0.25">
      <c r="A2298" s="1">
        <v>45005</v>
      </c>
      <c r="B2298">
        <v>2.25</v>
      </c>
      <c r="C2298" s="1">
        <v>45005</v>
      </c>
      <c r="D2298">
        <v>2.35</v>
      </c>
      <c r="E2298" s="1">
        <v>44855</v>
      </c>
      <c r="F2298">
        <v>3.25</v>
      </c>
    </row>
    <row r="2299" spans="1:6" x14ac:dyDescent="0.25">
      <c r="A2299" s="1">
        <v>45006</v>
      </c>
      <c r="B2299">
        <v>2.35</v>
      </c>
      <c r="C2299" s="1">
        <v>45006</v>
      </c>
      <c r="D2299">
        <v>2.5299999999999998</v>
      </c>
      <c r="E2299" s="1">
        <v>44858</v>
      </c>
      <c r="F2299">
        <v>3.25</v>
      </c>
    </row>
    <row r="2300" spans="1:6" x14ac:dyDescent="0.25">
      <c r="A2300" s="1">
        <v>45007</v>
      </c>
      <c r="B2300">
        <v>2.2999999999999998</v>
      </c>
      <c r="C2300" s="1">
        <v>45007</v>
      </c>
      <c r="D2300">
        <v>2.0670000000000002</v>
      </c>
      <c r="E2300" s="1">
        <v>44859</v>
      </c>
      <c r="F2300">
        <v>3.25</v>
      </c>
    </row>
    <row r="2301" spans="1:6" x14ac:dyDescent="0.25">
      <c r="A2301" s="1">
        <v>45008</v>
      </c>
      <c r="B2301">
        <v>2.2000000000000002</v>
      </c>
      <c r="C2301" s="1">
        <v>45008</v>
      </c>
      <c r="D2301">
        <v>1.6</v>
      </c>
      <c r="E2301" s="1">
        <v>44860</v>
      </c>
      <c r="F2301">
        <v>3.25</v>
      </c>
    </row>
    <row r="2302" spans="1:6" x14ac:dyDescent="0.25">
      <c r="A2302" s="1">
        <v>45009</v>
      </c>
      <c r="B2302">
        <v>1.9</v>
      </c>
      <c r="C2302" s="1">
        <v>45009</v>
      </c>
      <c r="D2302">
        <v>1.36</v>
      </c>
      <c r="E2302" s="1">
        <v>44861</v>
      </c>
      <c r="F2302">
        <v>3.25</v>
      </c>
    </row>
    <row r="2303" spans="1:6" x14ac:dyDescent="0.25">
      <c r="A2303" s="1">
        <v>45012</v>
      </c>
      <c r="B2303">
        <v>2.85</v>
      </c>
      <c r="C2303" s="1">
        <v>45012</v>
      </c>
      <c r="D2303">
        <v>1.1499999999999999</v>
      </c>
      <c r="E2303" s="1">
        <v>44862</v>
      </c>
      <c r="F2303">
        <v>3.25</v>
      </c>
    </row>
    <row r="2304" spans="1:6" x14ac:dyDescent="0.25">
      <c r="A2304" s="1">
        <v>45013</v>
      </c>
      <c r="B2304">
        <v>3.6</v>
      </c>
      <c r="C2304" s="1">
        <v>45013</v>
      </c>
      <c r="D2304">
        <v>1.2</v>
      </c>
      <c r="E2304" s="1">
        <v>44865</v>
      </c>
      <c r="F2304">
        <v>3.25</v>
      </c>
    </row>
    <row r="2305" spans="1:6" x14ac:dyDescent="0.25">
      <c r="A2305" s="1">
        <v>45014</v>
      </c>
      <c r="B2305">
        <v>3.49</v>
      </c>
      <c r="C2305" s="1">
        <v>45014</v>
      </c>
      <c r="D2305">
        <v>1</v>
      </c>
      <c r="E2305" s="1">
        <v>44866</v>
      </c>
      <c r="F2305">
        <v>3.25</v>
      </c>
    </row>
    <row r="2306" spans="1:6" x14ac:dyDescent="0.25">
      <c r="A2306" s="1">
        <v>45015</v>
      </c>
      <c r="B2306">
        <v>3.1</v>
      </c>
      <c r="C2306" s="1">
        <v>45015</v>
      </c>
      <c r="D2306">
        <v>0.92</v>
      </c>
      <c r="E2306" s="1">
        <v>44867</v>
      </c>
      <c r="F2306">
        <v>4</v>
      </c>
    </row>
    <row r="2307" spans="1:6" x14ac:dyDescent="0.25">
      <c r="A2307" s="1">
        <v>45016</v>
      </c>
      <c r="B2307">
        <v>2.7</v>
      </c>
      <c r="C2307" s="1">
        <v>45016</v>
      </c>
      <c r="D2307">
        <v>2.6</v>
      </c>
      <c r="E2307" s="1">
        <v>44868</v>
      </c>
      <c r="F2307">
        <v>4</v>
      </c>
    </row>
    <row r="2308" spans="1:6" x14ac:dyDescent="0.25">
      <c r="A2308" s="1">
        <v>45019</v>
      </c>
      <c r="B2308">
        <v>2.02</v>
      </c>
      <c r="C2308" s="1">
        <v>45019</v>
      </c>
      <c r="D2308">
        <v>1.45</v>
      </c>
      <c r="E2308" s="1">
        <v>44869</v>
      </c>
      <c r="F2308">
        <v>4</v>
      </c>
    </row>
    <row r="2309" spans="1:6" x14ac:dyDescent="0.25">
      <c r="A2309" s="1">
        <v>45020</v>
      </c>
      <c r="B2309">
        <v>2</v>
      </c>
      <c r="C2309" s="1">
        <v>45020</v>
      </c>
      <c r="D2309">
        <v>1.25</v>
      </c>
      <c r="E2309" s="1">
        <v>44872</v>
      </c>
      <c r="F2309">
        <v>4</v>
      </c>
    </row>
    <row r="2310" spans="1:6" x14ac:dyDescent="0.25">
      <c r="A2310" s="1">
        <v>45022</v>
      </c>
      <c r="B2310">
        <v>2.15</v>
      </c>
      <c r="C2310" s="1">
        <v>45022</v>
      </c>
      <c r="D2310">
        <v>1.45</v>
      </c>
      <c r="E2310" s="1">
        <v>44873</v>
      </c>
      <c r="F2310">
        <v>4</v>
      </c>
    </row>
    <row r="2311" spans="1:6" x14ac:dyDescent="0.25">
      <c r="A2311" s="1">
        <v>45023</v>
      </c>
      <c r="B2311">
        <v>2.2000000000000002</v>
      </c>
      <c r="C2311" s="1">
        <v>45023</v>
      </c>
      <c r="D2311">
        <v>1.47</v>
      </c>
      <c r="E2311" s="1">
        <v>44874</v>
      </c>
      <c r="F2311">
        <v>4</v>
      </c>
    </row>
    <row r="2312" spans="1:6" x14ac:dyDescent="0.25">
      <c r="A2312" s="1">
        <v>45026</v>
      </c>
      <c r="B2312">
        <v>2.1</v>
      </c>
      <c r="C2312" s="1">
        <v>45026</v>
      </c>
      <c r="D2312">
        <v>1.44</v>
      </c>
      <c r="E2312" s="1">
        <v>44875</v>
      </c>
      <c r="F2312">
        <v>4</v>
      </c>
    </row>
    <row r="2313" spans="1:6" x14ac:dyDescent="0.25">
      <c r="A2313" s="1">
        <v>45027</v>
      </c>
      <c r="B2313">
        <v>2.15</v>
      </c>
      <c r="C2313" s="1">
        <v>45027</v>
      </c>
      <c r="D2313">
        <v>1.54</v>
      </c>
      <c r="E2313" s="1">
        <v>44876</v>
      </c>
      <c r="F2313">
        <v>4</v>
      </c>
    </row>
    <row r="2314" spans="1:6" x14ac:dyDescent="0.25">
      <c r="A2314" s="1">
        <v>45028</v>
      </c>
      <c r="B2314">
        <v>2.1</v>
      </c>
      <c r="C2314" s="1">
        <v>45028</v>
      </c>
      <c r="D2314">
        <v>1.5</v>
      </c>
      <c r="E2314" s="1">
        <v>44879</v>
      </c>
      <c r="F2314">
        <v>4</v>
      </c>
    </row>
    <row r="2315" spans="1:6" x14ac:dyDescent="0.25">
      <c r="A2315" s="1">
        <v>45029</v>
      </c>
      <c r="B2315">
        <v>2.1</v>
      </c>
      <c r="C2315" s="1">
        <v>45029</v>
      </c>
      <c r="D2315">
        <v>1.42</v>
      </c>
      <c r="E2315" s="1">
        <v>44880</v>
      </c>
      <c r="F2315">
        <v>4</v>
      </c>
    </row>
    <row r="2316" spans="1:6" x14ac:dyDescent="0.25">
      <c r="A2316" s="1">
        <v>45030</v>
      </c>
      <c r="B2316">
        <v>2.1</v>
      </c>
      <c r="C2316" s="1">
        <v>45030</v>
      </c>
      <c r="D2316">
        <v>1.69</v>
      </c>
      <c r="E2316" s="1">
        <v>44881</v>
      </c>
      <c r="F2316">
        <v>4</v>
      </c>
    </row>
    <row r="2317" spans="1:6" x14ac:dyDescent="0.25">
      <c r="A2317" s="1">
        <v>45033</v>
      </c>
      <c r="B2317">
        <v>2.2000000000000002</v>
      </c>
      <c r="C2317" s="1">
        <v>45033</v>
      </c>
      <c r="D2317">
        <v>1.88</v>
      </c>
      <c r="E2317" s="1">
        <v>44882</v>
      </c>
      <c r="F2317">
        <v>4</v>
      </c>
    </row>
    <row r="2318" spans="1:6" x14ac:dyDescent="0.25">
      <c r="A2318" s="1">
        <v>45034</v>
      </c>
      <c r="B2318">
        <v>2.25</v>
      </c>
      <c r="C2318" s="1">
        <v>45034</v>
      </c>
      <c r="D2318">
        <v>2.13</v>
      </c>
      <c r="E2318" s="1">
        <v>44883</v>
      </c>
      <c r="F2318">
        <v>4</v>
      </c>
    </row>
    <row r="2319" spans="1:6" x14ac:dyDescent="0.25">
      <c r="A2319" s="1">
        <v>45035</v>
      </c>
      <c r="B2319">
        <v>2.15</v>
      </c>
      <c r="C2319" s="1">
        <v>45035</v>
      </c>
      <c r="D2319">
        <v>2.21</v>
      </c>
      <c r="E2319" s="1">
        <v>44886</v>
      </c>
      <c r="F2319">
        <v>4</v>
      </c>
    </row>
    <row r="2320" spans="1:6" x14ac:dyDescent="0.25">
      <c r="A2320" s="1">
        <v>45036</v>
      </c>
      <c r="B2320">
        <v>2.15</v>
      </c>
      <c r="C2320" s="1">
        <v>45036</v>
      </c>
      <c r="D2320">
        <v>2.2999999999999998</v>
      </c>
      <c r="E2320" s="1">
        <v>44887</v>
      </c>
      <c r="F2320">
        <v>4</v>
      </c>
    </row>
    <row r="2321" spans="1:6" x14ac:dyDescent="0.25">
      <c r="A2321" s="1">
        <v>45037</v>
      </c>
      <c r="B2321">
        <v>2.5</v>
      </c>
      <c r="C2321" s="1">
        <v>45037</v>
      </c>
      <c r="D2321">
        <v>2.2839</v>
      </c>
      <c r="E2321" s="1">
        <v>44888</v>
      </c>
      <c r="F2321">
        <v>4</v>
      </c>
    </row>
    <row r="2322" spans="1:6" x14ac:dyDescent="0.25">
      <c r="A2322" s="1">
        <v>45039</v>
      </c>
      <c r="B2322">
        <v>2.1</v>
      </c>
      <c r="C2322" s="1">
        <v>45039</v>
      </c>
      <c r="D2322">
        <v>1.81</v>
      </c>
      <c r="E2322" s="1">
        <v>44889</v>
      </c>
      <c r="F2322">
        <v>4</v>
      </c>
    </row>
    <row r="2323" spans="1:6" x14ac:dyDescent="0.25">
      <c r="A2323" s="1">
        <v>45040</v>
      </c>
      <c r="B2323">
        <v>2.5499999999999998</v>
      </c>
      <c r="C2323" s="1">
        <v>45040</v>
      </c>
      <c r="D2323">
        <v>1.65</v>
      </c>
      <c r="E2323" s="1">
        <v>44890</v>
      </c>
      <c r="F2323">
        <v>4</v>
      </c>
    </row>
    <row r="2324" spans="1:6" x14ac:dyDescent="0.25">
      <c r="A2324" s="1">
        <v>45041</v>
      </c>
      <c r="B2324">
        <v>2.6</v>
      </c>
      <c r="C2324" s="1">
        <v>45041</v>
      </c>
      <c r="D2324">
        <v>1.75</v>
      </c>
      <c r="E2324" s="1">
        <v>44893</v>
      </c>
      <c r="F2324">
        <v>4</v>
      </c>
    </row>
    <row r="2325" spans="1:6" x14ac:dyDescent="0.25">
      <c r="A2325" s="1">
        <v>45042</v>
      </c>
      <c r="B2325">
        <v>2.5</v>
      </c>
      <c r="C2325" s="1">
        <v>45042</v>
      </c>
      <c r="D2325">
        <v>1.2537</v>
      </c>
      <c r="E2325" s="1">
        <v>44894</v>
      </c>
      <c r="F2325">
        <v>4</v>
      </c>
    </row>
    <row r="2326" spans="1:6" x14ac:dyDescent="0.25">
      <c r="A2326" s="1">
        <v>45043</v>
      </c>
      <c r="B2326">
        <v>2.5</v>
      </c>
      <c r="C2326" s="1">
        <v>45043</v>
      </c>
      <c r="D2326">
        <v>0.94</v>
      </c>
      <c r="E2326" s="1">
        <v>44895</v>
      </c>
      <c r="F2326">
        <v>4</v>
      </c>
    </row>
    <row r="2327" spans="1:6" x14ac:dyDescent="0.25">
      <c r="A2327" s="1">
        <v>45044</v>
      </c>
      <c r="B2327">
        <v>2.4</v>
      </c>
      <c r="C2327" s="1">
        <v>45044</v>
      </c>
      <c r="D2327">
        <v>2.2999999999999998</v>
      </c>
      <c r="E2327" s="1">
        <v>44896</v>
      </c>
      <c r="F2327">
        <v>4</v>
      </c>
    </row>
    <row r="2328" spans="1:6" x14ac:dyDescent="0.25">
      <c r="A2328" s="1">
        <v>45050</v>
      </c>
      <c r="B2328">
        <v>2.0145</v>
      </c>
      <c r="C2328" s="1">
        <v>45050</v>
      </c>
      <c r="D2328">
        <v>1.7</v>
      </c>
      <c r="E2328" s="1">
        <v>44897</v>
      </c>
      <c r="F2328">
        <v>4</v>
      </c>
    </row>
    <row r="2329" spans="1:6" x14ac:dyDescent="0.25">
      <c r="A2329" s="1">
        <v>45051</v>
      </c>
      <c r="B2329">
        <v>1.95</v>
      </c>
      <c r="C2329" s="1">
        <v>45051</v>
      </c>
      <c r="D2329">
        <v>1.24</v>
      </c>
      <c r="E2329" s="1">
        <v>44900</v>
      </c>
      <c r="F2329">
        <v>4</v>
      </c>
    </row>
    <row r="2330" spans="1:6" x14ac:dyDescent="0.25">
      <c r="A2330" s="1">
        <v>45052</v>
      </c>
      <c r="B2330">
        <v>1.75</v>
      </c>
      <c r="C2330" s="1">
        <v>45052</v>
      </c>
      <c r="D2330">
        <v>1.0900000000000001</v>
      </c>
      <c r="E2330" s="1">
        <v>44901</v>
      </c>
      <c r="F2330">
        <v>4</v>
      </c>
    </row>
    <row r="2331" spans="1:6" x14ac:dyDescent="0.25">
      <c r="A2331" s="1">
        <v>45054</v>
      </c>
      <c r="B2331">
        <v>2</v>
      </c>
      <c r="C2331" s="1">
        <v>45054</v>
      </c>
      <c r="D2331">
        <v>1.49</v>
      </c>
      <c r="E2331" s="1">
        <v>44902</v>
      </c>
      <c r="F2331">
        <v>4</v>
      </c>
    </row>
    <row r="2332" spans="1:6" x14ac:dyDescent="0.25">
      <c r="A2332" s="1">
        <v>45055</v>
      </c>
      <c r="B2332">
        <v>1.93</v>
      </c>
      <c r="C2332" s="1">
        <v>45055</v>
      </c>
      <c r="D2332">
        <v>1.32</v>
      </c>
      <c r="E2332" s="1">
        <v>44903</v>
      </c>
      <c r="F2332">
        <v>4</v>
      </c>
    </row>
    <row r="2333" spans="1:6" x14ac:dyDescent="0.25">
      <c r="A2333" s="1">
        <v>45056</v>
      </c>
      <c r="B2333">
        <v>1.9</v>
      </c>
      <c r="C2333" s="1">
        <v>45056</v>
      </c>
      <c r="D2333">
        <v>1.2</v>
      </c>
      <c r="E2333" s="1">
        <v>44904</v>
      </c>
      <c r="F2333">
        <v>4</v>
      </c>
    </row>
    <row r="2334" spans="1:6" x14ac:dyDescent="0.25">
      <c r="A2334" s="1">
        <v>45057</v>
      </c>
      <c r="B2334">
        <v>1.85</v>
      </c>
      <c r="C2334" s="1">
        <v>45057</v>
      </c>
      <c r="D2334">
        <v>1.2</v>
      </c>
      <c r="E2334" s="1">
        <v>44907</v>
      </c>
      <c r="F2334">
        <v>4</v>
      </c>
    </row>
    <row r="2335" spans="1:6" x14ac:dyDescent="0.25">
      <c r="A2335" s="1">
        <v>45058</v>
      </c>
      <c r="B2335">
        <v>1.85</v>
      </c>
      <c r="C2335" s="1">
        <v>45058</v>
      </c>
      <c r="D2335">
        <v>1.4</v>
      </c>
      <c r="E2335" s="1">
        <v>44908</v>
      </c>
      <c r="F2335">
        <v>4</v>
      </c>
    </row>
    <row r="2336" spans="1:6" x14ac:dyDescent="0.25">
      <c r="A2336" s="1">
        <v>45061</v>
      </c>
      <c r="B2336">
        <v>1.9</v>
      </c>
      <c r="C2336" s="1">
        <v>45061</v>
      </c>
      <c r="D2336">
        <v>1.58</v>
      </c>
      <c r="E2336" s="1">
        <v>44909</v>
      </c>
      <c r="F2336">
        <v>4.5</v>
      </c>
    </row>
    <row r="2337" spans="1:6" x14ac:dyDescent="0.25">
      <c r="A2337" s="1">
        <v>45062</v>
      </c>
      <c r="B2337">
        <v>1.95</v>
      </c>
      <c r="C2337" s="1">
        <v>45062</v>
      </c>
      <c r="D2337">
        <v>1.56</v>
      </c>
      <c r="E2337" s="1">
        <v>44910</v>
      </c>
      <c r="F2337">
        <v>4.5</v>
      </c>
    </row>
    <row r="2338" spans="1:6" x14ac:dyDescent="0.25">
      <c r="A2338" s="1">
        <v>45063</v>
      </c>
      <c r="B2338">
        <v>2</v>
      </c>
      <c r="C2338" s="1">
        <v>45063</v>
      </c>
      <c r="D2338">
        <v>1.62</v>
      </c>
      <c r="E2338" s="1">
        <v>44911</v>
      </c>
      <c r="F2338">
        <v>4.5</v>
      </c>
    </row>
    <row r="2339" spans="1:6" x14ac:dyDescent="0.25">
      <c r="A2339" s="1">
        <v>45064</v>
      </c>
      <c r="B2339">
        <v>1.95</v>
      </c>
      <c r="C2339" s="1">
        <v>45064</v>
      </c>
      <c r="D2339">
        <v>1.55</v>
      </c>
      <c r="E2339" s="1">
        <v>44914</v>
      </c>
      <c r="F2339">
        <v>4.5</v>
      </c>
    </row>
    <row r="2340" spans="1:6" x14ac:dyDescent="0.25">
      <c r="A2340" s="1">
        <v>45065</v>
      </c>
      <c r="B2340">
        <v>1.91</v>
      </c>
      <c r="C2340" s="1">
        <v>45065</v>
      </c>
      <c r="D2340">
        <v>1.5</v>
      </c>
      <c r="E2340" s="1">
        <v>44915</v>
      </c>
      <c r="F2340">
        <v>4.5</v>
      </c>
    </row>
    <row r="2341" spans="1:6" x14ac:dyDescent="0.25">
      <c r="A2341" s="1">
        <v>45068</v>
      </c>
      <c r="B2341">
        <v>1.9</v>
      </c>
      <c r="C2341" s="1">
        <v>45068</v>
      </c>
      <c r="D2341">
        <v>1.37</v>
      </c>
      <c r="E2341" s="1">
        <v>44916</v>
      </c>
      <c r="F2341">
        <v>4.5</v>
      </c>
    </row>
    <row r="2342" spans="1:6" x14ac:dyDescent="0.25">
      <c r="A2342" s="1">
        <v>45069</v>
      </c>
      <c r="B2342">
        <v>1.85</v>
      </c>
      <c r="C2342" s="1">
        <v>45069</v>
      </c>
      <c r="D2342">
        <v>1.33</v>
      </c>
      <c r="E2342" s="1">
        <v>44917</v>
      </c>
      <c r="F2342">
        <v>4.5</v>
      </c>
    </row>
    <row r="2343" spans="1:6" x14ac:dyDescent="0.25">
      <c r="A2343" s="1">
        <v>45070</v>
      </c>
      <c r="B2343">
        <v>1.8</v>
      </c>
      <c r="C2343" s="1">
        <v>45070</v>
      </c>
      <c r="D2343">
        <v>1.38</v>
      </c>
      <c r="E2343" s="1">
        <v>44918</v>
      </c>
      <c r="F2343">
        <v>4.5</v>
      </c>
    </row>
    <row r="2344" spans="1:6" x14ac:dyDescent="0.25">
      <c r="A2344" s="1">
        <v>45071</v>
      </c>
      <c r="B2344">
        <v>2.1</v>
      </c>
      <c r="C2344" s="1">
        <v>45071</v>
      </c>
      <c r="D2344">
        <v>1.66</v>
      </c>
      <c r="E2344" s="1">
        <v>44921</v>
      </c>
      <c r="F2344">
        <v>4.5</v>
      </c>
    </row>
    <row r="2345" spans="1:6" x14ac:dyDescent="0.25">
      <c r="A2345" s="1">
        <v>45072</v>
      </c>
      <c r="B2345">
        <v>2.15</v>
      </c>
      <c r="C2345" s="1">
        <v>45072</v>
      </c>
      <c r="D2345">
        <v>1.55</v>
      </c>
      <c r="E2345" s="1">
        <v>44922</v>
      </c>
      <c r="F2345">
        <v>4.5</v>
      </c>
    </row>
    <row r="2346" spans="1:6" x14ac:dyDescent="0.25">
      <c r="A2346" s="1">
        <v>45075</v>
      </c>
      <c r="B2346">
        <v>2.15</v>
      </c>
      <c r="C2346" s="1">
        <v>45075</v>
      </c>
      <c r="D2346">
        <v>1.46</v>
      </c>
      <c r="E2346" s="1">
        <v>44923</v>
      </c>
      <c r="F2346">
        <v>4.5</v>
      </c>
    </row>
    <row r="2347" spans="1:6" x14ac:dyDescent="0.25">
      <c r="A2347" s="1">
        <v>45076</v>
      </c>
      <c r="B2347">
        <v>2.15</v>
      </c>
      <c r="C2347" s="1">
        <v>45076</v>
      </c>
      <c r="D2347">
        <v>1.41</v>
      </c>
      <c r="E2347" s="1">
        <v>44924</v>
      </c>
      <c r="F2347">
        <v>4.5</v>
      </c>
    </row>
    <row r="2348" spans="1:6" x14ac:dyDescent="0.25">
      <c r="A2348" s="1">
        <v>45077</v>
      </c>
      <c r="B2348">
        <v>2.1</v>
      </c>
      <c r="C2348" s="1">
        <v>45077</v>
      </c>
      <c r="D2348">
        <v>1.92</v>
      </c>
      <c r="E2348" s="1">
        <v>44925</v>
      </c>
      <c r="F2348">
        <v>4.5</v>
      </c>
    </row>
    <row r="2349" spans="1:6" x14ac:dyDescent="0.25">
      <c r="A2349" s="1">
        <v>45078</v>
      </c>
      <c r="B2349">
        <v>1.85</v>
      </c>
      <c r="C2349" s="1">
        <v>45078</v>
      </c>
      <c r="D2349">
        <v>1.82</v>
      </c>
      <c r="E2349" s="1">
        <v>44928</v>
      </c>
      <c r="F2349">
        <v>4.5</v>
      </c>
    </row>
    <row r="2350" spans="1:6" x14ac:dyDescent="0.25">
      <c r="A2350" s="1">
        <v>45079</v>
      </c>
      <c r="B2350">
        <v>1.9</v>
      </c>
      <c r="C2350" s="1">
        <v>45079</v>
      </c>
      <c r="D2350">
        <v>1.39</v>
      </c>
      <c r="E2350" s="1">
        <v>44929</v>
      </c>
      <c r="F2350">
        <v>4.5</v>
      </c>
    </row>
    <row r="2351" spans="1:6" x14ac:dyDescent="0.25">
      <c r="A2351" s="1">
        <v>45082</v>
      </c>
      <c r="B2351">
        <v>1.85</v>
      </c>
      <c r="C2351" s="1">
        <v>45082</v>
      </c>
      <c r="D2351">
        <v>1.34</v>
      </c>
      <c r="E2351" s="1">
        <v>44930</v>
      </c>
      <c r="F2351">
        <v>4.5</v>
      </c>
    </row>
    <row r="2352" spans="1:6" x14ac:dyDescent="0.25">
      <c r="A2352" s="1">
        <v>45083</v>
      </c>
      <c r="B2352">
        <v>1.8</v>
      </c>
      <c r="C2352" s="1">
        <v>45083</v>
      </c>
      <c r="D2352">
        <v>1.38</v>
      </c>
      <c r="E2352" s="1">
        <v>44931</v>
      </c>
      <c r="F2352">
        <v>4.5</v>
      </c>
    </row>
    <row r="2353" spans="1:6" x14ac:dyDescent="0.25">
      <c r="A2353" s="1">
        <v>45084</v>
      </c>
      <c r="B2353">
        <v>1.84</v>
      </c>
      <c r="C2353" s="1">
        <v>45084</v>
      </c>
      <c r="D2353">
        <v>1.5</v>
      </c>
      <c r="E2353" s="1">
        <v>44932</v>
      </c>
      <c r="F2353">
        <v>4.5</v>
      </c>
    </row>
    <row r="2354" spans="1:6" x14ac:dyDescent="0.25">
      <c r="A2354" s="1">
        <v>45085</v>
      </c>
      <c r="B2354">
        <v>1.8</v>
      </c>
      <c r="C2354" s="1">
        <v>45085</v>
      </c>
      <c r="D2354">
        <v>1.45</v>
      </c>
      <c r="E2354" s="1">
        <v>44935</v>
      </c>
      <c r="F2354">
        <v>4.5</v>
      </c>
    </row>
    <row r="2355" spans="1:6" x14ac:dyDescent="0.25">
      <c r="A2355" s="1">
        <v>45086</v>
      </c>
      <c r="B2355">
        <v>1.85</v>
      </c>
      <c r="C2355" s="1">
        <v>45086</v>
      </c>
      <c r="D2355">
        <v>1.37</v>
      </c>
      <c r="E2355" s="1">
        <v>44936</v>
      </c>
      <c r="F2355">
        <v>4.5</v>
      </c>
    </row>
    <row r="2356" spans="1:6" x14ac:dyDescent="0.25">
      <c r="A2356" s="1">
        <v>45089</v>
      </c>
      <c r="B2356">
        <v>1.9</v>
      </c>
      <c r="C2356" s="1">
        <v>45089</v>
      </c>
      <c r="D2356">
        <v>1.4</v>
      </c>
      <c r="E2356" s="1">
        <v>44937</v>
      </c>
      <c r="F2356">
        <v>4.5</v>
      </c>
    </row>
    <row r="2357" spans="1:6" x14ac:dyDescent="0.25">
      <c r="A2357" s="1">
        <v>45090</v>
      </c>
      <c r="B2357">
        <v>1.95</v>
      </c>
      <c r="C2357" s="1">
        <v>45090</v>
      </c>
      <c r="D2357">
        <v>1.79</v>
      </c>
      <c r="E2357" s="1">
        <v>44938</v>
      </c>
      <c r="F2357">
        <v>4.5</v>
      </c>
    </row>
    <row r="2358" spans="1:6" x14ac:dyDescent="0.25">
      <c r="A2358" s="1">
        <v>45091</v>
      </c>
      <c r="B2358">
        <v>1.85</v>
      </c>
      <c r="C2358" s="1">
        <v>45091</v>
      </c>
      <c r="D2358">
        <v>1.44</v>
      </c>
      <c r="E2358" s="1">
        <v>44939</v>
      </c>
      <c r="F2358">
        <v>4.5</v>
      </c>
    </row>
    <row r="2359" spans="1:6" x14ac:dyDescent="0.25">
      <c r="A2359" s="1">
        <v>45092</v>
      </c>
      <c r="B2359">
        <v>1.85</v>
      </c>
      <c r="C2359" s="1">
        <v>45092</v>
      </c>
      <c r="D2359">
        <v>1.56</v>
      </c>
      <c r="E2359" s="1">
        <v>44942</v>
      </c>
      <c r="F2359">
        <v>4.5</v>
      </c>
    </row>
    <row r="2360" spans="1:6" x14ac:dyDescent="0.25">
      <c r="A2360" s="1">
        <v>45093</v>
      </c>
      <c r="B2360">
        <v>1.95</v>
      </c>
      <c r="C2360" s="1">
        <v>45093</v>
      </c>
      <c r="D2360">
        <v>2.02</v>
      </c>
      <c r="E2360" s="1">
        <v>44943</v>
      </c>
      <c r="F2360">
        <v>4.5</v>
      </c>
    </row>
    <row r="2361" spans="1:6" x14ac:dyDescent="0.25">
      <c r="A2361" s="1">
        <v>45096</v>
      </c>
      <c r="B2361">
        <v>2.09</v>
      </c>
      <c r="C2361" s="1">
        <v>45096</v>
      </c>
      <c r="D2361">
        <v>2.33</v>
      </c>
      <c r="E2361" s="1">
        <v>44944</v>
      </c>
      <c r="F2361">
        <v>4.5</v>
      </c>
    </row>
    <row r="2362" spans="1:6" x14ac:dyDescent="0.25">
      <c r="A2362" s="1">
        <v>45097</v>
      </c>
      <c r="B2362">
        <v>2.1</v>
      </c>
      <c r="C2362" s="1">
        <v>45097</v>
      </c>
      <c r="D2362">
        <v>2.1</v>
      </c>
      <c r="E2362" s="1">
        <v>44945</v>
      </c>
      <c r="F2362">
        <v>4.5</v>
      </c>
    </row>
    <row r="2363" spans="1:6" x14ac:dyDescent="0.25">
      <c r="A2363" s="1">
        <v>45098</v>
      </c>
      <c r="B2363">
        <v>2.2000000000000002</v>
      </c>
      <c r="C2363" s="1">
        <v>45098</v>
      </c>
      <c r="D2363">
        <v>1.84</v>
      </c>
      <c r="E2363" s="1">
        <v>44946</v>
      </c>
      <c r="F2363">
        <v>4.5</v>
      </c>
    </row>
    <row r="2364" spans="1:6" x14ac:dyDescent="0.25">
      <c r="A2364" s="1">
        <v>45102</v>
      </c>
      <c r="B2364">
        <v>2</v>
      </c>
      <c r="C2364" s="1">
        <v>45102</v>
      </c>
      <c r="D2364">
        <v>1.42</v>
      </c>
      <c r="E2364" s="1">
        <v>44949</v>
      </c>
      <c r="F2364">
        <v>4.5</v>
      </c>
    </row>
    <row r="2365" spans="1:6" x14ac:dyDescent="0.25">
      <c r="A2365" s="1">
        <v>45103</v>
      </c>
      <c r="B2365">
        <v>2.35</v>
      </c>
      <c r="C2365" s="1">
        <v>45103</v>
      </c>
      <c r="D2365">
        <v>1.24</v>
      </c>
      <c r="E2365" s="1">
        <v>44950</v>
      </c>
      <c r="F2365">
        <v>4.5</v>
      </c>
    </row>
    <row r="2366" spans="1:6" x14ac:dyDescent="0.25">
      <c r="A2366" s="1">
        <v>45104</v>
      </c>
      <c r="B2366">
        <v>2.8</v>
      </c>
      <c r="C2366" s="1">
        <v>45104</v>
      </c>
      <c r="D2366">
        <v>1.2</v>
      </c>
      <c r="E2366" s="1">
        <v>44951</v>
      </c>
      <c r="F2366">
        <v>4.5</v>
      </c>
    </row>
    <row r="2367" spans="1:6" x14ac:dyDescent="0.25">
      <c r="A2367" s="1">
        <v>45105</v>
      </c>
      <c r="B2367">
        <v>2.85</v>
      </c>
      <c r="C2367" s="1">
        <v>45105</v>
      </c>
      <c r="D2367">
        <v>1.2</v>
      </c>
      <c r="E2367" s="1">
        <v>44952</v>
      </c>
      <c r="F2367">
        <v>4.5</v>
      </c>
    </row>
    <row r="2368" spans="1:6" x14ac:dyDescent="0.25">
      <c r="A2368" s="1">
        <v>45106</v>
      </c>
      <c r="B2368">
        <v>2.9</v>
      </c>
      <c r="C2368" s="1">
        <v>45106</v>
      </c>
      <c r="D2368">
        <v>1.2</v>
      </c>
      <c r="E2368" s="1">
        <v>44953</v>
      </c>
      <c r="F2368">
        <v>4.5</v>
      </c>
    </row>
    <row r="2369" spans="1:6" x14ac:dyDescent="0.25">
      <c r="A2369" s="1">
        <v>45107</v>
      </c>
      <c r="B2369">
        <v>2.6</v>
      </c>
      <c r="C2369" s="1">
        <v>45107</v>
      </c>
      <c r="D2369">
        <v>1.7544999999999999</v>
      </c>
      <c r="E2369" s="1">
        <v>44956</v>
      </c>
      <c r="F2369">
        <v>4.5</v>
      </c>
    </row>
    <row r="2370" spans="1:6" x14ac:dyDescent="0.25">
      <c r="A2370" s="1">
        <v>45110</v>
      </c>
      <c r="B2370">
        <v>2</v>
      </c>
      <c r="C2370" s="1">
        <v>45110</v>
      </c>
      <c r="D2370">
        <v>1.1599999999999999</v>
      </c>
      <c r="E2370" s="1">
        <v>44957</v>
      </c>
      <c r="F2370">
        <v>4.5</v>
      </c>
    </row>
    <row r="2371" spans="1:6" x14ac:dyDescent="0.25">
      <c r="A2371" s="1">
        <v>45111</v>
      </c>
      <c r="B2371">
        <v>2</v>
      </c>
      <c r="C2371" s="1">
        <v>45111</v>
      </c>
      <c r="D2371">
        <v>1.3</v>
      </c>
      <c r="E2371" s="1">
        <v>44958</v>
      </c>
      <c r="F2371">
        <v>4.75</v>
      </c>
    </row>
    <row r="2372" spans="1:6" x14ac:dyDescent="0.25">
      <c r="A2372" s="1">
        <v>45112</v>
      </c>
      <c r="B2372">
        <v>1.95</v>
      </c>
      <c r="C2372" s="1">
        <v>45112</v>
      </c>
      <c r="D2372">
        <v>1.22</v>
      </c>
      <c r="E2372" s="1">
        <v>44959</v>
      </c>
      <c r="F2372">
        <v>4.75</v>
      </c>
    </row>
    <row r="2373" spans="1:6" x14ac:dyDescent="0.25">
      <c r="A2373" s="1">
        <v>45113</v>
      </c>
      <c r="B2373">
        <v>1.9</v>
      </c>
      <c r="C2373" s="1">
        <v>45113</v>
      </c>
      <c r="D2373">
        <v>1.1499999999999999</v>
      </c>
      <c r="E2373" s="1">
        <v>44960</v>
      </c>
      <c r="F2373">
        <v>4.75</v>
      </c>
    </row>
    <row r="2374" spans="1:6" x14ac:dyDescent="0.25">
      <c r="A2374" s="1">
        <v>45114</v>
      </c>
      <c r="B2374">
        <v>1.88</v>
      </c>
      <c r="C2374" s="1">
        <v>45114</v>
      </c>
      <c r="D2374">
        <v>1.2</v>
      </c>
      <c r="E2374" s="1">
        <v>44963</v>
      </c>
      <c r="F2374">
        <v>4.75</v>
      </c>
    </row>
    <row r="2375" spans="1:6" x14ac:dyDescent="0.25">
      <c r="A2375" s="1">
        <v>45117</v>
      </c>
      <c r="B2375">
        <v>1.86</v>
      </c>
      <c r="C2375" s="1">
        <v>45117</v>
      </c>
      <c r="D2375">
        <v>1.27</v>
      </c>
      <c r="E2375" s="1">
        <v>44964</v>
      </c>
      <c r="F2375">
        <v>4.75</v>
      </c>
    </row>
    <row r="2376" spans="1:6" x14ac:dyDescent="0.25">
      <c r="A2376" s="1">
        <v>45118</v>
      </c>
      <c r="B2376">
        <v>1.9</v>
      </c>
      <c r="C2376" s="1">
        <v>45118</v>
      </c>
      <c r="D2376">
        <v>1.3</v>
      </c>
      <c r="E2376" s="1">
        <v>44965</v>
      </c>
      <c r="F2376">
        <v>4.75</v>
      </c>
    </row>
    <row r="2377" spans="1:6" x14ac:dyDescent="0.25">
      <c r="A2377" s="1">
        <v>45119</v>
      </c>
      <c r="B2377">
        <v>1.85</v>
      </c>
      <c r="C2377" s="1">
        <v>45119</v>
      </c>
      <c r="D2377">
        <v>1.35</v>
      </c>
      <c r="E2377" s="1">
        <v>44966</v>
      </c>
      <c r="F2377">
        <v>4.75</v>
      </c>
    </row>
    <row r="2378" spans="1:6" x14ac:dyDescent="0.25">
      <c r="A2378" s="1">
        <v>45120</v>
      </c>
      <c r="B2378">
        <v>1.85</v>
      </c>
      <c r="C2378" s="1">
        <v>45120</v>
      </c>
      <c r="D2378">
        <v>1.57</v>
      </c>
      <c r="E2378" s="1">
        <v>44967</v>
      </c>
      <c r="F2378">
        <v>4.75</v>
      </c>
    </row>
    <row r="2379" spans="1:6" x14ac:dyDescent="0.25">
      <c r="A2379" s="1">
        <v>45121</v>
      </c>
      <c r="B2379">
        <v>1.9</v>
      </c>
      <c r="C2379" s="1">
        <v>45121</v>
      </c>
      <c r="D2379">
        <v>1.5</v>
      </c>
      <c r="E2379" s="1">
        <v>44970</v>
      </c>
      <c r="F2379">
        <v>4.75</v>
      </c>
    </row>
    <row r="2380" spans="1:6" x14ac:dyDescent="0.25">
      <c r="A2380" s="1">
        <v>45124</v>
      </c>
      <c r="B2380">
        <v>1.95</v>
      </c>
      <c r="C2380" s="1">
        <v>45124</v>
      </c>
      <c r="D2380">
        <v>1.43</v>
      </c>
      <c r="E2380" s="1">
        <v>44971</v>
      </c>
      <c r="F2380">
        <v>4.75</v>
      </c>
    </row>
    <row r="2381" spans="1:6" x14ac:dyDescent="0.25">
      <c r="A2381" s="1">
        <v>45125</v>
      </c>
      <c r="B2381">
        <v>1.98</v>
      </c>
      <c r="C2381" s="1">
        <v>45125</v>
      </c>
      <c r="D2381">
        <v>1.66</v>
      </c>
      <c r="E2381" s="1">
        <v>44972</v>
      </c>
      <c r="F2381">
        <v>4.75</v>
      </c>
    </row>
    <row r="2382" spans="1:6" x14ac:dyDescent="0.25">
      <c r="A2382" s="1">
        <v>45126</v>
      </c>
      <c r="B2382">
        <v>1.95</v>
      </c>
      <c r="C2382" s="1">
        <v>45126</v>
      </c>
      <c r="D2382">
        <v>1.76</v>
      </c>
      <c r="E2382" s="1">
        <v>44973</v>
      </c>
      <c r="F2382">
        <v>4.75</v>
      </c>
    </row>
    <row r="2383" spans="1:6" x14ac:dyDescent="0.25">
      <c r="A2383" s="1">
        <v>45127</v>
      </c>
      <c r="B2383">
        <v>1.9</v>
      </c>
      <c r="C2383" s="1">
        <v>45127</v>
      </c>
      <c r="D2383">
        <v>1.7</v>
      </c>
      <c r="E2383" s="1">
        <v>44974</v>
      </c>
      <c r="F2383">
        <v>4.75</v>
      </c>
    </row>
    <row r="2384" spans="1:6" x14ac:dyDescent="0.25">
      <c r="A2384" s="1">
        <v>45128</v>
      </c>
      <c r="B2384">
        <v>1.85</v>
      </c>
      <c r="C2384" s="1">
        <v>45128</v>
      </c>
      <c r="D2384">
        <v>1.65</v>
      </c>
      <c r="E2384" s="1">
        <v>44977</v>
      </c>
      <c r="F2384">
        <v>4.75</v>
      </c>
    </row>
    <row r="2385" spans="1:6" x14ac:dyDescent="0.25">
      <c r="A2385" s="1">
        <v>45131</v>
      </c>
      <c r="B2385">
        <v>1.81</v>
      </c>
      <c r="C2385" s="1">
        <v>45131</v>
      </c>
      <c r="D2385">
        <v>1.65</v>
      </c>
      <c r="E2385" s="1">
        <v>44978</v>
      </c>
      <c r="F2385">
        <v>4.75</v>
      </c>
    </row>
    <row r="2386" spans="1:6" x14ac:dyDescent="0.25">
      <c r="A2386" s="1">
        <v>45132</v>
      </c>
      <c r="B2386">
        <v>2.15</v>
      </c>
      <c r="C2386" s="1">
        <v>45132</v>
      </c>
      <c r="D2386">
        <v>1.64</v>
      </c>
      <c r="E2386" s="1">
        <v>44979</v>
      </c>
      <c r="F2386">
        <v>4.75</v>
      </c>
    </row>
    <row r="2387" spans="1:6" x14ac:dyDescent="0.25">
      <c r="A2387" s="1">
        <v>45133</v>
      </c>
      <c r="B2387">
        <v>2.15</v>
      </c>
      <c r="C2387" s="1">
        <v>45133</v>
      </c>
      <c r="D2387">
        <v>1.56</v>
      </c>
      <c r="E2387" s="1">
        <v>44980</v>
      </c>
      <c r="F2387">
        <v>4.75</v>
      </c>
    </row>
    <row r="2388" spans="1:6" x14ac:dyDescent="0.25">
      <c r="A2388" s="1">
        <v>45134</v>
      </c>
      <c r="B2388">
        <v>2.1</v>
      </c>
      <c r="C2388" s="1">
        <v>45134</v>
      </c>
      <c r="D2388">
        <v>1.52</v>
      </c>
      <c r="E2388" s="1">
        <v>44981</v>
      </c>
      <c r="F2388">
        <v>4.75</v>
      </c>
    </row>
    <row r="2389" spans="1:6" x14ac:dyDescent="0.25">
      <c r="A2389" s="1">
        <v>45135</v>
      </c>
      <c r="B2389">
        <v>2</v>
      </c>
      <c r="C2389" s="1">
        <v>45135</v>
      </c>
      <c r="D2389">
        <v>1.55</v>
      </c>
      <c r="E2389" s="1">
        <v>44984</v>
      </c>
      <c r="F2389">
        <v>4.75</v>
      </c>
    </row>
    <row r="2390" spans="1:6" x14ac:dyDescent="0.25">
      <c r="A2390" s="1">
        <v>45138</v>
      </c>
      <c r="B2390">
        <v>1.97</v>
      </c>
      <c r="C2390" s="1">
        <v>45138</v>
      </c>
      <c r="D2390">
        <v>2.1</v>
      </c>
      <c r="E2390" s="1">
        <v>44985</v>
      </c>
      <c r="F2390">
        <v>4.75</v>
      </c>
    </row>
    <row r="2391" spans="1:6" x14ac:dyDescent="0.25">
      <c r="A2391" s="1">
        <v>45139</v>
      </c>
      <c r="B2391">
        <v>1.85</v>
      </c>
      <c r="C2391" s="1">
        <v>45139</v>
      </c>
      <c r="D2391">
        <v>1.68</v>
      </c>
      <c r="E2391" s="1">
        <v>44986</v>
      </c>
      <c r="F2391">
        <v>4.75</v>
      </c>
    </row>
    <row r="2392" spans="1:6" x14ac:dyDescent="0.25">
      <c r="A2392" s="1">
        <v>45140</v>
      </c>
      <c r="B2392">
        <v>1.83</v>
      </c>
      <c r="C2392" s="1">
        <v>45140</v>
      </c>
      <c r="D2392">
        <v>1.4</v>
      </c>
      <c r="E2392" s="1">
        <v>44987</v>
      </c>
      <c r="F2392">
        <v>4.75</v>
      </c>
    </row>
    <row r="2393" spans="1:6" x14ac:dyDescent="0.25">
      <c r="A2393" s="1">
        <v>45141</v>
      </c>
      <c r="B2393">
        <v>1.75</v>
      </c>
      <c r="C2393" s="1">
        <v>45141</v>
      </c>
      <c r="D2393">
        <v>1.2</v>
      </c>
      <c r="E2393" s="1">
        <v>44988</v>
      </c>
      <c r="F2393">
        <v>4.75</v>
      </c>
    </row>
    <row r="2394" spans="1:6" x14ac:dyDescent="0.25">
      <c r="A2394" s="1">
        <v>45142</v>
      </c>
      <c r="B2394">
        <v>1.7</v>
      </c>
      <c r="C2394" s="1">
        <v>45142</v>
      </c>
      <c r="D2394">
        <v>1.26</v>
      </c>
      <c r="E2394" s="1">
        <v>44991</v>
      </c>
      <c r="F2394">
        <v>4.75</v>
      </c>
    </row>
    <row r="2395" spans="1:6" x14ac:dyDescent="0.25">
      <c r="A2395" s="1">
        <v>45145</v>
      </c>
      <c r="B2395">
        <v>1.72</v>
      </c>
      <c r="C2395" s="1">
        <v>45145</v>
      </c>
      <c r="D2395">
        <v>1.61</v>
      </c>
      <c r="E2395" s="1">
        <v>44992</v>
      </c>
      <c r="F2395">
        <v>4.75</v>
      </c>
    </row>
    <row r="2396" spans="1:6" x14ac:dyDescent="0.25">
      <c r="A2396" s="1">
        <v>45146</v>
      </c>
      <c r="B2396">
        <v>1.8</v>
      </c>
      <c r="C2396" s="1">
        <v>45146</v>
      </c>
      <c r="D2396">
        <v>1.5</v>
      </c>
      <c r="E2396" s="1">
        <v>44993</v>
      </c>
      <c r="F2396">
        <v>4.75</v>
      </c>
    </row>
    <row r="2397" spans="1:6" x14ac:dyDescent="0.25">
      <c r="A2397" s="1">
        <v>45147</v>
      </c>
      <c r="B2397">
        <v>1.8</v>
      </c>
      <c r="C2397" s="1">
        <v>45147</v>
      </c>
      <c r="D2397">
        <v>1.65</v>
      </c>
      <c r="E2397" s="1">
        <v>44994</v>
      </c>
      <c r="F2397">
        <v>4.75</v>
      </c>
    </row>
    <row r="2398" spans="1:6" x14ac:dyDescent="0.25">
      <c r="A2398" s="1">
        <v>45148</v>
      </c>
      <c r="B2398">
        <v>1.78</v>
      </c>
      <c r="C2398" s="1">
        <v>45148</v>
      </c>
      <c r="D2398">
        <v>1.45</v>
      </c>
      <c r="E2398" s="1">
        <v>44995</v>
      </c>
      <c r="F2398">
        <v>4.75</v>
      </c>
    </row>
    <row r="2399" spans="1:6" x14ac:dyDescent="0.25">
      <c r="A2399" s="1">
        <v>45149</v>
      </c>
      <c r="B2399">
        <v>1.78</v>
      </c>
      <c r="C2399" s="1">
        <v>45149</v>
      </c>
      <c r="D2399">
        <v>1.45</v>
      </c>
      <c r="E2399" s="1">
        <v>44998</v>
      </c>
      <c r="F2399">
        <v>4.75</v>
      </c>
    </row>
    <row r="2400" spans="1:6" x14ac:dyDescent="0.25">
      <c r="A2400" s="1">
        <v>45152</v>
      </c>
      <c r="B2400">
        <v>1.85</v>
      </c>
      <c r="C2400" s="1">
        <v>45152</v>
      </c>
      <c r="D2400">
        <v>1.78</v>
      </c>
      <c r="E2400" s="1">
        <v>44999</v>
      </c>
      <c r="F2400">
        <v>4.75</v>
      </c>
    </row>
    <row r="2401" spans="1:6" x14ac:dyDescent="0.25">
      <c r="A2401" s="1">
        <v>45153</v>
      </c>
      <c r="B2401">
        <v>1.93</v>
      </c>
      <c r="C2401" s="1">
        <v>45153</v>
      </c>
      <c r="D2401">
        <v>1.88</v>
      </c>
      <c r="E2401" s="1">
        <v>45000</v>
      </c>
      <c r="F2401">
        <v>4.75</v>
      </c>
    </row>
    <row r="2402" spans="1:6" x14ac:dyDescent="0.25">
      <c r="A2402" s="1">
        <v>45154</v>
      </c>
      <c r="B2402">
        <v>1.9</v>
      </c>
      <c r="C2402" s="1">
        <v>45154</v>
      </c>
      <c r="D2402">
        <v>1.97</v>
      </c>
      <c r="E2402" s="1">
        <v>45001</v>
      </c>
      <c r="F2402">
        <v>4.75</v>
      </c>
    </row>
    <row r="2403" spans="1:6" x14ac:dyDescent="0.25">
      <c r="A2403" s="1">
        <v>45155</v>
      </c>
      <c r="B2403">
        <v>1.95</v>
      </c>
      <c r="C2403" s="1">
        <v>45155</v>
      </c>
      <c r="D2403">
        <v>2</v>
      </c>
      <c r="E2403" s="1">
        <v>45002</v>
      </c>
      <c r="F2403">
        <v>4.75</v>
      </c>
    </row>
    <row r="2404" spans="1:6" x14ac:dyDescent="0.25">
      <c r="A2404" s="1">
        <v>45156</v>
      </c>
      <c r="B2404">
        <v>1.95</v>
      </c>
      <c r="C2404" s="1">
        <v>45156</v>
      </c>
      <c r="D2404">
        <v>2.0699999999999998</v>
      </c>
      <c r="E2404" s="1">
        <v>45005</v>
      </c>
      <c r="F2404">
        <v>4.75</v>
      </c>
    </row>
    <row r="2405" spans="1:6" x14ac:dyDescent="0.25">
      <c r="A2405" s="1">
        <v>45159</v>
      </c>
      <c r="B2405">
        <v>1.95</v>
      </c>
      <c r="C2405" s="1">
        <v>45159</v>
      </c>
      <c r="D2405">
        <v>2.0499999999999998</v>
      </c>
      <c r="E2405" s="1">
        <v>45006</v>
      </c>
      <c r="F2405">
        <v>4.75</v>
      </c>
    </row>
    <row r="2406" spans="1:6" x14ac:dyDescent="0.25">
      <c r="A2406" s="1">
        <v>45160</v>
      </c>
      <c r="B2406">
        <v>1.95</v>
      </c>
      <c r="C2406" s="1">
        <v>45160</v>
      </c>
      <c r="D2406">
        <v>1.91</v>
      </c>
      <c r="E2406" s="1">
        <v>45007</v>
      </c>
      <c r="F2406">
        <v>5</v>
      </c>
    </row>
    <row r="2407" spans="1:6" x14ac:dyDescent="0.25">
      <c r="A2407" s="1">
        <v>45161</v>
      </c>
      <c r="B2407">
        <v>1.93</v>
      </c>
      <c r="C2407" s="1">
        <v>45161</v>
      </c>
      <c r="D2407">
        <v>1.83</v>
      </c>
      <c r="E2407" s="1">
        <v>45008</v>
      </c>
      <c r="F2407">
        <v>5</v>
      </c>
    </row>
    <row r="2408" spans="1:6" x14ac:dyDescent="0.25">
      <c r="A2408" s="1">
        <v>45162</v>
      </c>
      <c r="B2408">
        <v>1.85</v>
      </c>
      <c r="C2408" s="1">
        <v>45162</v>
      </c>
      <c r="D2408">
        <v>1.68</v>
      </c>
      <c r="E2408" s="1">
        <v>45009</v>
      </c>
      <c r="F2408">
        <v>5</v>
      </c>
    </row>
    <row r="2409" spans="1:6" x14ac:dyDescent="0.25">
      <c r="A2409" s="1">
        <v>45163</v>
      </c>
      <c r="B2409">
        <v>2.15</v>
      </c>
      <c r="C2409" s="1">
        <v>45163</v>
      </c>
      <c r="D2409">
        <v>1.91</v>
      </c>
      <c r="E2409" s="1">
        <v>45012</v>
      </c>
      <c r="F2409">
        <v>5</v>
      </c>
    </row>
    <row r="2410" spans="1:6" x14ac:dyDescent="0.25">
      <c r="A2410" s="1">
        <v>45166</v>
      </c>
      <c r="B2410">
        <v>2.2000000000000002</v>
      </c>
      <c r="C2410" s="1">
        <v>45166</v>
      </c>
      <c r="D2410">
        <v>2.0499999999999998</v>
      </c>
      <c r="E2410" s="1">
        <v>45013</v>
      </c>
      <c r="F2410">
        <v>5</v>
      </c>
    </row>
    <row r="2411" spans="1:6" x14ac:dyDescent="0.25">
      <c r="A2411" s="1">
        <v>45167</v>
      </c>
      <c r="B2411">
        <v>2.25</v>
      </c>
      <c r="C2411" s="1">
        <v>45167</v>
      </c>
      <c r="D2411">
        <v>2.11</v>
      </c>
      <c r="E2411" s="1">
        <v>45014</v>
      </c>
      <c r="F2411">
        <v>5</v>
      </c>
    </row>
    <row r="2412" spans="1:6" x14ac:dyDescent="0.25">
      <c r="A2412" s="1">
        <v>45168</v>
      </c>
      <c r="B2412">
        <v>2.4</v>
      </c>
      <c r="C2412" s="1">
        <v>45168</v>
      </c>
      <c r="D2412">
        <v>2</v>
      </c>
      <c r="E2412" s="1">
        <v>45015</v>
      </c>
      <c r="F2412">
        <v>5</v>
      </c>
    </row>
    <row r="2413" spans="1:6" x14ac:dyDescent="0.25">
      <c r="A2413" s="1">
        <v>45169</v>
      </c>
      <c r="B2413">
        <v>2.2799999999999998</v>
      </c>
      <c r="C2413" s="1">
        <v>45169</v>
      </c>
      <c r="D2413">
        <v>2.36</v>
      </c>
      <c r="E2413" s="1">
        <v>45016</v>
      </c>
      <c r="F2413">
        <v>5</v>
      </c>
    </row>
    <row r="2414" spans="1:6" x14ac:dyDescent="0.25">
      <c r="A2414" s="1">
        <v>45170</v>
      </c>
      <c r="B2414">
        <v>1.95</v>
      </c>
      <c r="C2414" s="1">
        <v>45170</v>
      </c>
      <c r="D2414">
        <v>1.76</v>
      </c>
      <c r="E2414" s="1">
        <v>45019</v>
      </c>
      <c r="F2414">
        <v>5</v>
      </c>
    </row>
    <row r="2415" spans="1:6" x14ac:dyDescent="0.25">
      <c r="A2415" s="1">
        <v>45173</v>
      </c>
      <c r="B2415">
        <v>1.86</v>
      </c>
      <c r="C2415" s="1">
        <v>45173</v>
      </c>
      <c r="D2415">
        <v>1.61</v>
      </c>
      <c r="E2415" s="1">
        <v>45020</v>
      </c>
      <c r="F2415">
        <v>5</v>
      </c>
    </row>
    <row r="2416" spans="1:6" x14ac:dyDescent="0.25">
      <c r="A2416" s="1">
        <v>45174</v>
      </c>
      <c r="B2416">
        <v>1.85</v>
      </c>
      <c r="C2416" s="1">
        <v>45174</v>
      </c>
      <c r="D2416">
        <v>1.5</v>
      </c>
      <c r="E2416" s="1">
        <v>45021</v>
      </c>
      <c r="F2416">
        <v>5</v>
      </c>
    </row>
    <row r="2417" spans="1:6" x14ac:dyDescent="0.25">
      <c r="A2417" s="1">
        <v>45175</v>
      </c>
      <c r="B2417">
        <v>1.88</v>
      </c>
      <c r="C2417" s="1">
        <v>45175</v>
      </c>
      <c r="D2417">
        <v>1.6</v>
      </c>
      <c r="E2417" s="1">
        <v>45022</v>
      </c>
      <c r="F2417">
        <v>5</v>
      </c>
    </row>
    <row r="2418" spans="1:6" x14ac:dyDescent="0.25">
      <c r="A2418" s="1">
        <v>45176</v>
      </c>
      <c r="B2418">
        <v>2</v>
      </c>
      <c r="C2418" s="1">
        <v>45176</v>
      </c>
      <c r="D2418">
        <v>1.95</v>
      </c>
      <c r="E2418" s="1">
        <v>45023</v>
      </c>
      <c r="F2418">
        <v>5</v>
      </c>
    </row>
    <row r="2419" spans="1:6" x14ac:dyDescent="0.25">
      <c r="A2419" s="1">
        <v>45177</v>
      </c>
      <c r="B2419">
        <v>2</v>
      </c>
      <c r="C2419" s="1">
        <v>45177</v>
      </c>
      <c r="D2419">
        <v>2</v>
      </c>
      <c r="E2419" s="1">
        <v>45026</v>
      </c>
      <c r="F2419">
        <v>5</v>
      </c>
    </row>
    <row r="2420" spans="1:6" x14ac:dyDescent="0.25">
      <c r="A2420" s="1">
        <v>45180</v>
      </c>
      <c r="B2420">
        <v>2.0499999999999998</v>
      </c>
      <c r="C2420" s="1">
        <v>45180</v>
      </c>
      <c r="D2420">
        <v>2</v>
      </c>
      <c r="E2420" s="1">
        <v>45027</v>
      </c>
      <c r="F2420">
        <v>5</v>
      </c>
    </row>
    <row r="2421" spans="1:6" x14ac:dyDescent="0.25">
      <c r="A2421" s="1">
        <v>45181</v>
      </c>
      <c r="B2421">
        <v>2</v>
      </c>
      <c r="C2421" s="1">
        <v>45181</v>
      </c>
      <c r="D2421">
        <v>1.9</v>
      </c>
      <c r="E2421" s="1">
        <v>45028</v>
      </c>
      <c r="F2421">
        <v>5</v>
      </c>
    </row>
    <row r="2422" spans="1:6" x14ac:dyDescent="0.25">
      <c r="A2422" s="1">
        <v>45182</v>
      </c>
      <c r="B2422">
        <v>1.98</v>
      </c>
      <c r="C2422" s="1">
        <v>45182</v>
      </c>
      <c r="D2422">
        <v>1.6</v>
      </c>
      <c r="E2422" s="1">
        <v>45029</v>
      </c>
      <c r="F2422">
        <v>5</v>
      </c>
    </row>
    <row r="2423" spans="1:6" x14ac:dyDescent="0.25">
      <c r="A2423" s="1">
        <v>45183</v>
      </c>
      <c r="B2423">
        <v>2.0499999999999998</v>
      </c>
      <c r="C2423" s="1">
        <v>45183</v>
      </c>
      <c r="D2423">
        <v>1.85</v>
      </c>
      <c r="E2423" s="1">
        <v>45030</v>
      </c>
      <c r="F2423">
        <v>5</v>
      </c>
    </row>
    <row r="2424" spans="1:6" x14ac:dyDescent="0.25">
      <c r="A2424" s="1">
        <v>45184</v>
      </c>
      <c r="B2424">
        <v>2</v>
      </c>
      <c r="C2424" s="1">
        <v>45184</v>
      </c>
      <c r="D2424">
        <v>1.84</v>
      </c>
      <c r="E2424" s="1">
        <v>45033</v>
      </c>
      <c r="F2424">
        <v>5</v>
      </c>
    </row>
    <row r="2425" spans="1:6" x14ac:dyDescent="0.25">
      <c r="A2425" s="1">
        <v>45187</v>
      </c>
      <c r="B2425">
        <v>2.08</v>
      </c>
      <c r="C2425" s="1">
        <v>45187</v>
      </c>
      <c r="D2425">
        <v>2.02</v>
      </c>
      <c r="E2425" s="1">
        <v>45034</v>
      </c>
      <c r="F2425">
        <v>5</v>
      </c>
    </row>
    <row r="2426" spans="1:6" x14ac:dyDescent="0.25">
      <c r="A2426" s="1">
        <v>45188</v>
      </c>
      <c r="B2426">
        <v>2.15</v>
      </c>
      <c r="C2426" s="1">
        <v>45188</v>
      </c>
      <c r="D2426">
        <v>2</v>
      </c>
      <c r="E2426" s="1">
        <v>45035</v>
      </c>
      <c r="F2426">
        <v>5</v>
      </c>
    </row>
    <row r="2427" spans="1:6" x14ac:dyDescent="0.25">
      <c r="A2427" s="1">
        <v>45189</v>
      </c>
      <c r="B2427">
        <v>2.15</v>
      </c>
      <c r="C2427" s="1">
        <v>45189</v>
      </c>
      <c r="D2427">
        <v>2.14</v>
      </c>
      <c r="E2427" s="1">
        <v>45036</v>
      </c>
      <c r="F2427">
        <v>5</v>
      </c>
    </row>
    <row r="2428" spans="1:6" x14ac:dyDescent="0.25">
      <c r="A2428" s="1">
        <v>45190</v>
      </c>
      <c r="B2428">
        <v>2.15</v>
      </c>
      <c r="C2428" s="1">
        <v>45190</v>
      </c>
      <c r="D2428">
        <v>1.98</v>
      </c>
      <c r="E2428" s="1">
        <v>45037</v>
      </c>
      <c r="F2428">
        <v>5</v>
      </c>
    </row>
    <row r="2429" spans="1:6" x14ac:dyDescent="0.25">
      <c r="A2429" s="1">
        <v>45191</v>
      </c>
      <c r="B2429">
        <v>2</v>
      </c>
      <c r="C2429" s="1">
        <v>45191</v>
      </c>
      <c r="D2429">
        <v>1.8</v>
      </c>
      <c r="E2429" s="1">
        <v>45040</v>
      </c>
      <c r="F2429">
        <v>5</v>
      </c>
    </row>
    <row r="2430" spans="1:6" x14ac:dyDescent="0.25">
      <c r="A2430" s="1">
        <v>45194</v>
      </c>
      <c r="B2430">
        <v>1.9724999999999999</v>
      </c>
      <c r="C2430" s="1">
        <v>45194</v>
      </c>
      <c r="D2430">
        <v>1.7239</v>
      </c>
      <c r="E2430" s="1">
        <v>45041</v>
      </c>
      <c r="F2430">
        <v>5</v>
      </c>
    </row>
    <row r="2431" spans="1:6" x14ac:dyDescent="0.25">
      <c r="A2431" s="1">
        <v>45195</v>
      </c>
      <c r="B2431">
        <v>1.95</v>
      </c>
      <c r="C2431" s="1">
        <v>45195</v>
      </c>
      <c r="D2431">
        <v>1.81</v>
      </c>
      <c r="E2431" s="1">
        <v>45042</v>
      </c>
      <c r="F2431">
        <v>5</v>
      </c>
    </row>
    <row r="2432" spans="1:6" x14ac:dyDescent="0.25">
      <c r="A2432" s="1">
        <v>45196</v>
      </c>
      <c r="B2432">
        <v>1.83</v>
      </c>
      <c r="C2432" s="1">
        <v>45196</v>
      </c>
      <c r="D2432">
        <v>1.75</v>
      </c>
      <c r="E2432" s="1">
        <v>45043</v>
      </c>
      <c r="F2432">
        <v>5</v>
      </c>
    </row>
    <row r="2433" spans="1:6" x14ac:dyDescent="0.25">
      <c r="A2433" s="1">
        <v>45197</v>
      </c>
      <c r="B2433">
        <v>2.2000000000000002</v>
      </c>
      <c r="C2433" s="1">
        <v>45197</v>
      </c>
      <c r="D2433">
        <v>2.2000000000000002</v>
      </c>
      <c r="E2433" s="1">
        <v>45044</v>
      </c>
      <c r="F2433">
        <v>5</v>
      </c>
    </row>
    <row r="2434" spans="1:6" x14ac:dyDescent="0.25">
      <c r="A2434" s="1">
        <v>45206</v>
      </c>
      <c r="B2434">
        <v>1.85</v>
      </c>
      <c r="C2434" s="1">
        <v>45206</v>
      </c>
      <c r="D2434">
        <v>1.7</v>
      </c>
      <c r="E2434" s="1">
        <v>45047</v>
      </c>
      <c r="F2434">
        <v>5</v>
      </c>
    </row>
    <row r="2435" spans="1:6" x14ac:dyDescent="0.25">
      <c r="A2435" s="1">
        <v>45207</v>
      </c>
      <c r="B2435">
        <v>1.8</v>
      </c>
      <c r="C2435" s="1">
        <v>45207</v>
      </c>
      <c r="D2435">
        <v>1.56</v>
      </c>
      <c r="E2435" s="1">
        <v>45048</v>
      </c>
      <c r="F2435">
        <v>5</v>
      </c>
    </row>
    <row r="2436" spans="1:6" x14ac:dyDescent="0.25">
      <c r="A2436" s="1">
        <v>45208</v>
      </c>
      <c r="B2436">
        <v>2.0099999999999998</v>
      </c>
      <c r="C2436" s="1">
        <v>45208</v>
      </c>
      <c r="D2436">
        <v>1.81</v>
      </c>
      <c r="E2436" s="1">
        <v>45049</v>
      </c>
      <c r="F2436">
        <v>5.25</v>
      </c>
    </row>
    <row r="2437" spans="1:6" x14ac:dyDescent="0.25">
      <c r="A2437" s="1">
        <v>45209</v>
      </c>
      <c r="B2437">
        <v>2.0499999999999998</v>
      </c>
      <c r="C2437" s="1">
        <v>45209</v>
      </c>
      <c r="D2437">
        <v>1.93</v>
      </c>
      <c r="E2437" s="1">
        <v>45050</v>
      </c>
      <c r="F2437">
        <v>5.25</v>
      </c>
    </row>
    <row r="2438" spans="1:6" x14ac:dyDescent="0.25">
      <c r="A2438" s="1">
        <v>45210</v>
      </c>
      <c r="B2438">
        <v>2.14</v>
      </c>
      <c r="C2438" s="1">
        <v>45210</v>
      </c>
      <c r="D2438">
        <v>1.96</v>
      </c>
      <c r="E2438" s="1">
        <v>45051</v>
      </c>
      <c r="F2438">
        <v>5.25</v>
      </c>
    </row>
    <row r="2439" spans="1:6" x14ac:dyDescent="0.25">
      <c r="A2439" s="1">
        <v>45211</v>
      </c>
      <c r="B2439">
        <v>2.1</v>
      </c>
      <c r="C2439" s="1">
        <v>45211</v>
      </c>
      <c r="D2439">
        <v>1.92</v>
      </c>
      <c r="E2439" s="1">
        <v>45054</v>
      </c>
      <c r="F2439">
        <v>5.25</v>
      </c>
    </row>
    <row r="2440" spans="1:6" x14ac:dyDescent="0.25">
      <c r="A2440" s="1">
        <v>45212</v>
      </c>
      <c r="B2440">
        <v>2.0499999999999998</v>
      </c>
      <c r="C2440" s="1">
        <v>45212</v>
      </c>
      <c r="D2440">
        <v>1.83</v>
      </c>
      <c r="E2440" s="1">
        <v>45055</v>
      </c>
      <c r="F2440">
        <v>5.25</v>
      </c>
    </row>
    <row r="2441" spans="1:6" x14ac:dyDescent="0.25">
      <c r="A2441" s="1">
        <v>45215</v>
      </c>
      <c r="B2441">
        <v>2.0499999999999998</v>
      </c>
      <c r="C2441" s="1">
        <v>45215</v>
      </c>
      <c r="D2441">
        <v>1.82</v>
      </c>
      <c r="E2441" s="1">
        <v>45056</v>
      </c>
      <c r="F2441">
        <v>5.25</v>
      </c>
    </row>
    <row r="2442" spans="1:6" x14ac:dyDescent="0.25">
      <c r="A2442" s="1">
        <v>45216</v>
      </c>
      <c r="B2442">
        <v>2</v>
      </c>
      <c r="C2442" s="1">
        <v>45216</v>
      </c>
      <c r="D2442">
        <v>1.9</v>
      </c>
      <c r="E2442" s="1">
        <v>45057</v>
      </c>
      <c r="F2442">
        <v>5.25</v>
      </c>
    </row>
    <row r="2443" spans="1:6" x14ac:dyDescent="0.25">
      <c r="A2443" s="1">
        <v>45217</v>
      </c>
      <c r="B2443">
        <v>2.0499999999999998</v>
      </c>
      <c r="C2443" s="1">
        <v>45217</v>
      </c>
      <c r="D2443">
        <v>1.93</v>
      </c>
      <c r="E2443" s="1">
        <v>45058</v>
      </c>
      <c r="F2443">
        <v>5.25</v>
      </c>
    </row>
    <row r="2444" spans="1:6" x14ac:dyDescent="0.25">
      <c r="A2444" s="1">
        <v>45218</v>
      </c>
      <c r="B2444">
        <v>2.2999999999999998</v>
      </c>
      <c r="C2444" s="1">
        <v>45218</v>
      </c>
      <c r="D2444">
        <v>1.96</v>
      </c>
      <c r="E2444" s="1">
        <v>45061</v>
      </c>
      <c r="F2444">
        <v>5.25</v>
      </c>
    </row>
    <row r="2445" spans="1:6" x14ac:dyDescent="0.25">
      <c r="A2445" s="1">
        <v>45219</v>
      </c>
      <c r="B2445">
        <v>2.8</v>
      </c>
      <c r="C2445" s="1">
        <v>45219</v>
      </c>
      <c r="D2445">
        <v>2</v>
      </c>
      <c r="E2445" s="1">
        <v>45062</v>
      </c>
      <c r="F2445">
        <v>5.25</v>
      </c>
    </row>
    <row r="2446" spans="1:6" x14ac:dyDescent="0.25">
      <c r="A2446" s="1">
        <v>45222</v>
      </c>
      <c r="B2446">
        <v>2.6</v>
      </c>
      <c r="C2446" s="1">
        <v>45222</v>
      </c>
      <c r="D2446">
        <v>2.0499999999999998</v>
      </c>
      <c r="E2446" s="1">
        <v>45063</v>
      </c>
      <c r="F2446">
        <v>5.25</v>
      </c>
    </row>
    <row r="2447" spans="1:6" x14ac:dyDescent="0.25">
      <c r="A2447" s="1">
        <v>45223</v>
      </c>
      <c r="B2447">
        <v>2.7</v>
      </c>
      <c r="C2447" s="1">
        <v>45223</v>
      </c>
      <c r="D2447">
        <v>2.2999999999999998</v>
      </c>
      <c r="E2447" s="1">
        <v>45064</v>
      </c>
      <c r="F2447">
        <v>5.25</v>
      </c>
    </row>
    <row r="2448" spans="1:6" x14ac:dyDescent="0.25">
      <c r="A2448" s="1">
        <v>45224</v>
      </c>
      <c r="B2448">
        <v>2.8</v>
      </c>
      <c r="C2448" s="1">
        <v>45224</v>
      </c>
      <c r="D2448">
        <v>2.1</v>
      </c>
      <c r="E2448" s="1">
        <v>45065</v>
      </c>
      <c r="F2448">
        <v>5.25</v>
      </c>
    </row>
    <row r="2449" spans="1:6" x14ac:dyDescent="0.25">
      <c r="A2449" s="1">
        <v>45225</v>
      </c>
      <c r="B2449">
        <v>2.5</v>
      </c>
      <c r="C2449" s="1">
        <v>45225</v>
      </c>
      <c r="D2449">
        <v>1.74</v>
      </c>
      <c r="E2449" s="1">
        <v>45068</v>
      </c>
      <c r="F2449">
        <v>5.25</v>
      </c>
    </row>
    <row r="2450" spans="1:6" x14ac:dyDescent="0.25">
      <c r="A2450" s="1">
        <v>45226</v>
      </c>
      <c r="B2450">
        <v>2.5</v>
      </c>
      <c r="C2450" s="1">
        <v>45226</v>
      </c>
      <c r="D2450">
        <v>1.72</v>
      </c>
      <c r="E2450" s="1">
        <v>45069</v>
      </c>
      <c r="F2450">
        <v>5.25</v>
      </c>
    </row>
    <row r="2451" spans="1:6" x14ac:dyDescent="0.25">
      <c r="A2451" s="1">
        <v>45229</v>
      </c>
      <c r="B2451">
        <v>2.5</v>
      </c>
      <c r="C2451" s="1">
        <v>45229</v>
      </c>
      <c r="D2451">
        <v>1.75</v>
      </c>
      <c r="E2451" s="1">
        <v>45070</v>
      </c>
      <c r="F2451">
        <v>5.25</v>
      </c>
    </row>
    <row r="2452" spans="1:6" x14ac:dyDescent="0.25">
      <c r="A2452" s="1">
        <v>45230</v>
      </c>
      <c r="B2452">
        <v>2.5</v>
      </c>
      <c r="C2452" s="1">
        <v>45230</v>
      </c>
      <c r="D2452">
        <v>2.2999999999999998</v>
      </c>
      <c r="E2452" s="1">
        <v>45071</v>
      </c>
      <c r="F2452">
        <v>5.25</v>
      </c>
    </row>
    <row r="2453" spans="1:6" x14ac:dyDescent="0.25">
      <c r="A2453" s="1">
        <v>45231</v>
      </c>
      <c r="B2453">
        <v>2.4</v>
      </c>
      <c r="C2453" s="1">
        <v>45231</v>
      </c>
      <c r="D2453">
        <v>1.93</v>
      </c>
      <c r="E2453" s="1">
        <v>45072</v>
      </c>
      <c r="F2453">
        <v>5.25</v>
      </c>
    </row>
    <row r="2454" spans="1:6" x14ac:dyDescent="0.25">
      <c r="A2454" s="1">
        <v>45232</v>
      </c>
      <c r="B2454">
        <v>2</v>
      </c>
      <c r="C2454" s="1">
        <v>45232</v>
      </c>
      <c r="D2454">
        <v>1.57</v>
      </c>
      <c r="E2454" s="1">
        <v>45075</v>
      </c>
      <c r="F2454">
        <v>5.25</v>
      </c>
    </row>
    <row r="2455" spans="1:6" x14ac:dyDescent="0.25">
      <c r="A2455" s="1">
        <v>45233</v>
      </c>
      <c r="B2455">
        <v>1.82</v>
      </c>
      <c r="C2455" s="1">
        <v>45233</v>
      </c>
      <c r="D2455">
        <v>1.7</v>
      </c>
      <c r="E2455" s="1">
        <v>45076</v>
      </c>
      <c r="F2455">
        <v>5.25</v>
      </c>
    </row>
    <row r="2456" spans="1:6" x14ac:dyDescent="0.25">
      <c r="A2456" s="1">
        <v>45236</v>
      </c>
      <c r="B2456">
        <v>2</v>
      </c>
      <c r="C2456" s="1">
        <v>45236</v>
      </c>
      <c r="D2456">
        <v>1.7</v>
      </c>
      <c r="E2456" s="1">
        <v>45077</v>
      </c>
      <c r="F2456">
        <v>5.25</v>
      </c>
    </row>
    <row r="2457" spans="1:6" x14ac:dyDescent="0.25">
      <c r="A2457" s="1">
        <v>45237</v>
      </c>
      <c r="B2457">
        <v>2.0299999999999998</v>
      </c>
      <c r="C2457" s="1">
        <v>45237</v>
      </c>
      <c r="D2457">
        <v>1.73</v>
      </c>
      <c r="E2457" s="1">
        <v>45078</v>
      </c>
      <c r="F2457">
        <v>5.25</v>
      </c>
    </row>
    <row r="2458" spans="1:6" x14ac:dyDescent="0.25">
      <c r="A2458" s="1">
        <v>45238</v>
      </c>
      <c r="B2458">
        <v>2.0499999999999998</v>
      </c>
      <c r="C2458" s="1">
        <v>45238</v>
      </c>
      <c r="D2458">
        <v>1.83</v>
      </c>
      <c r="E2458" s="1">
        <v>45079</v>
      </c>
      <c r="F2458">
        <v>5.25</v>
      </c>
    </row>
    <row r="2459" spans="1:6" x14ac:dyDescent="0.25">
      <c r="A2459" s="1">
        <v>45239</v>
      </c>
      <c r="B2459">
        <v>2.0499999999999998</v>
      </c>
      <c r="C2459" s="1">
        <v>45239</v>
      </c>
      <c r="D2459">
        <v>1.75</v>
      </c>
      <c r="E2459" s="1">
        <v>45082</v>
      </c>
      <c r="F2459">
        <v>5.25</v>
      </c>
    </row>
    <row r="2460" spans="1:6" x14ac:dyDescent="0.25">
      <c r="A2460" s="1">
        <v>45240</v>
      </c>
      <c r="B2460">
        <v>2.0299999999999998</v>
      </c>
      <c r="C2460" s="1">
        <v>45240</v>
      </c>
      <c r="D2460">
        <v>1.8</v>
      </c>
      <c r="E2460" s="1">
        <v>45083</v>
      </c>
      <c r="F2460">
        <v>5.25</v>
      </c>
    </row>
    <row r="2461" spans="1:6" x14ac:dyDescent="0.25">
      <c r="A2461" s="1">
        <v>45243</v>
      </c>
      <c r="B2461">
        <v>2.0499999999999998</v>
      </c>
      <c r="C2461" s="1">
        <v>45243</v>
      </c>
      <c r="D2461">
        <v>1.86</v>
      </c>
      <c r="E2461" s="1">
        <v>45084</v>
      </c>
      <c r="F2461">
        <v>5.25</v>
      </c>
    </row>
    <row r="2462" spans="1:6" x14ac:dyDescent="0.25">
      <c r="A2462" s="1">
        <v>45244</v>
      </c>
      <c r="B2462">
        <v>2.2000000000000002</v>
      </c>
      <c r="C2462" s="1">
        <v>45244</v>
      </c>
      <c r="D2462">
        <v>2.0299999999999998</v>
      </c>
      <c r="E2462" s="1">
        <v>45085</v>
      </c>
      <c r="F2462">
        <v>5.25</v>
      </c>
    </row>
    <row r="2463" spans="1:6" x14ac:dyDescent="0.25">
      <c r="A2463" s="1">
        <v>45245</v>
      </c>
      <c r="B2463">
        <v>2.2200000000000002</v>
      </c>
      <c r="C2463" s="1">
        <v>45245</v>
      </c>
      <c r="D2463">
        <v>1.99</v>
      </c>
      <c r="E2463" s="1">
        <v>45086</v>
      </c>
      <c r="F2463">
        <v>5.25</v>
      </c>
    </row>
    <row r="2464" spans="1:6" x14ac:dyDescent="0.25">
      <c r="A2464" s="1">
        <v>45246</v>
      </c>
      <c r="B2464">
        <v>2.2000000000000002</v>
      </c>
      <c r="C2464" s="1">
        <v>45246</v>
      </c>
      <c r="D2464">
        <v>2.0299999999999998</v>
      </c>
      <c r="E2464" s="1">
        <v>45089</v>
      </c>
      <c r="F2464">
        <v>5.25</v>
      </c>
    </row>
    <row r="2465" spans="1:6" x14ac:dyDescent="0.25">
      <c r="A2465" s="1">
        <v>45247</v>
      </c>
      <c r="B2465">
        <v>2.25</v>
      </c>
      <c r="C2465" s="1">
        <v>45247</v>
      </c>
      <c r="D2465">
        <v>2</v>
      </c>
      <c r="E2465" s="1">
        <v>45090</v>
      </c>
      <c r="F2465">
        <v>5.25</v>
      </c>
    </row>
    <row r="2466" spans="1:6" x14ac:dyDescent="0.25">
      <c r="A2466" s="1">
        <v>45250</v>
      </c>
      <c r="B2466">
        <v>2.25</v>
      </c>
      <c r="C2466" s="1">
        <v>45250</v>
      </c>
      <c r="D2466">
        <v>2.0299999999999998</v>
      </c>
      <c r="E2466" s="1">
        <v>45091</v>
      </c>
      <c r="F2466">
        <v>5.25</v>
      </c>
    </row>
    <row r="2467" spans="1:6" x14ac:dyDescent="0.25">
      <c r="A2467" s="1">
        <v>45251</v>
      </c>
      <c r="B2467">
        <v>2.2000000000000002</v>
      </c>
      <c r="C2467" s="1">
        <v>45251</v>
      </c>
      <c r="D2467">
        <v>2.0299999999999998</v>
      </c>
      <c r="E2467" s="1">
        <v>45092</v>
      </c>
      <c r="F2467">
        <v>5.25</v>
      </c>
    </row>
    <row r="2468" spans="1:6" x14ac:dyDescent="0.25">
      <c r="A2468" s="1">
        <v>45252</v>
      </c>
      <c r="B2468">
        <v>2.2000000000000002</v>
      </c>
      <c r="C2468" s="1">
        <v>45252</v>
      </c>
      <c r="D2468">
        <v>2.0337999999999998</v>
      </c>
      <c r="E2468" s="1">
        <v>45093</v>
      </c>
      <c r="F2468">
        <v>5.25</v>
      </c>
    </row>
    <row r="2469" spans="1:6" x14ac:dyDescent="0.25">
      <c r="A2469" s="1">
        <v>45253</v>
      </c>
      <c r="B2469">
        <v>2.25</v>
      </c>
      <c r="C2469" s="1">
        <v>45253</v>
      </c>
      <c r="D2469">
        <v>2.0299999999999998</v>
      </c>
      <c r="E2469" s="1">
        <v>45096</v>
      </c>
      <c r="F2469">
        <v>5.25</v>
      </c>
    </row>
    <row r="2470" spans="1:6" x14ac:dyDescent="0.25">
      <c r="A2470" s="1">
        <v>45254</v>
      </c>
      <c r="B2470">
        <v>2.96</v>
      </c>
      <c r="C2470" s="1">
        <v>45254</v>
      </c>
      <c r="D2470">
        <v>1.93</v>
      </c>
      <c r="E2470" s="1">
        <v>45097</v>
      </c>
      <c r="F2470">
        <v>5.25</v>
      </c>
    </row>
    <row r="2471" spans="1:6" x14ac:dyDescent="0.25">
      <c r="A2471" s="1">
        <v>45257</v>
      </c>
      <c r="B2471">
        <v>3.3</v>
      </c>
      <c r="C2471" s="1">
        <v>45257</v>
      </c>
      <c r="D2471">
        <v>1.9</v>
      </c>
      <c r="E2471" s="1">
        <v>45098</v>
      </c>
      <c r="F2471">
        <v>5.25</v>
      </c>
    </row>
    <row r="2472" spans="1:6" x14ac:dyDescent="0.25">
      <c r="A2472" s="1">
        <v>45258</v>
      </c>
      <c r="B2472">
        <v>3.4</v>
      </c>
      <c r="C2472" s="1">
        <v>45258</v>
      </c>
      <c r="D2472">
        <v>1.8</v>
      </c>
      <c r="E2472" s="1">
        <v>45099</v>
      </c>
      <c r="F2472">
        <v>5.25</v>
      </c>
    </row>
    <row r="2473" spans="1:6" x14ac:dyDescent="0.25">
      <c r="A2473" s="1">
        <v>45259</v>
      </c>
      <c r="B2473">
        <v>3.6</v>
      </c>
      <c r="C2473" s="1">
        <v>45259</v>
      </c>
      <c r="D2473">
        <v>1.6536</v>
      </c>
      <c r="E2473" s="1">
        <v>45100</v>
      </c>
      <c r="F2473">
        <v>5.25</v>
      </c>
    </row>
    <row r="2474" spans="1:6" x14ac:dyDescent="0.25">
      <c r="A2474" s="1">
        <v>45260</v>
      </c>
      <c r="B2474">
        <v>2.75</v>
      </c>
      <c r="C2474" s="1">
        <v>45260</v>
      </c>
      <c r="D2474">
        <v>2.69</v>
      </c>
      <c r="E2474" s="1">
        <v>45103</v>
      </c>
      <c r="F2474">
        <v>5.25</v>
      </c>
    </row>
    <row r="2475" spans="1:6" x14ac:dyDescent="0.25">
      <c r="A2475" s="1">
        <v>45261</v>
      </c>
      <c r="B2475">
        <v>2.15</v>
      </c>
      <c r="C2475" s="1">
        <v>45261</v>
      </c>
      <c r="D2475">
        <v>1.72</v>
      </c>
      <c r="E2475" s="1">
        <v>45104</v>
      </c>
      <c r="F2475">
        <v>5.25</v>
      </c>
    </row>
    <row r="2476" spans="1:6" x14ac:dyDescent="0.25">
      <c r="A2476" s="1">
        <v>45264</v>
      </c>
      <c r="B2476">
        <v>2.1</v>
      </c>
      <c r="C2476" s="1">
        <v>45264</v>
      </c>
      <c r="D2476">
        <v>1.8</v>
      </c>
      <c r="E2476" s="1">
        <v>45105</v>
      </c>
      <c r="F2476">
        <v>5.25</v>
      </c>
    </row>
    <row r="2477" spans="1:6" x14ac:dyDescent="0.25">
      <c r="A2477" s="1">
        <v>45265</v>
      </c>
      <c r="B2477">
        <v>2.25</v>
      </c>
      <c r="C2477" s="1">
        <v>45265</v>
      </c>
      <c r="D2477">
        <v>1.85</v>
      </c>
      <c r="E2477" s="1">
        <v>45106</v>
      </c>
      <c r="F2477">
        <v>5.25</v>
      </c>
    </row>
    <row r="2478" spans="1:6" x14ac:dyDescent="0.25">
      <c r="A2478" s="1">
        <v>45266</v>
      </c>
      <c r="B2478">
        <v>2.25</v>
      </c>
      <c r="C2478" s="1">
        <v>45266</v>
      </c>
      <c r="D2478">
        <v>1.72</v>
      </c>
      <c r="E2478" s="1">
        <v>45107</v>
      </c>
      <c r="F2478">
        <v>5.25</v>
      </c>
    </row>
    <row r="2479" spans="1:6" x14ac:dyDescent="0.25">
      <c r="A2479" s="1">
        <v>45267</v>
      </c>
      <c r="B2479">
        <v>2.25</v>
      </c>
      <c r="C2479" s="1">
        <v>45267</v>
      </c>
      <c r="D2479">
        <v>1.78</v>
      </c>
      <c r="E2479" s="1">
        <v>45110</v>
      </c>
      <c r="F2479">
        <v>5.25</v>
      </c>
    </row>
    <row r="2480" spans="1:6" x14ac:dyDescent="0.25">
      <c r="A2480" s="1">
        <v>45268</v>
      </c>
      <c r="B2480">
        <v>2.2999999999999998</v>
      </c>
      <c r="C2480" s="1">
        <v>45268</v>
      </c>
      <c r="D2480">
        <v>1.8</v>
      </c>
      <c r="E2480" s="1">
        <v>45111</v>
      </c>
      <c r="F2480">
        <v>5.25</v>
      </c>
    </row>
    <row r="2481" spans="1:6" x14ac:dyDescent="0.25">
      <c r="A2481" s="1">
        <v>45271</v>
      </c>
      <c r="B2481">
        <v>2.35</v>
      </c>
      <c r="C2481" s="1">
        <v>45271</v>
      </c>
      <c r="D2481">
        <v>1.9</v>
      </c>
      <c r="E2481" s="1">
        <v>45112</v>
      </c>
      <c r="F2481">
        <v>5.25</v>
      </c>
    </row>
    <row r="2482" spans="1:6" x14ac:dyDescent="0.25">
      <c r="A2482" s="1">
        <v>45272</v>
      </c>
      <c r="B2482">
        <v>2.4</v>
      </c>
      <c r="C2482" s="1">
        <v>45272</v>
      </c>
      <c r="D2482">
        <v>1.9</v>
      </c>
      <c r="E2482" s="1">
        <v>45113</v>
      </c>
      <c r="F2482">
        <v>5.25</v>
      </c>
    </row>
    <row r="2483" spans="1:6" x14ac:dyDescent="0.25">
      <c r="A2483" s="1">
        <v>45273</v>
      </c>
      <c r="B2483">
        <v>2.25</v>
      </c>
      <c r="C2483" s="1">
        <v>45273</v>
      </c>
      <c r="D2483">
        <v>1.75</v>
      </c>
      <c r="E2483" s="1">
        <v>45114</v>
      </c>
      <c r="F2483">
        <v>5.25</v>
      </c>
    </row>
    <row r="2484" spans="1:6" x14ac:dyDescent="0.25">
      <c r="A2484" s="1">
        <v>45274</v>
      </c>
      <c r="B2484">
        <v>2.25</v>
      </c>
      <c r="C2484" s="1">
        <v>45274</v>
      </c>
      <c r="D2484">
        <v>1.75</v>
      </c>
      <c r="E2484" s="1">
        <v>45117</v>
      </c>
      <c r="F2484">
        <v>5.25</v>
      </c>
    </row>
    <row r="2485" spans="1:6" x14ac:dyDescent="0.25">
      <c r="A2485" s="1">
        <v>45275</v>
      </c>
      <c r="B2485">
        <v>2.2000000000000002</v>
      </c>
      <c r="C2485" s="1">
        <v>45275</v>
      </c>
      <c r="D2485">
        <v>1.7</v>
      </c>
      <c r="E2485" s="1">
        <v>45118</v>
      </c>
      <c r="F2485">
        <v>5.25</v>
      </c>
    </row>
    <row r="2486" spans="1:6" x14ac:dyDescent="0.25">
      <c r="A2486" s="1">
        <v>45278</v>
      </c>
      <c r="B2486">
        <v>2.2000000000000002</v>
      </c>
      <c r="C2486" s="1">
        <v>45278</v>
      </c>
      <c r="D2486">
        <v>1.72</v>
      </c>
      <c r="E2486" s="1">
        <v>45119</v>
      </c>
      <c r="F2486">
        <v>5.25</v>
      </c>
    </row>
    <row r="2487" spans="1:6" x14ac:dyDescent="0.25">
      <c r="A2487" s="1">
        <v>45279</v>
      </c>
      <c r="B2487">
        <v>2.2000000000000002</v>
      </c>
      <c r="C2487" s="1">
        <v>45279</v>
      </c>
      <c r="D2487">
        <v>1.68</v>
      </c>
      <c r="E2487" s="1">
        <v>45120</v>
      </c>
      <c r="F2487">
        <v>5.25</v>
      </c>
    </row>
    <row r="2488" spans="1:6" x14ac:dyDescent="0.25">
      <c r="A2488" s="1">
        <v>45280</v>
      </c>
      <c r="B2488">
        <v>2.2000000000000002</v>
      </c>
      <c r="C2488" s="1">
        <v>45280</v>
      </c>
      <c r="D2488">
        <v>1.7</v>
      </c>
      <c r="E2488" s="1">
        <v>45121</v>
      </c>
      <c r="F2488">
        <v>5.25</v>
      </c>
    </row>
    <row r="2489" spans="1:6" x14ac:dyDescent="0.25">
      <c r="A2489" s="1">
        <v>45281</v>
      </c>
      <c r="B2489">
        <v>2.02</v>
      </c>
      <c r="C2489" s="1">
        <v>45281</v>
      </c>
      <c r="D2489">
        <v>1.84</v>
      </c>
      <c r="E2489" s="1">
        <v>45124</v>
      </c>
      <c r="F2489">
        <v>5.25</v>
      </c>
    </row>
    <row r="2490" spans="1:6" x14ac:dyDescent="0.25">
      <c r="A2490" s="1">
        <v>45282</v>
      </c>
      <c r="B2490">
        <v>2.0499999999999998</v>
      </c>
      <c r="C2490" s="1">
        <v>45282</v>
      </c>
      <c r="D2490">
        <v>1.73</v>
      </c>
      <c r="E2490" s="1">
        <v>45125</v>
      </c>
      <c r="F2490">
        <v>5.25</v>
      </c>
    </row>
    <row r="2491" spans="1:6" x14ac:dyDescent="0.25">
      <c r="A2491" s="1">
        <v>45285</v>
      </c>
      <c r="B2491">
        <v>1.8117000000000001</v>
      </c>
      <c r="C2491" s="1">
        <v>45285</v>
      </c>
      <c r="D2491">
        <v>1.621</v>
      </c>
      <c r="E2491" s="1">
        <v>45126</v>
      </c>
      <c r="F2491">
        <v>5.25</v>
      </c>
    </row>
    <row r="2492" spans="1:6" x14ac:dyDescent="0.25">
      <c r="A2492" s="1">
        <v>45286</v>
      </c>
      <c r="B2492">
        <v>4.3499999999999996</v>
      </c>
      <c r="C2492" s="1">
        <v>45286</v>
      </c>
      <c r="D2492">
        <v>1.55</v>
      </c>
      <c r="E2492" s="1">
        <v>45127</v>
      </c>
      <c r="F2492">
        <v>5.25</v>
      </c>
    </row>
    <row r="2493" spans="1:6" x14ac:dyDescent="0.25">
      <c r="A2493" s="1">
        <v>45287</v>
      </c>
      <c r="B2493">
        <v>4</v>
      </c>
      <c r="C2493" s="1">
        <v>45287</v>
      </c>
      <c r="D2493">
        <v>1.51</v>
      </c>
      <c r="E2493" s="1">
        <v>45128</v>
      </c>
      <c r="F2493">
        <v>5.25</v>
      </c>
    </row>
    <row r="2494" spans="1:6" x14ac:dyDescent="0.25">
      <c r="A2494" s="1">
        <v>45288</v>
      </c>
      <c r="B2494">
        <v>3.2</v>
      </c>
      <c r="C2494" s="1">
        <v>45288</v>
      </c>
      <c r="D2494">
        <v>1.5</v>
      </c>
      <c r="E2494" s="1">
        <v>45131</v>
      </c>
      <c r="F2494">
        <v>5.25</v>
      </c>
    </row>
    <row r="2495" spans="1:6" x14ac:dyDescent="0.25">
      <c r="A2495" s="1">
        <v>45289</v>
      </c>
      <c r="B2495">
        <v>2.4</v>
      </c>
      <c r="C2495" s="1">
        <v>45289</v>
      </c>
      <c r="D2495">
        <v>1.9149</v>
      </c>
      <c r="E2495" s="1">
        <v>45132</v>
      </c>
      <c r="F2495">
        <v>5.25</v>
      </c>
    </row>
    <row r="2496" spans="1:6" x14ac:dyDescent="0.25">
      <c r="A2496" s="1">
        <v>45293</v>
      </c>
      <c r="B2496">
        <v>2.1</v>
      </c>
      <c r="C2496" s="1">
        <v>45293</v>
      </c>
      <c r="D2496">
        <v>1.7</v>
      </c>
      <c r="E2496" s="1">
        <v>45133</v>
      </c>
      <c r="F2496">
        <v>5.5</v>
      </c>
    </row>
    <row r="2497" spans="1:6" x14ac:dyDescent="0.25">
      <c r="A2497" s="1">
        <v>45294</v>
      </c>
      <c r="B2497">
        <v>2.15</v>
      </c>
      <c r="C2497" s="1">
        <v>45294</v>
      </c>
      <c r="D2497">
        <v>1.7</v>
      </c>
      <c r="E2497" s="1">
        <v>45134</v>
      </c>
      <c r="F2497">
        <v>5.5</v>
      </c>
    </row>
    <row r="2498" spans="1:6" x14ac:dyDescent="0.25">
      <c r="A2498" s="1">
        <v>45295</v>
      </c>
      <c r="B2498">
        <v>2.25</v>
      </c>
      <c r="C2498" s="1">
        <v>45295</v>
      </c>
      <c r="D2498">
        <v>1.7</v>
      </c>
      <c r="E2498" s="1">
        <v>45135</v>
      </c>
      <c r="F2498">
        <v>5.5</v>
      </c>
    </row>
    <row r="2499" spans="1:6" x14ac:dyDescent="0.25">
      <c r="A2499" s="1">
        <v>45296</v>
      </c>
      <c r="B2499">
        <v>2.15</v>
      </c>
      <c r="C2499" s="1">
        <v>45296</v>
      </c>
      <c r="D2499">
        <v>1.7</v>
      </c>
      <c r="E2499" s="1">
        <v>45138</v>
      </c>
      <c r="F2499">
        <v>5.5</v>
      </c>
    </row>
    <row r="2500" spans="1:6" x14ac:dyDescent="0.25">
      <c r="A2500" s="1">
        <v>45299</v>
      </c>
      <c r="B2500">
        <v>2.2000000000000002</v>
      </c>
      <c r="C2500" s="1">
        <v>45299</v>
      </c>
      <c r="D2500">
        <v>1.7</v>
      </c>
      <c r="E2500" s="1">
        <v>45139</v>
      </c>
      <c r="F2500">
        <v>5.5</v>
      </c>
    </row>
    <row r="2501" spans="1:6" x14ac:dyDescent="0.25">
      <c r="A2501" s="1">
        <v>45300</v>
      </c>
      <c r="B2501">
        <v>2.29</v>
      </c>
      <c r="C2501" s="1">
        <v>45300</v>
      </c>
      <c r="D2501">
        <v>1.7</v>
      </c>
      <c r="E2501" s="1">
        <v>45140</v>
      </c>
      <c r="F2501">
        <v>5.5</v>
      </c>
    </row>
    <row r="2502" spans="1:6" x14ac:dyDescent="0.25">
      <c r="A2502" s="1">
        <v>45301</v>
      </c>
      <c r="B2502">
        <v>2.2000000000000002</v>
      </c>
      <c r="C2502" s="1">
        <v>45301</v>
      </c>
      <c r="D2502">
        <v>1.71</v>
      </c>
      <c r="E2502" s="1">
        <v>45141</v>
      </c>
      <c r="F2502">
        <v>5.5</v>
      </c>
    </row>
    <row r="2503" spans="1:6" x14ac:dyDescent="0.25">
      <c r="A2503" s="1">
        <v>45302</v>
      </c>
      <c r="B2503">
        <v>2.2000000000000002</v>
      </c>
      <c r="C2503" s="1">
        <v>45302</v>
      </c>
      <c r="D2503">
        <v>1.75</v>
      </c>
      <c r="E2503" s="1">
        <v>45142</v>
      </c>
      <c r="F2503">
        <v>5.5</v>
      </c>
    </row>
    <row r="2504" spans="1:6" x14ac:dyDescent="0.25">
      <c r="A2504" s="1">
        <v>45303</v>
      </c>
      <c r="B2504">
        <v>2.2000000000000002</v>
      </c>
      <c r="C2504" s="1">
        <v>45303</v>
      </c>
      <c r="D2504">
        <v>1.83</v>
      </c>
      <c r="E2504" s="1">
        <v>45145</v>
      </c>
      <c r="F2504">
        <v>5.5</v>
      </c>
    </row>
    <row r="2505" spans="1:6" x14ac:dyDescent="0.25">
      <c r="A2505" s="1">
        <v>45306</v>
      </c>
      <c r="B2505">
        <v>2.25</v>
      </c>
      <c r="C2505" s="1">
        <v>45306</v>
      </c>
      <c r="D2505">
        <v>1.83</v>
      </c>
      <c r="E2505" s="1">
        <v>45146</v>
      </c>
      <c r="F2505">
        <v>5.5</v>
      </c>
    </row>
    <row r="2506" spans="1:6" x14ac:dyDescent="0.25">
      <c r="A2506" s="1">
        <v>45307</v>
      </c>
      <c r="B2506">
        <v>2.25</v>
      </c>
      <c r="C2506" s="1">
        <v>45307</v>
      </c>
      <c r="D2506">
        <v>1.9528000000000001</v>
      </c>
      <c r="E2506" s="1">
        <v>45147</v>
      </c>
      <c r="F2506">
        <v>5.5</v>
      </c>
    </row>
    <row r="2507" spans="1:6" x14ac:dyDescent="0.25">
      <c r="A2507" s="1">
        <v>45308</v>
      </c>
      <c r="B2507">
        <v>2.2999999999999998</v>
      </c>
      <c r="C2507" s="1">
        <v>45308</v>
      </c>
      <c r="D2507">
        <v>2.0106999999999999</v>
      </c>
      <c r="E2507" s="1">
        <v>45148</v>
      </c>
      <c r="F2507">
        <v>5.5</v>
      </c>
    </row>
    <row r="2508" spans="1:6" x14ac:dyDescent="0.25">
      <c r="A2508" s="1">
        <v>45309</v>
      </c>
      <c r="B2508">
        <v>2.2000000000000002</v>
      </c>
      <c r="C2508" s="1">
        <v>45309</v>
      </c>
      <c r="D2508">
        <v>1.88</v>
      </c>
      <c r="E2508" s="1">
        <v>45149</v>
      </c>
      <c r="F2508">
        <v>5.5</v>
      </c>
    </row>
    <row r="2509" spans="1:6" x14ac:dyDescent="0.25">
      <c r="A2509" s="1">
        <v>45310</v>
      </c>
      <c r="B2509">
        <v>2.15</v>
      </c>
      <c r="C2509" s="1">
        <v>45310</v>
      </c>
      <c r="D2509">
        <v>1.86</v>
      </c>
      <c r="E2509" s="1">
        <v>45152</v>
      </c>
      <c r="F2509">
        <v>5.5</v>
      </c>
    </row>
    <row r="2510" spans="1:6" x14ac:dyDescent="0.25">
      <c r="A2510" s="1">
        <v>45313</v>
      </c>
      <c r="B2510">
        <v>2.1</v>
      </c>
      <c r="C2510" s="1">
        <v>45313</v>
      </c>
      <c r="D2510">
        <v>1.9</v>
      </c>
      <c r="E2510" s="1">
        <v>45153</v>
      </c>
      <c r="F2510">
        <v>5.5</v>
      </c>
    </row>
    <row r="2511" spans="1:6" x14ac:dyDescent="0.25">
      <c r="A2511" s="1">
        <v>45314</v>
      </c>
      <c r="B2511">
        <v>2.15</v>
      </c>
      <c r="C2511" s="1">
        <v>45314</v>
      </c>
      <c r="D2511">
        <v>1.9</v>
      </c>
      <c r="E2511" s="1">
        <v>45154</v>
      </c>
      <c r="F2511">
        <v>5.5</v>
      </c>
    </row>
    <row r="2512" spans="1:6" x14ac:dyDescent="0.25">
      <c r="A2512" s="1">
        <v>45315</v>
      </c>
      <c r="B2512">
        <v>2.12</v>
      </c>
      <c r="C2512" s="1">
        <v>45315</v>
      </c>
      <c r="D2512">
        <v>1.97</v>
      </c>
      <c r="E2512" s="1">
        <v>45155</v>
      </c>
      <c r="F2512">
        <v>5.5</v>
      </c>
    </row>
    <row r="2513" spans="1:6" x14ac:dyDescent="0.25">
      <c r="A2513" s="1">
        <v>45316</v>
      </c>
      <c r="B2513">
        <v>2.35</v>
      </c>
      <c r="C2513" s="1">
        <v>45316</v>
      </c>
      <c r="D2513">
        <v>2.08</v>
      </c>
      <c r="E2513" s="1">
        <v>45156</v>
      </c>
      <c r="F2513">
        <v>5.5</v>
      </c>
    </row>
    <row r="2514" spans="1:6" x14ac:dyDescent="0.25">
      <c r="A2514" s="1">
        <v>45317</v>
      </c>
      <c r="B2514">
        <v>2.4</v>
      </c>
      <c r="C2514" s="1">
        <v>45317</v>
      </c>
      <c r="D2514">
        <v>2</v>
      </c>
      <c r="E2514" s="1">
        <v>45159</v>
      </c>
      <c r="F2514">
        <v>5.5</v>
      </c>
    </row>
    <row r="2515" spans="1:6" x14ac:dyDescent="0.25">
      <c r="A2515" s="1">
        <v>45320</v>
      </c>
      <c r="B2515">
        <v>2.5</v>
      </c>
      <c r="C2515" s="1">
        <v>45320</v>
      </c>
      <c r="D2515">
        <v>1.8226</v>
      </c>
      <c r="E2515" s="1">
        <v>45160</v>
      </c>
      <c r="F2515">
        <v>5.5</v>
      </c>
    </row>
    <row r="2516" spans="1:6" x14ac:dyDescent="0.25">
      <c r="A2516" s="1">
        <v>45321</v>
      </c>
      <c r="B2516">
        <v>2.35</v>
      </c>
      <c r="C2516" s="1">
        <v>45321</v>
      </c>
      <c r="D2516">
        <v>1.7306999999999999</v>
      </c>
      <c r="E2516" s="1">
        <v>45161</v>
      </c>
      <c r="F2516">
        <v>5.5</v>
      </c>
    </row>
    <row r="2517" spans="1:6" x14ac:dyDescent="0.25">
      <c r="A2517" s="1">
        <v>45322</v>
      </c>
      <c r="B2517">
        <v>2.35</v>
      </c>
      <c r="C2517" s="1">
        <v>45322</v>
      </c>
      <c r="D2517">
        <v>1.95</v>
      </c>
      <c r="E2517" s="1">
        <v>45162</v>
      </c>
      <c r="F2517">
        <v>5.5</v>
      </c>
    </row>
    <row r="2518" spans="1:6" x14ac:dyDescent="0.25">
      <c r="A2518" s="1">
        <v>45323</v>
      </c>
      <c r="B2518">
        <v>1.95</v>
      </c>
      <c r="C2518" s="1">
        <v>45323</v>
      </c>
      <c r="D2518">
        <v>1.8</v>
      </c>
      <c r="E2518" s="1">
        <v>45163</v>
      </c>
      <c r="F2518">
        <v>5.5</v>
      </c>
    </row>
    <row r="2519" spans="1:6" x14ac:dyDescent="0.25">
      <c r="A2519" s="1">
        <v>45324</v>
      </c>
      <c r="B2519">
        <v>2.21</v>
      </c>
      <c r="C2519" s="1">
        <v>45324</v>
      </c>
      <c r="D2519">
        <v>1.72</v>
      </c>
      <c r="E2519" s="1">
        <v>45166</v>
      </c>
      <c r="F2519">
        <v>5.5</v>
      </c>
    </row>
    <row r="2520" spans="1:6" x14ac:dyDescent="0.25">
      <c r="A2520" s="1">
        <v>45326</v>
      </c>
      <c r="B2520">
        <v>1.9543999999999999</v>
      </c>
      <c r="C2520" s="1">
        <v>45326</v>
      </c>
      <c r="D2520">
        <v>1.73</v>
      </c>
      <c r="E2520" s="1">
        <v>45167</v>
      </c>
      <c r="F2520">
        <v>5.5</v>
      </c>
    </row>
    <row r="2521" spans="1:6" x14ac:dyDescent="0.25">
      <c r="A2521" s="1">
        <v>45327</v>
      </c>
      <c r="B2521">
        <v>1.931</v>
      </c>
      <c r="C2521" s="1">
        <v>45327</v>
      </c>
      <c r="D2521">
        <v>1.78</v>
      </c>
      <c r="E2521" s="1">
        <v>45168</v>
      </c>
      <c r="F2521">
        <v>5.5</v>
      </c>
    </row>
    <row r="2522" spans="1:6" x14ac:dyDescent="0.25">
      <c r="A2522" s="1">
        <v>45328</v>
      </c>
      <c r="B2522">
        <v>1.95</v>
      </c>
      <c r="C2522" s="1">
        <v>45328</v>
      </c>
      <c r="D2522">
        <v>1.85</v>
      </c>
      <c r="E2522" s="1">
        <v>45169</v>
      </c>
      <c r="F2522">
        <v>5.5</v>
      </c>
    </row>
    <row r="2523" spans="1:6" x14ac:dyDescent="0.25">
      <c r="A2523" s="1">
        <v>45329</v>
      </c>
      <c r="B2523">
        <v>1.95</v>
      </c>
      <c r="C2523" s="1">
        <v>45329</v>
      </c>
      <c r="D2523">
        <v>1.8063</v>
      </c>
      <c r="E2523" s="1">
        <v>45170</v>
      </c>
      <c r="F2523">
        <v>5.5</v>
      </c>
    </row>
    <row r="2524" spans="1:6" x14ac:dyDescent="0.25">
      <c r="A2524" s="1">
        <v>45330</v>
      </c>
      <c r="B2524">
        <v>1.8</v>
      </c>
      <c r="C2524" s="1">
        <v>45330</v>
      </c>
      <c r="D2524">
        <v>1.69</v>
      </c>
      <c r="E2524" s="1">
        <v>45173</v>
      </c>
      <c r="F2524">
        <v>5.5</v>
      </c>
    </row>
    <row r="2525" spans="1:6" x14ac:dyDescent="0.25">
      <c r="A2525" s="1">
        <v>45331</v>
      </c>
      <c r="B2525">
        <v>1.85</v>
      </c>
      <c r="C2525" s="1">
        <v>45331</v>
      </c>
      <c r="D2525">
        <v>1.85</v>
      </c>
      <c r="E2525" s="1">
        <v>45174</v>
      </c>
      <c r="F2525">
        <v>5.5</v>
      </c>
    </row>
    <row r="2526" spans="1:6" x14ac:dyDescent="0.25">
      <c r="A2526" s="1">
        <v>45340</v>
      </c>
      <c r="B2526">
        <v>1.81</v>
      </c>
      <c r="C2526" s="1">
        <v>45340</v>
      </c>
      <c r="D2526">
        <v>1.7</v>
      </c>
      <c r="E2526" s="1">
        <v>45175</v>
      </c>
      <c r="F2526">
        <v>5.5</v>
      </c>
    </row>
    <row r="2527" spans="1:6" x14ac:dyDescent="0.25">
      <c r="A2527" s="1">
        <v>45341</v>
      </c>
      <c r="B2527">
        <v>2.0499999999999998</v>
      </c>
      <c r="C2527" s="1">
        <v>45341</v>
      </c>
      <c r="D2527">
        <v>1.68</v>
      </c>
      <c r="E2527" s="1">
        <v>45176</v>
      </c>
      <c r="F2527">
        <v>5.5</v>
      </c>
    </row>
    <row r="2528" spans="1:6" x14ac:dyDescent="0.25">
      <c r="A2528" s="1">
        <v>45342</v>
      </c>
      <c r="B2528">
        <v>1.95</v>
      </c>
      <c r="C2528" s="1">
        <v>45342</v>
      </c>
      <c r="D2528">
        <v>1.7</v>
      </c>
      <c r="E2528" s="1">
        <v>45177</v>
      </c>
      <c r="F2528">
        <v>5.5</v>
      </c>
    </row>
    <row r="2529" spans="1:6" x14ac:dyDescent="0.25">
      <c r="A2529" s="1">
        <v>45343</v>
      </c>
      <c r="B2529">
        <v>2</v>
      </c>
      <c r="C2529" s="1">
        <v>45343</v>
      </c>
      <c r="D2529">
        <v>1.8</v>
      </c>
      <c r="E2529" s="1">
        <v>45180</v>
      </c>
      <c r="F2529">
        <v>5.5</v>
      </c>
    </row>
    <row r="2530" spans="1:6" x14ac:dyDescent="0.25">
      <c r="A2530" s="1">
        <v>45344</v>
      </c>
      <c r="B2530">
        <v>2</v>
      </c>
      <c r="C2530" s="1">
        <v>45344</v>
      </c>
      <c r="D2530">
        <v>1.76</v>
      </c>
      <c r="E2530" s="1">
        <v>45181</v>
      </c>
      <c r="F2530">
        <v>5.5</v>
      </c>
    </row>
    <row r="2531" spans="1:6" x14ac:dyDescent="0.25">
      <c r="A2531" s="1">
        <v>45345</v>
      </c>
      <c r="B2531">
        <v>2.2000000000000002</v>
      </c>
      <c r="C2531" s="1">
        <v>45345</v>
      </c>
      <c r="D2531">
        <v>1.89</v>
      </c>
      <c r="E2531" s="1">
        <v>45182</v>
      </c>
      <c r="F2531">
        <v>5.5</v>
      </c>
    </row>
    <row r="2532" spans="1:6" x14ac:dyDescent="0.25">
      <c r="A2532" s="1">
        <v>45348</v>
      </c>
      <c r="B2532">
        <v>2.15</v>
      </c>
      <c r="C2532" s="1">
        <v>45348</v>
      </c>
      <c r="D2532">
        <v>1.9</v>
      </c>
      <c r="E2532" s="1">
        <v>45183</v>
      </c>
      <c r="F2532">
        <v>5.5</v>
      </c>
    </row>
    <row r="2533" spans="1:6" x14ac:dyDescent="0.25">
      <c r="A2533" s="1">
        <v>45349</v>
      </c>
      <c r="B2533">
        <v>2.15</v>
      </c>
      <c r="C2533" s="1">
        <v>45349</v>
      </c>
      <c r="D2533">
        <v>1.93</v>
      </c>
      <c r="E2533" s="1">
        <v>45184</v>
      </c>
      <c r="F2533">
        <v>5.5</v>
      </c>
    </row>
    <row r="2534" spans="1:6" x14ac:dyDescent="0.25">
      <c r="A2534" s="1">
        <v>45350</v>
      </c>
      <c r="B2534">
        <v>2.1</v>
      </c>
      <c r="C2534" s="1">
        <v>45350</v>
      </c>
      <c r="D2534">
        <v>1.8</v>
      </c>
      <c r="E2534" s="1">
        <v>45187</v>
      </c>
      <c r="F2534">
        <v>5.5</v>
      </c>
    </row>
    <row r="2535" spans="1:6" x14ac:dyDescent="0.25">
      <c r="A2535" s="1">
        <v>45351</v>
      </c>
      <c r="B2535">
        <v>2.0499999999999998</v>
      </c>
      <c r="C2535" s="1">
        <v>45351</v>
      </c>
      <c r="D2535">
        <v>1.74</v>
      </c>
      <c r="E2535" s="1">
        <v>45188</v>
      </c>
      <c r="F2535">
        <v>5.5</v>
      </c>
    </row>
    <row r="2536" spans="1:6" x14ac:dyDescent="0.25">
      <c r="A2536" s="1">
        <v>45352</v>
      </c>
      <c r="B2536">
        <v>2</v>
      </c>
      <c r="C2536" s="1">
        <v>45352</v>
      </c>
      <c r="D2536">
        <v>1.8</v>
      </c>
      <c r="E2536" s="1">
        <v>45189</v>
      </c>
      <c r="F2536">
        <v>5.5</v>
      </c>
    </row>
    <row r="2537" spans="1:6" x14ac:dyDescent="0.25">
      <c r="A2537" s="1">
        <v>45355</v>
      </c>
      <c r="B2537">
        <v>2</v>
      </c>
      <c r="C2537" s="1">
        <v>45355</v>
      </c>
      <c r="D2537">
        <v>1.81</v>
      </c>
      <c r="E2537" s="1">
        <v>45190</v>
      </c>
      <c r="F2537">
        <v>5.5</v>
      </c>
    </row>
    <row r="2538" spans="1:6" x14ac:dyDescent="0.25">
      <c r="A2538" s="1">
        <v>45356</v>
      </c>
      <c r="B2538">
        <v>2.04</v>
      </c>
      <c r="C2538" s="1">
        <v>45356</v>
      </c>
      <c r="D2538">
        <v>1.86</v>
      </c>
      <c r="E2538" s="1">
        <v>45191</v>
      </c>
      <c r="F2538">
        <v>5.5</v>
      </c>
    </row>
    <row r="2539" spans="1:6" x14ac:dyDescent="0.25">
      <c r="A2539" s="1">
        <v>45357</v>
      </c>
      <c r="B2539">
        <v>2.0499999999999998</v>
      </c>
      <c r="C2539" s="1">
        <v>45357</v>
      </c>
      <c r="D2539">
        <v>1.85</v>
      </c>
      <c r="E2539" s="1">
        <v>45194</v>
      </c>
      <c r="F2539">
        <v>5.5</v>
      </c>
    </row>
    <row r="2540" spans="1:6" x14ac:dyDescent="0.25">
      <c r="A2540" s="1">
        <v>45358</v>
      </c>
      <c r="B2540">
        <v>2</v>
      </c>
      <c r="C2540" s="1">
        <v>45358</v>
      </c>
      <c r="D2540">
        <v>1.83</v>
      </c>
      <c r="E2540" s="1">
        <v>45195</v>
      </c>
      <c r="F2540">
        <v>5.5</v>
      </c>
    </row>
    <row r="2541" spans="1:6" x14ac:dyDescent="0.25">
      <c r="A2541" s="1">
        <v>45359</v>
      </c>
      <c r="B2541">
        <v>2</v>
      </c>
      <c r="C2541" s="1">
        <v>45359</v>
      </c>
      <c r="D2541">
        <v>1.85</v>
      </c>
      <c r="E2541" s="1">
        <v>45196</v>
      </c>
      <c r="F2541">
        <v>5.5</v>
      </c>
    </row>
    <row r="2542" spans="1:6" x14ac:dyDescent="0.25">
      <c r="A2542" s="1">
        <v>45362</v>
      </c>
      <c r="B2542">
        <v>2</v>
      </c>
      <c r="C2542" s="1">
        <v>45362</v>
      </c>
      <c r="D2542">
        <v>1.85</v>
      </c>
      <c r="E2542" s="1">
        <v>45197</v>
      </c>
      <c r="F2542">
        <v>5.5</v>
      </c>
    </row>
    <row r="2543" spans="1:6" x14ac:dyDescent="0.25">
      <c r="A2543" s="1">
        <v>45363</v>
      </c>
      <c r="B2543">
        <v>2</v>
      </c>
      <c r="C2543" s="1">
        <v>45363</v>
      </c>
      <c r="D2543">
        <v>1.85</v>
      </c>
      <c r="E2543" s="1">
        <v>45198</v>
      </c>
      <c r="F2543">
        <v>5.5</v>
      </c>
    </row>
    <row r="2544" spans="1:6" x14ac:dyDescent="0.25">
      <c r="A2544" s="1">
        <v>45364</v>
      </c>
      <c r="B2544">
        <v>2</v>
      </c>
      <c r="C2544" s="1">
        <v>45364</v>
      </c>
      <c r="D2544">
        <v>1.85</v>
      </c>
      <c r="E2544" s="1">
        <v>45201</v>
      </c>
      <c r="F2544">
        <v>5.5</v>
      </c>
    </row>
    <row r="2545" spans="1:6" x14ac:dyDescent="0.25">
      <c r="A2545" s="1">
        <v>45365</v>
      </c>
      <c r="B2545">
        <v>2</v>
      </c>
      <c r="C2545" s="1">
        <v>45365</v>
      </c>
      <c r="D2545">
        <v>1.88</v>
      </c>
      <c r="E2545" s="1">
        <v>45202</v>
      </c>
      <c r="F2545">
        <v>5.5</v>
      </c>
    </row>
    <row r="2546" spans="1:6" x14ac:dyDescent="0.25">
      <c r="A2546" s="1">
        <v>45366</v>
      </c>
      <c r="B2546">
        <v>2</v>
      </c>
      <c r="C2546" s="1">
        <v>45366</v>
      </c>
      <c r="D2546">
        <v>1.88</v>
      </c>
      <c r="E2546" s="1">
        <v>45203</v>
      </c>
      <c r="F2546">
        <v>5.5</v>
      </c>
    </row>
    <row r="2547" spans="1:6" x14ac:dyDescent="0.25">
      <c r="A2547" s="1">
        <v>45369</v>
      </c>
      <c r="B2547">
        <v>2</v>
      </c>
      <c r="C2547" s="1">
        <v>45369</v>
      </c>
      <c r="D2547">
        <v>1.85</v>
      </c>
      <c r="E2547" s="1">
        <v>45204</v>
      </c>
      <c r="F2547">
        <v>5.5</v>
      </c>
    </row>
    <row r="2548" spans="1:6" x14ac:dyDescent="0.25">
      <c r="A2548" s="1">
        <v>45370</v>
      </c>
      <c r="B2548">
        <v>2</v>
      </c>
      <c r="C2548" s="1">
        <v>45370</v>
      </c>
      <c r="D2548">
        <v>1.9</v>
      </c>
      <c r="E2548" s="1">
        <v>45205</v>
      </c>
      <c r="F2548">
        <v>5.5</v>
      </c>
    </row>
    <row r="2549" spans="1:6" x14ac:dyDescent="0.25">
      <c r="A2549" s="1">
        <v>45371</v>
      </c>
      <c r="B2549">
        <v>2</v>
      </c>
      <c r="C2549" s="1">
        <v>45371</v>
      </c>
      <c r="D2549">
        <v>1.9</v>
      </c>
      <c r="E2549" s="1">
        <v>45208</v>
      </c>
      <c r="F2549">
        <v>5.5</v>
      </c>
    </row>
    <row r="2550" spans="1:6" x14ac:dyDescent="0.25">
      <c r="A2550" s="1">
        <v>45372</v>
      </c>
      <c r="B2550">
        <v>2</v>
      </c>
      <c r="C2550" s="1">
        <v>45372</v>
      </c>
      <c r="D2550">
        <v>1.92</v>
      </c>
      <c r="E2550" s="1">
        <v>45209</v>
      </c>
      <c r="F2550">
        <v>5.5</v>
      </c>
    </row>
    <row r="2551" spans="1:6" x14ac:dyDescent="0.25">
      <c r="A2551" s="1">
        <v>45373</v>
      </c>
      <c r="B2551">
        <v>2.0499999999999998</v>
      </c>
      <c r="C2551" s="1">
        <v>45373</v>
      </c>
      <c r="D2551">
        <v>1.92</v>
      </c>
      <c r="E2551" s="1">
        <v>45210</v>
      </c>
      <c r="F2551">
        <v>5.5</v>
      </c>
    </row>
    <row r="2552" spans="1:6" x14ac:dyDescent="0.25">
      <c r="A2552" s="1">
        <v>45376</v>
      </c>
      <c r="B2552">
        <v>2.4</v>
      </c>
      <c r="C2552" s="1">
        <v>45376</v>
      </c>
      <c r="D2552">
        <v>1.9</v>
      </c>
      <c r="E2552" s="1">
        <v>45211</v>
      </c>
      <c r="F2552">
        <v>5.5</v>
      </c>
    </row>
    <row r="2553" spans="1:6" x14ac:dyDescent="0.25">
      <c r="A2553" s="1">
        <v>45377</v>
      </c>
      <c r="B2553">
        <v>2.4</v>
      </c>
      <c r="C2553" s="1">
        <v>45377</v>
      </c>
      <c r="D2553">
        <v>1.9</v>
      </c>
      <c r="E2553" s="1">
        <v>45212</v>
      </c>
      <c r="F2553">
        <v>5.5</v>
      </c>
    </row>
    <row r="2554" spans="1:6" x14ac:dyDescent="0.25">
      <c r="A2554" s="1">
        <v>45378</v>
      </c>
      <c r="B2554">
        <v>2.4500000000000002</v>
      </c>
      <c r="C2554" s="1">
        <v>45378</v>
      </c>
      <c r="D2554">
        <v>1.87</v>
      </c>
      <c r="E2554" s="1">
        <v>45215</v>
      </c>
      <c r="F2554">
        <v>5.5</v>
      </c>
    </row>
    <row r="2555" spans="1:6" x14ac:dyDescent="0.25">
      <c r="A2555" s="1">
        <v>45379</v>
      </c>
      <c r="B2555">
        <v>2.35</v>
      </c>
      <c r="C2555" s="1">
        <v>45379</v>
      </c>
      <c r="D2555">
        <v>1.87</v>
      </c>
      <c r="E2555" s="1">
        <v>45216</v>
      </c>
      <c r="F2555">
        <v>5.5</v>
      </c>
    </row>
    <row r="2556" spans="1:6" x14ac:dyDescent="0.25">
      <c r="A2556" s="1">
        <v>45380</v>
      </c>
      <c r="B2556">
        <v>2.2999999999999998</v>
      </c>
      <c r="C2556" s="1">
        <v>45380</v>
      </c>
      <c r="D2556">
        <v>1.95</v>
      </c>
      <c r="E2556" s="1">
        <v>45217</v>
      </c>
      <c r="F2556">
        <v>5.5</v>
      </c>
    </row>
    <row r="2557" spans="1:6" x14ac:dyDescent="0.25">
      <c r="A2557" s="1">
        <v>45383</v>
      </c>
      <c r="B2557">
        <v>2.0499999999999998</v>
      </c>
      <c r="C2557" s="1">
        <v>45383</v>
      </c>
      <c r="D2557">
        <v>1.86</v>
      </c>
      <c r="E2557" s="1">
        <v>45218</v>
      </c>
      <c r="F2557">
        <v>5.5</v>
      </c>
    </row>
    <row r="2558" spans="1:6" x14ac:dyDescent="0.25">
      <c r="A2558" s="1">
        <v>45384</v>
      </c>
      <c r="B2558">
        <v>2.1</v>
      </c>
      <c r="C2558" s="1">
        <v>45384</v>
      </c>
      <c r="D2558">
        <v>1.84</v>
      </c>
      <c r="E2558" s="1">
        <v>45219</v>
      </c>
      <c r="F2558">
        <v>5.5</v>
      </c>
    </row>
    <row r="2559" spans="1:6" x14ac:dyDescent="0.25">
      <c r="A2559" s="1">
        <v>45385</v>
      </c>
      <c r="B2559">
        <v>2</v>
      </c>
      <c r="C2559" s="1">
        <v>45385</v>
      </c>
      <c r="D2559">
        <v>1.7</v>
      </c>
      <c r="E2559" s="1">
        <v>45222</v>
      </c>
      <c r="F2559">
        <v>5.5</v>
      </c>
    </row>
    <row r="2560" spans="1:6" x14ac:dyDescent="0.25">
      <c r="A2560" s="1">
        <v>45389</v>
      </c>
      <c r="B2560">
        <v>1.85</v>
      </c>
      <c r="C2560" s="1">
        <v>45389</v>
      </c>
      <c r="D2560">
        <v>1.7241</v>
      </c>
      <c r="E2560" s="1">
        <v>45223</v>
      </c>
      <c r="F2560">
        <v>5.5</v>
      </c>
    </row>
    <row r="2561" spans="1:6" x14ac:dyDescent="0.25">
      <c r="A2561" s="1">
        <v>45390</v>
      </c>
      <c r="B2561">
        <v>2</v>
      </c>
      <c r="C2561" s="1">
        <v>45390</v>
      </c>
      <c r="D2561">
        <v>1.84</v>
      </c>
      <c r="E2561" s="1">
        <v>45224</v>
      </c>
      <c r="F2561">
        <v>5.5</v>
      </c>
    </row>
    <row r="2562" spans="1:6" x14ac:dyDescent="0.25">
      <c r="A2562" s="1">
        <v>45391</v>
      </c>
      <c r="B2562">
        <v>1.95</v>
      </c>
      <c r="C2562" s="1">
        <v>45391</v>
      </c>
      <c r="D2562">
        <v>1.83</v>
      </c>
      <c r="E2562" s="1">
        <v>45225</v>
      </c>
      <c r="F2562">
        <v>5.5</v>
      </c>
    </row>
    <row r="2563" spans="1:6" x14ac:dyDescent="0.25">
      <c r="A2563" s="1">
        <v>45392</v>
      </c>
      <c r="B2563">
        <v>1.9</v>
      </c>
      <c r="C2563" s="1">
        <v>45392</v>
      </c>
      <c r="D2563">
        <v>1.84</v>
      </c>
      <c r="E2563" s="1">
        <v>45226</v>
      </c>
      <c r="F2563">
        <v>5.5</v>
      </c>
    </row>
    <row r="2564" spans="1:6" x14ac:dyDescent="0.25">
      <c r="A2564" s="1">
        <v>45393</v>
      </c>
      <c r="B2564">
        <v>1.92</v>
      </c>
      <c r="C2564" s="1">
        <v>45393</v>
      </c>
      <c r="D2564">
        <v>1.84</v>
      </c>
      <c r="E2564" s="1">
        <v>45229</v>
      </c>
      <c r="F2564">
        <v>5.5</v>
      </c>
    </row>
    <row r="2565" spans="1:6" x14ac:dyDescent="0.25">
      <c r="A2565" s="1">
        <v>45394</v>
      </c>
      <c r="B2565">
        <v>1.9</v>
      </c>
      <c r="C2565" s="1">
        <v>45394</v>
      </c>
      <c r="D2565">
        <v>1.81</v>
      </c>
      <c r="E2565" s="1">
        <v>45230</v>
      </c>
      <c r="F2565">
        <v>5.5</v>
      </c>
    </row>
    <row r="2566" spans="1:6" x14ac:dyDescent="0.25">
      <c r="A2566" s="1">
        <v>45397</v>
      </c>
      <c r="B2566">
        <v>1.9</v>
      </c>
      <c r="C2566" s="1">
        <v>45397</v>
      </c>
      <c r="D2566">
        <v>1.81</v>
      </c>
      <c r="E2566" s="1">
        <v>45231</v>
      </c>
      <c r="F2566">
        <v>5.5</v>
      </c>
    </row>
    <row r="2567" spans="1:6" x14ac:dyDescent="0.25">
      <c r="A2567" s="1">
        <v>45398</v>
      </c>
      <c r="B2567">
        <v>1.9</v>
      </c>
      <c r="C2567" s="1">
        <v>45398</v>
      </c>
      <c r="D2567">
        <v>1.82</v>
      </c>
      <c r="E2567" s="1">
        <v>45232</v>
      </c>
      <c r="F2567">
        <v>5.5</v>
      </c>
    </row>
    <row r="2568" spans="1:6" x14ac:dyDescent="0.25">
      <c r="A2568" s="1">
        <v>45399</v>
      </c>
      <c r="B2568">
        <v>1.95</v>
      </c>
      <c r="C2568" s="1">
        <v>45399</v>
      </c>
      <c r="D2568">
        <v>1.84</v>
      </c>
      <c r="E2568" s="1">
        <v>45233</v>
      </c>
      <c r="F2568">
        <v>5.5</v>
      </c>
    </row>
    <row r="2569" spans="1:6" x14ac:dyDescent="0.25">
      <c r="A2569" s="1">
        <v>45400</v>
      </c>
      <c r="B2569">
        <v>1.9</v>
      </c>
      <c r="C2569" s="1">
        <v>45400</v>
      </c>
      <c r="D2569">
        <v>1.9</v>
      </c>
      <c r="E2569" s="1">
        <v>45236</v>
      </c>
      <c r="F2569">
        <v>5.5</v>
      </c>
    </row>
    <row r="2570" spans="1:6" x14ac:dyDescent="0.25">
      <c r="A2570" s="1">
        <v>45401</v>
      </c>
      <c r="B2570">
        <v>1.9</v>
      </c>
      <c r="C2570" s="1">
        <v>45401</v>
      </c>
      <c r="D2570">
        <v>1.88</v>
      </c>
      <c r="E2570" s="1">
        <v>45237</v>
      </c>
      <c r="F2570">
        <v>5.5</v>
      </c>
    </row>
    <row r="2571" spans="1:6" x14ac:dyDescent="0.25">
      <c r="A2571" s="1">
        <v>45404</v>
      </c>
      <c r="B2571">
        <v>1.9</v>
      </c>
      <c r="C2571" s="1">
        <v>45404</v>
      </c>
      <c r="D2571">
        <v>1.9</v>
      </c>
      <c r="E2571" s="1">
        <v>45238</v>
      </c>
      <c r="F2571">
        <v>5.5</v>
      </c>
    </row>
    <row r="2572" spans="1:6" x14ac:dyDescent="0.25">
      <c r="A2572" s="1">
        <v>45405</v>
      </c>
      <c r="B2572">
        <v>1.9</v>
      </c>
      <c r="C2572" s="1">
        <v>45405</v>
      </c>
      <c r="D2572">
        <v>1.9</v>
      </c>
      <c r="E2572" s="1">
        <v>45239</v>
      </c>
      <c r="F2572">
        <v>5.5</v>
      </c>
    </row>
    <row r="2573" spans="1:6" x14ac:dyDescent="0.25">
      <c r="A2573" s="1">
        <v>45406</v>
      </c>
      <c r="B2573">
        <v>1.9</v>
      </c>
      <c r="C2573" s="1">
        <v>45406</v>
      </c>
      <c r="D2573">
        <v>1.89</v>
      </c>
      <c r="E2573" s="1">
        <v>45240</v>
      </c>
      <c r="F2573">
        <v>5.5</v>
      </c>
    </row>
    <row r="2574" spans="1:6" x14ac:dyDescent="0.25">
      <c r="A2574" s="1">
        <v>45407</v>
      </c>
      <c r="B2574">
        <v>1.98</v>
      </c>
      <c r="C2574" s="1">
        <v>45407</v>
      </c>
      <c r="D2574">
        <v>1.92</v>
      </c>
      <c r="E2574" s="1">
        <v>45243</v>
      </c>
      <c r="F2574">
        <v>5.5</v>
      </c>
    </row>
    <row r="2575" spans="1:6" x14ac:dyDescent="0.25">
      <c r="A2575" s="1">
        <v>45408</v>
      </c>
      <c r="B2575">
        <v>1.95</v>
      </c>
      <c r="C2575" s="1">
        <v>45408</v>
      </c>
      <c r="D2575">
        <v>1.89</v>
      </c>
      <c r="E2575" s="1">
        <v>45244</v>
      </c>
      <c r="F2575">
        <v>5.5</v>
      </c>
    </row>
    <row r="2576" spans="1:6" x14ac:dyDescent="0.25">
      <c r="A2576" s="1">
        <v>45410</v>
      </c>
      <c r="B2576">
        <v>1.98</v>
      </c>
      <c r="C2576" s="1">
        <v>45410</v>
      </c>
      <c r="D2576">
        <v>1.81</v>
      </c>
      <c r="E2576" s="1">
        <v>45245</v>
      </c>
      <c r="F2576">
        <v>5.5</v>
      </c>
    </row>
    <row r="2577" spans="1:6" x14ac:dyDescent="0.25">
      <c r="A2577" s="1">
        <v>45411</v>
      </c>
      <c r="B2577">
        <v>2.08</v>
      </c>
      <c r="C2577" s="1">
        <v>45411</v>
      </c>
      <c r="D2577">
        <v>1.88</v>
      </c>
      <c r="E2577" s="1">
        <v>45246</v>
      </c>
      <c r="F2577">
        <v>5.5</v>
      </c>
    </row>
    <row r="2578" spans="1:6" x14ac:dyDescent="0.25">
      <c r="A2578" s="1">
        <v>45412</v>
      </c>
      <c r="B2578">
        <v>2.1</v>
      </c>
      <c r="C2578" s="1">
        <v>45412</v>
      </c>
      <c r="D2578">
        <v>2.0499999999999998</v>
      </c>
      <c r="E2578" s="1">
        <v>45247</v>
      </c>
      <c r="F2578">
        <v>5.5</v>
      </c>
    </row>
    <row r="2579" spans="1:6" x14ac:dyDescent="0.25">
      <c r="A2579" s="1">
        <v>45418</v>
      </c>
      <c r="B2579">
        <v>1.95</v>
      </c>
      <c r="C2579" s="1">
        <v>45418</v>
      </c>
      <c r="D2579">
        <v>1.89</v>
      </c>
      <c r="E2579" s="1">
        <v>45250</v>
      </c>
      <c r="F2579">
        <v>5.5</v>
      </c>
    </row>
    <row r="2580" spans="1:6" x14ac:dyDescent="0.25">
      <c r="A2580" s="1">
        <v>45419</v>
      </c>
      <c r="B2580">
        <v>1.9</v>
      </c>
      <c r="C2580" s="1">
        <v>45419</v>
      </c>
      <c r="D2580">
        <v>1.85</v>
      </c>
      <c r="E2580" s="1">
        <v>45251</v>
      </c>
      <c r="F2580">
        <v>5.5</v>
      </c>
    </row>
    <row r="2581" spans="1:6" x14ac:dyDescent="0.25">
      <c r="A2581" s="1">
        <v>45420</v>
      </c>
      <c r="B2581">
        <v>1.9</v>
      </c>
      <c r="C2581" s="1">
        <v>45420</v>
      </c>
      <c r="D2581">
        <v>1.88</v>
      </c>
      <c r="E2581" s="1">
        <v>45252</v>
      </c>
      <c r="F2581">
        <v>5.5</v>
      </c>
    </row>
    <row r="2582" spans="1:6" x14ac:dyDescent="0.25">
      <c r="A2582" s="1">
        <v>45421</v>
      </c>
      <c r="B2582">
        <v>1.9</v>
      </c>
      <c r="C2582" s="1">
        <v>45421</v>
      </c>
      <c r="D2582">
        <v>1.83</v>
      </c>
      <c r="E2582" s="1">
        <v>45253</v>
      </c>
      <c r="F2582">
        <v>5.5</v>
      </c>
    </row>
    <row r="2583" spans="1:6" x14ac:dyDescent="0.25">
      <c r="A2583" s="1">
        <v>45422</v>
      </c>
      <c r="B2583">
        <v>1.87</v>
      </c>
      <c r="C2583" s="1">
        <v>45422</v>
      </c>
      <c r="D2583">
        <v>1.74</v>
      </c>
      <c r="E2583" s="1">
        <v>45254</v>
      </c>
      <c r="F2583">
        <v>5.5</v>
      </c>
    </row>
    <row r="2584" spans="1:6" x14ac:dyDescent="0.25">
      <c r="A2584" s="1">
        <v>45423</v>
      </c>
      <c r="B2584">
        <v>1.85</v>
      </c>
      <c r="C2584" s="1">
        <v>45423</v>
      </c>
      <c r="D2584">
        <v>1.75</v>
      </c>
      <c r="E2584" s="1">
        <v>45257</v>
      </c>
      <c r="F2584">
        <v>5.5</v>
      </c>
    </row>
    <row r="2585" spans="1:6" x14ac:dyDescent="0.25">
      <c r="A2585" s="1">
        <v>45425</v>
      </c>
      <c r="B2585">
        <v>1.88</v>
      </c>
      <c r="C2585" s="1">
        <v>45425</v>
      </c>
      <c r="D2585">
        <v>1.83</v>
      </c>
      <c r="E2585" s="1">
        <v>45258</v>
      </c>
      <c r="F2585">
        <v>5.5</v>
      </c>
    </row>
    <row r="2586" spans="1:6" x14ac:dyDescent="0.25">
      <c r="A2586" s="1">
        <v>45426</v>
      </c>
      <c r="B2586">
        <v>1.85</v>
      </c>
      <c r="C2586" s="1">
        <v>45426</v>
      </c>
      <c r="D2586">
        <v>1.8</v>
      </c>
      <c r="E2586" s="1">
        <v>45259</v>
      </c>
      <c r="F2586">
        <v>5.5</v>
      </c>
    </row>
    <row r="2587" spans="1:6" x14ac:dyDescent="0.25">
      <c r="A2587" s="1">
        <v>45427</v>
      </c>
      <c r="B2587">
        <v>1.82</v>
      </c>
      <c r="C2587" s="1">
        <v>45427</v>
      </c>
      <c r="D2587">
        <v>1.78</v>
      </c>
      <c r="E2587" s="1">
        <v>45260</v>
      </c>
      <c r="F2587">
        <v>5.5</v>
      </c>
    </row>
    <row r="2588" spans="1:6" x14ac:dyDescent="0.25">
      <c r="A2588" s="1">
        <v>45428</v>
      </c>
      <c r="B2588">
        <v>1.82</v>
      </c>
      <c r="C2588" s="1">
        <v>45428</v>
      </c>
      <c r="D2588">
        <v>1.77</v>
      </c>
      <c r="E2588" s="1">
        <v>45261</v>
      </c>
      <c r="F2588">
        <v>5.5</v>
      </c>
    </row>
    <row r="2589" spans="1:6" x14ac:dyDescent="0.25">
      <c r="A2589" s="1">
        <v>45429</v>
      </c>
      <c r="B2589">
        <v>1.8</v>
      </c>
      <c r="C2589" s="1">
        <v>45429</v>
      </c>
      <c r="D2589">
        <v>1.76</v>
      </c>
      <c r="E2589" s="1">
        <v>45264</v>
      </c>
      <c r="F2589">
        <v>5.5</v>
      </c>
    </row>
    <row r="2590" spans="1:6" x14ac:dyDescent="0.25">
      <c r="A2590" s="1">
        <v>45432</v>
      </c>
      <c r="B2590">
        <v>1.81</v>
      </c>
      <c r="C2590" s="1">
        <v>45432</v>
      </c>
      <c r="D2590">
        <v>1.77</v>
      </c>
      <c r="E2590" s="1">
        <v>45265</v>
      </c>
      <c r="F2590">
        <v>5.5</v>
      </c>
    </row>
    <row r="2591" spans="1:6" x14ac:dyDescent="0.25">
      <c r="A2591" s="1">
        <v>45433</v>
      </c>
      <c r="B2591">
        <v>1.85</v>
      </c>
      <c r="C2591" s="1">
        <v>45433</v>
      </c>
      <c r="D2591">
        <v>1.83</v>
      </c>
      <c r="E2591" s="1">
        <v>45266</v>
      </c>
      <c r="F2591">
        <v>5.5</v>
      </c>
    </row>
    <row r="2592" spans="1:6" x14ac:dyDescent="0.25">
      <c r="A2592" s="1">
        <v>45434</v>
      </c>
      <c r="B2592">
        <v>1.85</v>
      </c>
      <c r="C2592" s="1">
        <v>45434</v>
      </c>
      <c r="D2592">
        <v>1.83</v>
      </c>
      <c r="E2592" s="1">
        <v>45267</v>
      </c>
      <c r="F2592">
        <v>5.5</v>
      </c>
    </row>
    <row r="2593" spans="1:6" x14ac:dyDescent="0.25">
      <c r="A2593" s="1">
        <v>45435</v>
      </c>
      <c r="B2593">
        <v>1.83</v>
      </c>
      <c r="C2593" s="1">
        <v>45435</v>
      </c>
      <c r="D2593">
        <v>1.82</v>
      </c>
      <c r="E2593" s="1">
        <v>45268</v>
      </c>
      <c r="F2593">
        <v>5.5</v>
      </c>
    </row>
    <row r="2594" spans="1:6" x14ac:dyDescent="0.25">
      <c r="A2594" s="1">
        <v>45436</v>
      </c>
      <c r="B2594">
        <v>1.82</v>
      </c>
      <c r="C2594" s="1">
        <v>45436</v>
      </c>
      <c r="D2594">
        <v>1.81</v>
      </c>
      <c r="E2594" s="1">
        <v>45271</v>
      </c>
      <c r="F2594">
        <v>5.5</v>
      </c>
    </row>
    <row r="2595" spans="1:6" x14ac:dyDescent="0.25">
      <c r="A2595" s="1">
        <v>45439</v>
      </c>
      <c r="B2595">
        <v>1.95</v>
      </c>
      <c r="C2595" s="1">
        <v>45439</v>
      </c>
      <c r="D2595">
        <v>1.83</v>
      </c>
      <c r="E2595" s="1">
        <v>45272</v>
      </c>
      <c r="F2595">
        <v>5.5</v>
      </c>
    </row>
    <row r="2596" spans="1:6" x14ac:dyDescent="0.25">
      <c r="A2596" s="1">
        <v>45440</v>
      </c>
      <c r="B2596">
        <v>1.95</v>
      </c>
      <c r="C2596" s="1">
        <v>45440</v>
      </c>
      <c r="D2596">
        <v>1.86</v>
      </c>
      <c r="E2596" s="1">
        <v>45273</v>
      </c>
      <c r="F2596">
        <v>5.5</v>
      </c>
    </row>
    <row r="2597" spans="1:6" x14ac:dyDescent="0.25">
      <c r="A2597" s="1">
        <v>45441</v>
      </c>
      <c r="B2597">
        <v>1.98</v>
      </c>
      <c r="C2597" s="1">
        <v>45441</v>
      </c>
      <c r="D2597">
        <v>1.89</v>
      </c>
      <c r="E2597" s="1">
        <v>45274</v>
      </c>
      <c r="F2597">
        <v>5.5</v>
      </c>
    </row>
    <row r="2598" spans="1:6" x14ac:dyDescent="0.25">
      <c r="A2598" s="1">
        <v>45442</v>
      </c>
      <c r="B2598">
        <v>1.95</v>
      </c>
      <c r="C2598" s="1">
        <v>45442</v>
      </c>
      <c r="D2598">
        <v>1.82</v>
      </c>
      <c r="E2598" s="1">
        <v>45275</v>
      </c>
      <c r="F2598">
        <v>5.5</v>
      </c>
    </row>
    <row r="2599" spans="1:6" x14ac:dyDescent="0.25">
      <c r="A2599" s="1">
        <v>45443</v>
      </c>
      <c r="B2599">
        <v>1.88</v>
      </c>
      <c r="C2599" s="1">
        <v>45443</v>
      </c>
      <c r="D2599">
        <v>1.88</v>
      </c>
      <c r="E2599" s="1">
        <v>45278</v>
      </c>
      <c r="F2599">
        <v>5.5</v>
      </c>
    </row>
    <row r="2600" spans="1:6" x14ac:dyDescent="0.25">
      <c r="A2600" s="1">
        <v>45446</v>
      </c>
      <c r="B2600">
        <v>1.84</v>
      </c>
      <c r="C2600" s="1">
        <v>45446</v>
      </c>
      <c r="D2600">
        <v>1.8</v>
      </c>
      <c r="E2600" s="1">
        <v>45279</v>
      </c>
      <c r="F2600">
        <v>5.5</v>
      </c>
    </row>
    <row r="2601" spans="1:6" x14ac:dyDescent="0.25">
      <c r="A2601" s="1">
        <v>45447</v>
      </c>
      <c r="B2601">
        <v>1.83</v>
      </c>
      <c r="C2601" s="1">
        <v>45447</v>
      </c>
      <c r="D2601">
        <v>1.75</v>
      </c>
      <c r="E2601" s="1">
        <v>45280</v>
      </c>
      <c r="F2601">
        <v>5.5</v>
      </c>
    </row>
    <row r="2602" spans="1:6" x14ac:dyDescent="0.25">
      <c r="A2602" s="1">
        <v>45448</v>
      </c>
      <c r="B2602">
        <v>1.84</v>
      </c>
      <c r="C2602" s="1">
        <v>45448</v>
      </c>
      <c r="D2602">
        <v>1.75</v>
      </c>
      <c r="E2602" s="1">
        <v>45281</v>
      </c>
      <c r="F2602">
        <v>5.5</v>
      </c>
    </row>
    <row r="2603" spans="1:6" x14ac:dyDescent="0.25">
      <c r="A2603" s="1">
        <v>45449</v>
      </c>
      <c r="B2603">
        <v>1.84</v>
      </c>
      <c r="C2603" s="1">
        <v>45449</v>
      </c>
      <c r="D2603">
        <v>1.74</v>
      </c>
      <c r="E2603" s="1">
        <v>45282</v>
      </c>
      <c r="F2603">
        <v>5.5</v>
      </c>
    </row>
    <row r="2604" spans="1:6" x14ac:dyDescent="0.25">
      <c r="A2604" s="1">
        <v>45450</v>
      </c>
      <c r="B2604">
        <v>1.85</v>
      </c>
      <c r="C2604" s="1">
        <v>45450</v>
      </c>
      <c r="D2604">
        <v>1.78</v>
      </c>
      <c r="E2604" s="1">
        <v>45285</v>
      </c>
      <c r="F2604">
        <v>5.5</v>
      </c>
    </row>
    <row r="2605" spans="1:6" x14ac:dyDescent="0.25">
      <c r="A2605" s="1">
        <v>45454</v>
      </c>
      <c r="B2605">
        <v>1.83</v>
      </c>
      <c r="C2605" s="1">
        <v>45454</v>
      </c>
      <c r="D2605">
        <v>1.75</v>
      </c>
      <c r="E2605" s="1">
        <v>45286</v>
      </c>
      <c r="F2605">
        <v>5.5</v>
      </c>
    </row>
    <row r="2606" spans="1:6" x14ac:dyDescent="0.25">
      <c r="A2606" s="1">
        <v>45455</v>
      </c>
      <c r="B2606">
        <v>1.83</v>
      </c>
      <c r="C2606" s="1">
        <v>45455</v>
      </c>
      <c r="D2606">
        <v>1.75</v>
      </c>
      <c r="E2606" s="1">
        <v>45287</v>
      </c>
      <c r="F2606">
        <v>5.5</v>
      </c>
    </row>
    <row r="2607" spans="1:6" x14ac:dyDescent="0.25">
      <c r="A2607" s="1">
        <v>45456</v>
      </c>
      <c r="B2607">
        <v>1.83</v>
      </c>
      <c r="C2607" s="1">
        <v>45456</v>
      </c>
      <c r="D2607">
        <v>1.8</v>
      </c>
      <c r="E2607" s="1">
        <v>45288</v>
      </c>
      <c r="F2607">
        <v>5.5</v>
      </c>
    </row>
    <row r="2608" spans="1:6" x14ac:dyDescent="0.25">
      <c r="A2608" s="1">
        <v>45457</v>
      </c>
      <c r="B2608">
        <v>1.83</v>
      </c>
      <c r="C2608" s="1">
        <v>45457</v>
      </c>
      <c r="D2608">
        <v>1.81</v>
      </c>
      <c r="E2608" s="1">
        <v>45289</v>
      </c>
      <c r="F2608">
        <v>5.5</v>
      </c>
    </row>
    <row r="2609" spans="1:6" x14ac:dyDescent="0.25">
      <c r="A2609" s="1">
        <v>45460</v>
      </c>
      <c r="B2609">
        <v>1.85</v>
      </c>
      <c r="C2609" s="1">
        <v>45460</v>
      </c>
      <c r="D2609">
        <v>1.86</v>
      </c>
      <c r="E2609" s="1">
        <v>45292</v>
      </c>
      <c r="F2609">
        <v>5.5</v>
      </c>
    </row>
    <row r="2610" spans="1:6" x14ac:dyDescent="0.25">
      <c r="A2610" s="1">
        <v>45461</v>
      </c>
      <c r="B2610">
        <v>1.89</v>
      </c>
      <c r="C2610" s="1">
        <v>45461</v>
      </c>
      <c r="D2610">
        <v>1.92</v>
      </c>
      <c r="E2610" s="1">
        <v>45293</v>
      </c>
      <c r="F2610">
        <v>5.5</v>
      </c>
    </row>
    <row r="2611" spans="1:6" x14ac:dyDescent="0.25">
      <c r="A2611" s="1">
        <v>45462</v>
      </c>
      <c r="B2611">
        <v>1.91</v>
      </c>
      <c r="C2611" s="1">
        <v>45462</v>
      </c>
      <c r="D2611">
        <v>1.92</v>
      </c>
      <c r="E2611" s="1">
        <v>45294</v>
      </c>
      <c r="F2611">
        <v>5.5</v>
      </c>
    </row>
    <row r="2612" spans="1:6" x14ac:dyDescent="0.25">
      <c r="A2612" s="1">
        <v>45463</v>
      </c>
      <c r="B2612">
        <v>1.9</v>
      </c>
      <c r="C2612" s="1">
        <v>45463</v>
      </c>
      <c r="D2612">
        <v>1.95</v>
      </c>
      <c r="E2612" s="1">
        <v>45295</v>
      </c>
      <c r="F2612">
        <v>5.5</v>
      </c>
    </row>
    <row r="2613" spans="1:6" x14ac:dyDescent="0.25">
      <c r="A2613" s="1">
        <v>45464</v>
      </c>
      <c r="B2613">
        <v>2.0299999999999998</v>
      </c>
      <c r="C2613" s="1">
        <v>45464</v>
      </c>
      <c r="D2613">
        <v>2.0499999999999998</v>
      </c>
      <c r="E2613" s="1">
        <v>45296</v>
      </c>
      <c r="F2613">
        <v>5.5</v>
      </c>
    </row>
    <row r="2614" spans="1:6" x14ac:dyDescent="0.25">
      <c r="A2614" s="1">
        <v>45467</v>
      </c>
      <c r="B2614">
        <v>2.35</v>
      </c>
      <c r="C2614" s="1">
        <v>45467</v>
      </c>
      <c r="D2614">
        <v>2.02</v>
      </c>
      <c r="E2614" s="1">
        <v>45299</v>
      </c>
      <c r="F2614">
        <v>5.5</v>
      </c>
    </row>
    <row r="2615" spans="1:6" x14ac:dyDescent="0.25">
      <c r="A2615" s="1">
        <v>45468</v>
      </c>
      <c r="B2615">
        <v>2.2999999999999998</v>
      </c>
      <c r="C2615" s="1">
        <v>45468</v>
      </c>
      <c r="D2615">
        <v>1.99</v>
      </c>
      <c r="E2615" s="1">
        <v>45300</v>
      </c>
      <c r="F2615">
        <v>5.5</v>
      </c>
    </row>
    <row r="2616" spans="1:6" x14ac:dyDescent="0.25">
      <c r="A2616" s="1">
        <v>45469</v>
      </c>
      <c r="B2616">
        <v>2.2999999999999998</v>
      </c>
      <c r="C2616" s="1">
        <v>45469</v>
      </c>
      <c r="D2616">
        <v>2.02</v>
      </c>
      <c r="E2616" s="1">
        <v>45301</v>
      </c>
      <c r="F2616">
        <v>5.5</v>
      </c>
    </row>
    <row r="2617" spans="1:6" x14ac:dyDescent="0.25">
      <c r="A2617" s="1">
        <v>45470</v>
      </c>
      <c r="B2617">
        <v>2.35</v>
      </c>
      <c r="C2617" s="1">
        <v>45470</v>
      </c>
      <c r="D2617">
        <v>1.98</v>
      </c>
      <c r="E2617" s="1">
        <v>45302</v>
      </c>
      <c r="F2617">
        <v>5.5</v>
      </c>
    </row>
    <row r="2618" spans="1:6" x14ac:dyDescent="0.25">
      <c r="A2618" s="1">
        <v>45471</v>
      </c>
      <c r="B2618">
        <v>2.2999999999999998</v>
      </c>
      <c r="C2618" s="1">
        <v>45471</v>
      </c>
      <c r="D2618">
        <v>2.2000000000000002</v>
      </c>
      <c r="E2618" s="1">
        <v>45303</v>
      </c>
      <c r="F2618">
        <v>5.5</v>
      </c>
    </row>
    <row r="2619" spans="1:6" x14ac:dyDescent="0.25">
      <c r="A2619" s="1">
        <v>45474</v>
      </c>
      <c r="B2619">
        <v>1.95</v>
      </c>
      <c r="C2619" s="1">
        <v>45474</v>
      </c>
      <c r="D2619">
        <v>1.84</v>
      </c>
      <c r="E2619" s="1">
        <v>45306</v>
      </c>
      <c r="F2619">
        <v>5.5</v>
      </c>
    </row>
    <row r="2620" spans="1:6" x14ac:dyDescent="0.25">
      <c r="A2620" s="1">
        <v>45475</v>
      </c>
      <c r="B2620">
        <v>1.85</v>
      </c>
      <c r="C2620" s="1">
        <v>45475</v>
      </c>
      <c r="D2620">
        <v>1.8</v>
      </c>
      <c r="E2620" s="1">
        <v>45307</v>
      </c>
      <c r="F2620">
        <v>5.5</v>
      </c>
    </row>
    <row r="2621" spans="1:6" x14ac:dyDescent="0.25">
      <c r="A2621" s="1">
        <v>45476</v>
      </c>
      <c r="B2621">
        <v>1.85</v>
      </c>
      <c r="C2621" s="1">
        <v>45476</v>
      </c>
      <c r="D2621">
        <v>1.7650999999999999</v>
      </c>
      <c r="E2621" s="1">
        <v>45308</v>
      </c>
      <c r="F2621">
        <v>5.5</v>
      </c>
    </row>
    <row r="2622" spans="1:6" x14ac:dyDescent="0.25">
      <c r="A2622" s="1">
        <v>45477</v>
      </c>
      <c r="B2622">
        <v>1.83</v>
      </c>
      <c r="C2622" s="1">
        <v>45477</v>
      </c>
      <c r="D2622">
        <v>1.8</v>
      </c>
      <c r="E2622" s="1">
        <v>45309</v>
      </c>
      <c r="F2622">
        <v>5.5</v>
      </c>
    </row>
    <row r="2623" spans="1:6" x14ac:dyDescent="0.25">
      <c r="A2623" s="1">
        <v>45478</v>
      </c>
      <c r="B2623">
        <v>1.85</v>
      </c>
      <c r="C2623" s="1">
        <v>45478</v>
      </c>
      <c r="D2623">
        <v>1.82</v>
      </c>
      <c r="E2623" s="1">
        <v>45310</v>
      </c>
      <c r="F2623">
        <v>5.5</v>
      </c>
    </row>
    <row r="2624" spans="1:6" x14ac:dyDescent="0.25">
      <c r="A2624" s="1">
        <v>45481</v>
      </c>
      <c r="B2624">
        <v>1.87</v>
      </c>
      <c r="C2624" s="1">
        <v>45481</v>
      </c>
      <c r="D2624">
        <v>1.82</v>
      </c>
      <c r="E2624" s="1">
        <v>45313</v>
      </c>
      <c r="F2624">
        <v>5.5</v>
      </c>
    </row>
    <row r="2625" spans="1:6" x14ac:dyDescent="0.25">
      <c r="A2625" s="1">
        <v>45482</v>
      </c>
      <c r="B2625">
        <v>1.87</v>
      </c>
      <c r="C2625" s="1">
        <v>45482</v>
      </c>
      <c r="D2625">
        <v>1.7524</v>
      </c>
      <c r="E2625" s="1">
        <v>45314</v>
      </c>
      <c r="F2625">
        <v>5.5</v>
      </c>
    </row>
    <row r="2626" spans="1:6" x14ac:dyDescent="0.25">
      <c r="A2626" s="1">
        <v>45483</v>
      </c>
      <c r="B2626">
        <v>1.85</v>
      </c>
      <c r="C2626" s="1">
        <v>45483</v>
      </c>
      <c r="D2626">
        <v>1.7</v>
      </c>
      <c r="E2626" s="1">
        <v>45315</v>
      </c>
      <c r="F2626">
        <v>5.5</v>
      </c>
    </row>
    <row r="2627" spans="1:6" x14ac:dyDescent="0.25">
      <c r="A2627" s="1">
        <v>45484</v>
      </c>
      <c r="B2627">
        <v>1.83</v>
      </c>
      <c r="C2627" s="1">
        <v>45484</v>
      </c>
      <c r="D2627">
        <v>1.72</v>
      </c>
      <c r="E2627" s="1">
        <v>45316</v>
      </c>
      <c r="F2627">
        <v>5.5</v>
      </c>
    </row>
    <row r="2628" spans="1:6" x14ac:dyDescent="0.25">
      <c r="A2628" s="1">
        <v>45485</v>
      </c>
      <c r="B2628">
        <v>1.84</v>
      </c>
      <c r="C2628" s="1">
        <v>45485</v>
      </c>
      <c r="D2628">
        <v>1.73</v>
      </c>
      <c r="E2628" s="1">
        <v>45317</v>
      </c>
      <c r="F2628">
        <v>5.5</v>
      </c>
    </row>
    <row r="2629" spans="1:6" x14ac:dyDescent="0.25">
      <c r="A2629" s="1">
        <v>45488</v>
      </c>
      <c r="B2629">
        <v>1.85</v>
      </c>
      <c r="C2629" s="1">
        <v>45488</v>
      </c>
      <c r="D2629">
        <v>1.85</v>
      </c>
      <c r="E2629" s="1">
        <v>45320</v>
      </c>
      <c r="F2629">
        <v>5.5</v>
      </c>
    </row>
    <row r="2630" spans="1:6" x14ac:dyDescent="0.25">
      <c r="A2630" s="1">
        <v>45489</v>
      </c>
      <c r="B2630">
        <v>1.92</v>
      </c>
      <c r="C2630" s="1">
        <v>45489</v>
      </c>
      <c r="D2630">
        <v>1.99</v>
      </c>
      <c r="E2630" s="1">
        <v>45321</v>
      </c>
      <c r="F2630">
        <v>5.5</v>
      </c>
    </row>
    <row r="2631" spans="1:6" x14ac:dyDescent="0.25">
      <c r="A2631" s="1">
        <v>45490</v>
      </c>
      <c r="B2631">
        <v>1.9</v>
      </c>
      <c r="C2631" s="1">
        <v>45490</v>
      </c>
      <c r="D2631">
        <v>2.02</v>
      </c>
      <c r="E2631" s="1">
        <v>45322</v>
      </c>
      <c r="F2631">
        <v>5.5</v>
      </c>
    </row>
    <row r="2632" spans="1:6" x14ac:dyDescent="0.25">
      <c r="A2632" s="1">
        <v>45491</v>
      </c>
      <c r="B2632">
        <v>1.9</v>
      </c>
      <c r="C2632" s="1">
        <v>45491</v>
      </c>
      <c r="D2632">
        <v>2</v>
      </c>
      <c r="E2632" s="1">
        <v>45323</v>
      </c>
      <c r="F2632">
        <v>5.5</v>
      </c>
    </row>
    <row r="2633" spans="1:6" x14ac:dyDescent="0.25">
      <c r="A2633" s="1">
        <v>45492</v>
      </c>
      <c r="B2633">
        <v>1.9</v>
      </c>
      <c r="C2633" s="1">
        <v>45492</v>
      </c>
      <c r="D2633">
        <v>1.9</v>
      </c>
      <c r="E2633" s="1">
        <v>45324</v>
      </c>
      <c r="F2633">
        <v>5.5</v>
      </c>
    </row>
    <row r="2634" spans="1:6" x14ac:dyDescent="0.25">
      <c r="A2634" s="1">
        <v>45495</v>
      </c>
      <c r="B2634">
        <v>1.85</v>
      </c>
      <c r="C2634" s="1">
        <v>45495</v>
      </c>
      <c r="D2634">
        <v>1.73</v>
      </c>
      <c r="E2634" s="1">
        <v>45327</v>
      </c>
      <c r="F2634">
        <v>5.5</v>
      </c>
    </row>
    <row r="2635" spans="1:6" x14ac:dyDescent="0.25">
      <c r="A2635" s="1">
        <v>45496</v>
      </c>
      <c r="B2635">
        <v>1.85</v>
      </c>
      <c r="C2635" s="1">
        <v>45496</v>
      </c>
      <c r="D2635">
        <v>1.85</v>
      </c>
      <c r="E2635" s="1">
        <v>45328</v>
      </c>
      <c r="F2635">
        <v>5.5</v>
      </c>
    </row>
    <row r="2636" spans="1:6" x14ac:dyDescent="0.25">
      <c r="A2636" s="1">
        <v>45497</v>
      </c>
      <c r="B2636">
        <v>1.85</v>
      </c>
      <c r="C2636" s="1">
        <v>45497</v>
      </c>
      <c r="D2636">
        <v>1.83</v>
      </c>
      <c r="E2636" s="1">
        <v>45329</v>
      </c>
      <c r="F2636">
        <v>5.5</v>
      </c>
    </row>
    <row r="2637" spans="1:6" x14ac:dyDescent="0.25">
      <c r="A2637" s="1">
        <v>45498</v>
      </c>
      <c r="B2637">
        <v>2</v>
      </c>
      <c r="C2637" s="1">
        <v>45498</v>
      </c>
      <c r="D2637">
        <v>1.84</v>
      </c>
      <c r="E2637" s="1">
        <v>45330</v>
      </c>
      <c r="F2637">
        <v>5.5</v>
      </c>
    </row>
    <row r="2638" spans="1:6" x14ac:dyDescent="0.25">
      <c r="A2638" s="1">
        <v>45499</v>
      </c>
      <c r="B2638">
        <v>1.99</v>
      </c>
      <c r="C2638" s="1">
        <v>45499</v>
      </c>
      <c r="D2638">
        <v>1.77</v>
      </c>
      <c r="E2638" s="1">
        <v>45331</v>
      </c>
      <c r="F2638">
        <v>5.5</v>
      </c>
    </row>
    <row r="2639" spans="1:6" x14ac:dyDescent="0.25">
      <c r="A2639" s="1">
        <v>45502</v>
      </c>
      <c r="B2639">
        <v>1.95</v>
      </c>
      <c r="C2639" s="1">
        <v>45502</v>
      </c>
      <c r="D2639">
        <v>1.73</v>
      </c>
      <c r="E2639" s="1">
        <v>45334</v>
      </c>
      <c r="F2639">
        <v>5.5</v>
      </c>
    </row>
    <row r="2640" spans="1:6" x14ac:dyDescent="0.25">
      <c r="A2640" s="1">
        <v>45503</v>
      </c>
      <c r="B2640">
        <v>1.93</v>
      </c>
      <c r="C2640" s="1">
        <v>45503</v>
      </c>
      <c r="D2640">
        <v>1.7219</v>
      </c>
      <c r="E2640" s="1">
        <v>45335</v>
      </c>
      <c r="F2640">
        <v>5.5</v>
      </c>
    </row>
    <row r="2641" spans="1:6" x14ac:dyDescent="0.25">
      <c r="A2641" s="1">
        <v>45504</v>
      </c>
      <c r="B2641">
        <v>1.9</v>
      </c>
      <c r="C2641" s="1">
        <v>45504</v>
      </c>
      <c r="D2641">
        <v>2</v>
      </c>
      <c r="E2641" s="1">
        <v>45336</v>
      </c>
      <c r="F2641">
        <v>5.5</v>
      </c>
    </row>
    <row r="2642" spans="1:6" x14ac:dyDescent="0.25">
      <c r="A2642" s="1">
        <v>45505</v>
      </c>
      <c r="B2642">
        <v>1.85</v>
      </c>
      <c r="C2642" s="1">
        <v>45505</v>
      </c>
      <c r="D2642">
        <v>1.71</v>
      </c>
      <c r="E2642" s="1">
        <v>45337</v>
      </c>
      <c r="F2642">
        <v>5.5</v>
      </c>
    </row>
    <row r="2643" spans="1:6" x14ac:dyDescent="0.25">
      <c r="A2643" s="1">
        <v>45506</v>
      </c>
      <c r="B2643">
        <v>1.82</v>
      </c>
      <c r="C2643" s="1">
        <v>45506</v>
      </c>
      <c r="D2643">
        <v>1.66</v>
      </c>
      <c r="E2643" s="1">
        <v>45338</v>
      </c>
      <c r="F2643">
        <v>5.5</v>
      </c>
    </row>
    <row r="2644" spans="1:6" x14ac:dyDescent="0.25">
      <c r="A2644" s="1">
        <v>45509</v>
      </c>
      <c r="B2644">
        <v>1.8</v>
      </c>
      <c r="C2644" s="1">
        <v>45509</v>
      </c>
      <c r="D2644">
        <v>1.67</v>
      </c>
      <c r="E2644" s="1">
        <v>45341</v>
      </c>
      <c r="F2644">
        <v>5.5</v>
      </c>
    </row>
    <row r="2645" spans="1:6" x14ac:dyDescent="0.25">
      <c r="A2645" s="1">
        <v>45510</v>
      </c>
      <c r="B2645">
        <v>1.84</v>
      </c>
      <c r="C2645" s="1">
        <v>45510</v>
      </c>
      <c r="D2645">
        <v>1.68</v>
      </c>
      <c r="E2645" s="1">
        <v>45342</v>
      </c>
      <c r="F2645">
        <v>5.5</v>
      </c>
    </row>
    <row r="2646" spans="1:6" x14ac:dyDescent="0.25">
      <c r="A2646" s="1">
        <v>45511</v>
      </c>
      <c r="B2646">
        <v>1.83</v>
      </c>
      <c r="C2646" s="1">
        <v>45511</v>
      </c>
      <c r="D2646">
        <v>1.7134</v>
      </c>
      <c r="E2646" s="1">
        <v>45343</v>
      </c>
      <c r="F2646">
        <v>5.5</v>
      </c>
    </row>
    <row r="2647" spans="1:6" x14ac:dyDescent="0.25">
      <c r="A2647" s="1">
        <v>45512</v>
      </c>
      <c r="B2647">
        <v>1.85</v>
      </c>
      <c r="C2647" s="1">
        <v>45512</v>
      </c>
      <c r="D2647">
        <v>1.8</v>
      </c>
      <c r="E2647" s="1">
        <v>45344</v>
      </c>
      <c r="F2647">
        <v>5.5</v>
      </c>
    </row>
    <row r="2648" spans="1:6" x14ac:dyDescent="0.25">
      <c r="A2648" s="1">
        <v>45513</v>
      </c>
      <c r="B2648">
        <v>1.86</v>
      </c>
      <c r="C2648" s="1">
        <v>45513</v>
      </c>
      <c r="D2648">
        <v>1.88</v>
      </c>
      <c r="E2648" s="1">
        <v>45345</v>
      </c>
      <c r="F2648">
        <v>5.5</v>
      </c>
    </row>
    <row r="2649" spans="1:6" x14ac:dyDescent="0.25">
      <c r="A2649" s="1">
        <v>45516</v>
      </c>
      <c r="B2649">
        <v>1.92</v>
      </c>
      <c r="C2649" s="1">
        <v>45516</v>
      </c>
      <c r="D2649">
        <v>2.04</v>
      </c>
      <c r="E2649" s="1">
        <v>45348</v>
      </c>
      <c r="F2649">
        <v>5.5</v>
      </c>
    </row>
    <row r="2650" spans="1:6" x14ac:dyDescent="0.25">
      <c r="A2650" s="1">
        <v>45517</v>
      </c>
      <c r="B2650">
        <v>1.95</v>
      </c>
      <c r="C2650" s="1">
        <v>45517</v>
      </c>
      <c r="D2650">
        <v>1.99</v>
      </c>
      <c r="E2650" s="1">
        <v>45349</v>
      </c>
      <c r="F2650">
        <v>5.5</v>
      </c>
    </row>
    <row r="2651" spans="1:6" x14ac:dyDescent="0.25">
      <c r="A2651" s="1">
        <v>45518</v>
      </c>
      <c r="B2651">
        <v>1.92</v>
      </c>
      <c r="C2651" s="1">
        <v>45518</v>
      </c>
      <c r="D2651">
        <v>1.9</v>
      </c>
      <c r="E2651" s="1">
        <v>45350</v>
      </c>
      <c r="F2651">
        <v>5.5</v>
      </c>
    </row>
    <row r="2652" spans="1:6" x14ac:dyDescent="0.25">
      <c r="A2652" s="1">
        <v>45519</v>
      </c>
      <c r="B2652">
        <v>1.9</v>
      </c>
      <c r="C2652" s="1">
        <v>45519</v>
      </c>
      <c r="D2652">
        <v>1.85</v>
      </c>
      <c r="E2652" s="1">
        <v>45351</v>
      </c>
      <c r="F2652">
        <v>5.5</v>
      </c>
    </row>
    <row r="2653" spans="1:6" x14ac:dyDescent="0.25">
      <c r="A2653" s="1">
        <v>45520</v>
      </c>
      <c r="B2653">
        <v>1.86</v>
      </c>
      <c r="C2653" s="1">
        <v>45520</v>
      </c>
      <c r="D2653">
        <v>1.8</v>
      </c>
      <c r="E2653" s="1">
        <v>45352</v>
      </c>
      <c r="F2653">
        <v>5.5</v>
      </c>
    </row>
    <row r="2654" spans="1:6" x14ac:dyDescent="0.25">
      <c r="A2654" s="1">
        <v>45523</v>
      </c>
      <c r="B2654">
        <v>1.85</v>
      </c>
      <c r="C2654" s="1">
        <v>45523</v>
      </c>
      <c r="D2654">
        <v>1.78</v>
      </c>
      <c r="E2654" s="1">
        <v>45355</v>
      </c>
      <c r="F2654">
        <v>5.5</v>
      </c>
    </row>
    <row r="2655" spans="1:6" x14ac:dyDescent="0.25">
      <c r="A2655" s="1">
        <v>45524</v>
      </c>
      <c r="B2655">
        <v>1.86</v>
      </c>
      <c r="C2655" s="1">
        <v>45524</v>
      </c>
      <c r="D2655">
        <v>1.85</v>
      </c>
      <c r="E2655" s="1">
        <v>45356</v>
      </c>
      <c r="F2655">
        <v>5.5</v>
      </c>
    </row>
    <row r="2656" spans="1:6" x14ac:dyDescent="0.25">
      <c r="A2656" s="1">
        <v>45525</v>
      </c>
      <c r="B2656">
        <v>1.88</v>
      </c>
      <c r="C2656" s="1">
        <v>45525</v>
      </c>
      <c r="D2656">
        <v>1.85</v>
      </c>
      <c r="E2656" s="1">
        <v>45357</v>
      </c>
      <c r="F2656">
        <v>5.5</v>
      </c>
    </row>
    <row r="2657" spans="1:6" x14ac:dyDescent="0.25">
      <c r="A2657" s="1">
        <v>45526</v>
      </c>
      <c r="B2657">
        <v>1.91</v>
      </c>
      <c r="C2657" s="1">
        <v>45526</v>
      </c>
      <c r="D2657">
        <v>1.89</v>
      </c>
      <c r="E2657" s="1">
        <v>45358</v>
      </c>
      <c r="F2657">
        <v>5.5</v>
      </c>
    </row>
    <row r="2658" spans="1:6" x14ac:dyDescent="0.25">
      <c r="A2658" s="1">
        <v>45527</v>
      </c>
      <c r="B2658">
        <v>1.92</v>
      </c>
      <c r="C2658" s="1">
        <v>45527</v>
      </c>
      <c r="D2658">
        <v>1.92</v>
      </c>
      <c r="E2658" s="1">
        <v>45359</v>
      </c>
      <c r="F2658">
        <v>5.5</v>
      </c>
    </row>
    <row r="2659" spans="1:6" x14ac:dyDescent="0.25">
      <c r="A2659" s="1">
        <v>45530</v>
      </c>
      <c r="B2659">
        <v>2.0499999999999998</v>
      </c>
      <c r="C2659" s="1">
        <v>45530</v>
      </c>
      <c r="D2659">
        <v>1.93</v>
      </c>
      <c r="E2659" s="1">
        <v>45362</v>
      </c>
      <c r="F2659">
        <v>5.5</v>
      </c>
    </row>
    <row r="2660" spans="1:6" x14ac:dyDescent="0.25">
      <c r="A2660" s="1">
        <v>45531</v>
      </c>
      <c r="B2660">
        <v>2</v>
      </c>
      <c r="C2660" s="1">
        <v>45531</v>
      </c>
      <c r="D2660">
        <v>1.75</v>
      </c>
      <c r="E2660" s="1">
        <v>45363</v>
      </c>
      <c r="F2660">
        <v>5.5</v>
      </c>
    </row>
    <row r="2661" spans="1:6" x14ac:dyDescent="0.25">
      <c r="A2661" s="1">
        <v>45532</v>
      </c>
      <c r="B2661">
        <v>1.9</v>
      </c>
      <c r="C2661" s="1">
        <v>45532</v>
      </c>
      <c r="D2661">
        <v>1.61</v>
      </c>
      <c r="E2661" s="1">
        <v>45364</v>
      </c>
      <c r="F2661">
        <v>5.5</v>
      </c>
    </row>
    <row r="2662" spans="1:6" x14ac:dyDescent="0.25">
      <c r="A2662" s="1">
        <v>45533</v>
      </c>
      <c r="B2662">
        <v>1.9</v>
      </c>
      <c r="C2662" s="1">
        <v>45533</v>
      </c>
      <c r="D2662">
        <v>1.58</v>
      </c>
      <c r="E2662" s="1">
        <v>45365</v>
      </c>
      <c r="F2662">
        <v>5.5</v>
      </c>
    </row>
    <row r="2663" spans="1:6" x14ac:dyDescent="0.25">
      <c r="A2663" s="1">
        <v>45534</v>
      </c>
      <c r="B2663">
        <v>1.87</v>
      </c>
      <c r="C2663" s="1">
        <v>45534</v>
      </c>
      <c r="D2663">
        <v>1.7</v>
      </c>
      <c r="E2663" s="1">
        <v>45366</v>
      </c>
      <c r="F2663">
        <v>5.5</v>
      </c>
    </row>
    <row r="2664" spans="1:6" x14ac:dyDescent="0.25">
      <c r="A2664" s="1">
        <v>45537</v>
      </c>
      <c r="B2664">
        <v>1.85</v>
      </c>
      <c r="C2664" s="1">
        <v>45537</v>
      </c>
      <c r="D2664">
        <v>1.64</v>
      </c>
      <c r="E2664" s="1">
        <v>45369</v>
      </c>
      <c r="F2664">
        <v>5.5</v>
      </c>
    </row>
    <row r="2665" spans="1:6" x14ac:dyDescent="0.25">
      <c r="A2665" s="1">
        <v>45538</v>
      </c>
      <c r="B2665">
        <v>1.86</v>
      </c>
      <c r="C2665" s="1">
        <v>45538</v>
      </c>
      <c r="D2665">
        <v>1.7</v>
      </c>
      <c r="E2665" s="1">
        <v>45370</v>
      </c>
      <c r="F2665">
        <v>5.5</v>
      </c>
    </row>
    <row r="2666" spans="1:6" x14ac:dyDescent="0.25">
      <c r="A2666" s="1">
        <v>45539</v>
      </c>
      <c r="B2666">
        <v>1.9</v>
      </c>
      <c r="C2666" s="1">
        <v>45539</v>
      </c>
      <c r="D2666">
        <v>1.7</v>
      </c>
      <c r="E2666" s="1">
        <v>45371</v>
      </c>
      <c r="F2666">
        <v>5.5</v>
      </c>
    </row>
    <row r="2667" spans="1:6" x14ac:dyDescent="0.25">
      <c r="A2667" s="1">
        <v>45540</v>
      </c>
      <c r="B2667">
        <v>1.89</v>
      </c>
      <c r="C2667" s="1">
        <v>45540</v>
      </c>
      <c r="D2667">
        <v>1.75</v>
      </c>
      <c r="E2667" s="1">
        <v>45372</v>
      </c>
      <c r="F2667">
        <v>5.5</v>
      </c>
    </row>
    <row r="2668" spans="1:6" x14ac:dyDescent="0.25">
      <c r="A2668" s="1">
        <v>45541</v>
      </c>
      <c r="B2668">
        <v>1.9</v>
      </c>
      <c r="C2668" s="1">
        <v>45541</v>
      </c>
      <c r="D2668">
        <v>1.88</v>
      </c>
      <c r="E2668" s="1">
        <v>45373</v>
      </c>
      <c r="F2668">
        <v>5.5</v>
      </c>
    </row>
    <row r="2669" spans="1:6" x14ac:dyDescent="0.25">
      <c r="A2669" s="1">
        <v>45544</v>
      </c>
      <c r="B2669">
        <v>1.93</v>
      </c>
      <c r="C2669" s="1">
        <v>45544</v>
      </c>
      <c r="D2669">
        <v>1.92</v>
      </c>
      <c r="E2669" s="1">
        <v>45376</v>
      </c>
      <c r="F2669">
        <v>5.5</v>
      </c>
    </row>
    <row r="2670" spans="1:6" x14ac:dyDescent="0.25">
      <c r="A2670" s="1">
        <v>45545</v>
      </c>
      <c r="B2670">
        <v>1.95</v>
      </c>
      <c r="C2670" s="1">
        <v>45545</v>
      </c>
      <c r="D2670">
        <v>2</v>
      </c>
      <c r="E2670" s="1">
        <v>45377</v>
      </c>
      <c r="F2670">
        <v>5.5</v>
      </c>
    </row>
    <row r="2671" spans="1:6" x14ac:dyDescent="0.25">
      <c r="A2671" s="1">
        <v>45546</v>
      </c>
      <c r="B2671">
        <v>1.94</v>
      </c>
      <c r="C2671" s="1">
        <v>45546</v>
      </c>
      <c r="D2671">
        <v>1.85</v>
      </c>
      <c r="E2671" s="1">
        <v>45378</v>
      </c>
      <c r="F2671">
        <v>5.5</v>
      </c>
    </row>
    <row r="2672" spans="1:6" x14ac:dyDescent="0.25">
      <c r="A2672" s="1">
        <v>45547</v>
      </c>
      <c r="B2672">
        <v>1.9</v>
      </c>
      <c r="C2672" s="1">
        <v>45547</v>
      </c>
      <c r="D2672">
        <v>1.87</v>
      </c>
      <c r="E2672" s="1">
        <v>45379</v>
      </c>
      <c r="F2672">
        <v>5.5</v>
      </c>
    </row>
    <row r="2673" spans="1:6" x14ac:dyDescent="0.25">
      <c r="A2673" s="1">
        <v>45548</v>
      </c>
      <c r="B2673">
        <v>1.95</v>
      </c>
      <c r="C2673" s="1">
        <v>45548</v>
      </c>
      <c r="D2673">
        <v>1.67</v>
      </c>
      <c r="E2673" s="1">
        <v>45380</v>
      </c>
      <c r="F2673">
        <v>5.5</v>
      </c>
    </row>
    <row r="2674" spans="1:6" x14ac:dyDescent="0.25">
      <c r="A2674" s="1">
        <v>45549</v>
      </c>
      <c r="B2674">
        <v>1.8</v>
      </c>
      <c r="C2674" s="1">
        <v>45549</v>
      </c>
      <c r="D2674">
        <v>1.62</v>
      </c>
      <c r="E2674" s="1">
        <v>45383</v>
      </c>
      <c r="F2674">
        <v>5.5</v>
      </c>
    </row>
    <row r="2675" spans="1:6" x14ac:dyDescent="0.25">
      <c r="A2675" s="1">
        <v>45553</v>
      </c>
      <c r="B2675">
        <v>1.9</v>
      </c>
      <c r="C2675" s="1">
        <v>45553</v>
      </c>
      <c r="D2675">
        <v>1.89</v>
      </c>
      <c r="E2675" s="1">
        <v>45384</v>
      </c>
      <c r="F2675">
        <v>5.5</v>
      </c>
    </row>
    <row r="2676" spans="1:6" x14ac:dyDescent="0.25">
      <c r="A2676" s="1">
        <v>45554</v>
      </c>
      <c r="B2676">
        <v>2</v>
      </c>
      <c r="C2676" s="1">
        <v>45554</v>
      </c>
      <c r="D2676">
        <v>2.0065</v>
      </c>
      <c r="E2676" s="1">
        <v>45385</v>
      </c>
      <c r="F2676">
        <v>5.5</v>
      </c>
    </row>
    <row r="2677" spans="1:6" x14ac:dyDescent="0.25">
      <c r="A2677" s="1">
        <v>45555</v>
      </c>
      <c r="B2677">
        <v>2</v>
      </c>
      <c r="C2677" s="1">
        <v>45555</v>
      </c>
      <c r="D2677">
        <v>2.0499999999999998</v>
      </c>
      <c r="E2677" s="1">
        <v>45386</v>
      </c>
      <c r="F2677">
        <v>5.5</v>
      </c>
    </row>
    <row r="2678" spans="1:6" x14ac:dyDescent="0.25">
      <c r="A2678" s="1">
        <v>45558</v>
      </c>
      <c r="B2678">
        <v>2</v>
      </c>
      <c r="C2678" s="1">
        <v>45558</v>
      </c>
      <c r="D2678">
        <v>2</v>
      </c>
      <c r="E2678" s="1">
        <v>45387</v>
      </c>
      <c r="F2678">
        <v>5.5</v>
      </c>
    </row>
    <row r="2679" spans="1:6" x14ac:dyDescent="0.25">
      <c r="A2679" s="1">
        <v>45559</v>
      </c>
      <c r="B2679">
        <v>2.0499999999999998</v>
      </c>
      <c r="C2679" s="1">
        <v>45559</v>
      </c>
      <c r="D2679">
        <v>1.85</v>
      </c>
      <c r="E2679" s="1">
        <v>45390</v>
      </c>
      <c r="F2679">
        <v>5.5</v>
      </c>
    </row>
    <row r="2680" spans="1:6" x14ac:dyDescent="0.25">
      <c r="A2680" s="1">
        <v>45560</v>
      </c>
      <c r="B2680">
        <v>2</v>
      </c>
      <c r="C2680" s="1">
        <v>45560</v>
      </c>
      <c r="D2680">
        <v>1.73</v>
      </c>
      <c r="E2680" s="1">
        <v>45391</v>
      </c>
      <c r="F2680">
        <v>5.5</v>
      </c>
    </row>
    <row r="2681" spans="1:6" x14ac:dyDescent="0.25">
      <c r="A2681" s="1">
        <v>45561</v>
      </c>
      <c r="B2681">
        <v>2.0499999999999998</v>
      </c>
      <c r="C2681" s="1">
        <v>45561</v>
      </c>
      <c r="D2681">
        <v>1.7</v>
      </c>
      <c r="E2681" s="1">
        <v>45392</v>
      </c>
      <c r="F2681">
        <v>5.5</v>
      </c>
    </row>
    <row r="2682" spans="1:6" x14ac:dyDescent="0.25">
      <c r="A2682" s="1">
        <v>45562</v>
      </c>
      <c r="B2682">
        <v>1.9</v>
      </c>
      <c r="C2682" s="1">
        <v>45562</v>
      </c>
      <c r="D2682">
        <v>1.41</v>
      </c>
      <c r="E2682" s="1">
        <v>45393</v>
      </c>
      <c r="F2682">
        <v>5.5</v>
      </c>
    </row>
    <row r="2683" spans="1:6" x14ac:dyDescent="0.25">
      <c r="A2683" s="1">
        <v>45564</v>
      </c>
      <c r="B2683">
        <v>1.8</v>
      </c>
      <c r="C2683" s="1">
        <v>45564</v>
      </c>
      <c r="D2683">
        <v>1.35</v>
      </c>
      <c r="E2683" s="1">
        <v>45394</v>
      </c>
      <c r="F2683">
        <v>5.5</v>
      </c>
    </row>
    <row r="2684" spans="1:6" x14ac:dyDescent="0.25">
      <c r="A2684" s="1">
        <v>45565</v>
      </c>
      <c r="B2684">
        <v>2.4</v>
      </c>
      <c r="C2684" s="1">
        <v>45565</v>
      </c>
      <c r="D2684">
        <v>1.83</v>
      </c>
      <c r="E2684" s="1">
        <v>45397</v>
      </c>
      <c r="F2684">
        <v>5.5</v>
      </c>
    </row>
    <row r="2685" spans="1:6" x14ac:dyDescent="0.25">
      <c r="A2685" s="1">
        <v>45573</v>
      </c>
      <c r="B2685">
        <v>1.9</v>
      </c>
      <c r="C2685" s="1">
        <v>45573</v>
      </c>
      <c r="D2685">
        <v>1.63</v>
      </c>
      <c r="E2685" s="1">
        <v>45398</v>
      </c>
      <c r="F2685">
        <v>5.5</v>
      </c>
    </row>
    <row r="2686" spans="1:6" x14ac:dyDescent="0.25">
      <c r="A2686" s="1">
        <v>45574</v>
      </c>
      <c r="B2686">
        <v>2.0499999999999998</v>
      </c>
      <c r="C2686" s="1">
        <v>45574</v>
      </c>
      <c r="D2686">
        <v>1.8</v>
      </c>
      <c r="E2686" s="1">
        <v>45399</v>
      </c>
      <c r="F2686">
        <v>5.5</v>
      </c>
    </row>
    <row r="2687" spans="1:6" x14ac:dyDescent="0.25">
      <c r="A2687" s="1">
        <v>45575</v>
      </c>
      <c r="B2687">
        <v>2.1</v>
      </c>
      <c r="C2687" s="1">
        <v>45575</v>
      </c>
      <c r="D2687">
        <v>1.65</v>
      </c>
      <c r="E2687" s="1">
        <v>45400</v>
      </c>
      <c r="F2687">
        <v>5.5</v>
      </c>
    </row>
    <row r="2688" spans="1:6" x14ac:dyDescent="0.25">
      <c r="A2688" s="1">
        <v>45576</v>
      </c>
      <c r="B2688">
        <v>1.9</v>
      </c>
      <c r="C2688" s="1">
        <v>45576</v>
      </c>
      <c r="D2688">
        <v>1.43</v>
      </c>
      <c r="E2688" s="1">
        <v>45401</v>
      </c>
      <c r="F2688">
        <v>5.5</v>
      </c>
    </row>
    <row r="2689" spans="1:6" x14ac:dyDescent="0.25">
      <c r="A2689" s="1">
        <v>45577</v>
      </c>
      <c r="B2689">
        <v>1.57</v>
      </c>
      <c r="C2689" s="1">
        <v>45577</v>
      </c>
      <c r="D2689">
        <v>1.35</v>
      </c>
      <c r="E2689" s="1">
        <v>45404</v>
      </c>
      <c r="F2689">
        <v>5.5</v>
      </c>
    </row>
    <row r="2690" spans="1:6" x14ac:dyDescent="0.25">
      <c r="A2690" s="1">
        <v>45579</v>
      </c>
      <c r="B2690">
        <v>1.92</v>
      </c>
      <c r="C2690" s="1">
        <v>45579</v>
      </c>
      <c r="D2690">
        <v>1.55</v>
      </c>
      <c r="E2690" s="1">
        <v>45405</v>
      </c>
      <c r="F2690">
        <v>5.5</v>
      </c>
    </row>
    <row r="2691" spans="1:6" x14ac:dyDescent="0.25">
      <c r="A2691" s="1">
        <v>45580</v>
      </c>
      <c r="B2691">
        <v>1.88</v>
      </c>
      <c r="C2691" s="1">
        <v>45580</v>
      </c>
      <c r="D2691">
        <v>1.55</v>
      </c>
      <c r="E2691" s="1">
        <v>45406</v>
      </c>
      <c r="F2691">
        <v>5.5</v>
      </c>
    </row>
    <row r="2692" spans="1:6" x14ac:dyDescent="0.25">
      <c r="A2692" s="1">
        <v>45581</v>
      </c>
      <c r="B2692">
        <v>1.9</v>
      </c>
      <c r="C2692" s="1">
        <v>45581</v>
      </c>
      <c r="D2692">
        <v>1.63</v>
      </c>
      <c r="E2692" s="1">
        <v>45407</v>
      </c>
      <c r="F2692">
        <v>5.5</v>
      </c>
    </row>
    <row r="2693" spans="1:6" x14ac:dyDescent="0.25">
      <c r="A2693" s="1">
        <v>45582</v>
      </c>
      <c r="B2693">
        <v>1.88</v>
      </c>
      <c r="C2693" s="1">
        <v>45582</v>
      </c>
      <c r="D2693">
        <v>1.57</v>
      </c>
      <c r="E2693" s="1">
        <v>45408</v>
      </c>
      <c r="F2693">
        <v>5.5</v>
      </c>
    </row>
    <row r="2694" spans="1:6" x14ac:dyDescent="0.25">
      <c r="A2694" s="1">
        <v>45583</v>
      </c>
      <c r="B2694">
        <v>1.85</v>
      </c>
      <c r="C2694" s="1">
        <v>45583</v>
      </c>
      <c r="D2694">
        <v>1.55</v>
      </c>
      <c r="E2694" s="1">
        <v>45411</v>
      </c>
      <c r="F2694">
        <v>5.5</v>
      </c>
    </row>
    <row r="2695" spans="1:6" x14ac:dyDescent="0.25">
      <c r="A2695" s="1">
        <v>45586</v>
      </c>
      <c r="B2695">
        <v>1.92</v>
      </c>
      <c r="C2695" s="1">
        <v>45586</v>
      </c>
      <c r="D2695">
        <v>1.61</v>
      </c>
      <c r="E2695" s="1">
        <v>45412</v>
      </c>
      <c r="F2695">
        <v>5.5</v>
      </c>
    </row>
    <row r="2696" spans="1:6" x14ac:dyDescent="0.25">
      <c r="A2696" s="1">
        <v>45587</v>
      </c>
      <c r="B2696">
        <v>1.92</v>
      </c>
      <c r="C2696" s="1">
        <v>45587</v>
      </c>
      <c r="D2696">
        <v>1.65</v>
      </c>
      <c r="E2696" s="1">
        <v>45413</v>
      </c>
      <c r="F2696">
        <v>5.5</v>
      </c>
    </row>
    <row r="2697" spans="1:6" x14ac:dyDescent="0.25">
      <c r="A2697" s="1">
        <v>45588</v>
      </c>
      <c r="B2697">
        <v>1.9</v>
      </c>
      <c r="C2697" s="1">
        <v>45588</v>
      </c>
      <c r="D2697">
        <v>1.65</v>
      </c>
      <c r="E2697" s="1">
        <v>45414</v>
      </c>
      <c r="F2697">
        <v>5.5</v>
      </c>
    </row>
    <row r="2698" spans="1:6" x14ac:dyDescent="0.25">
      <c r="A2698" s="1">
        <v>45589</v>
      </c>
      <c r="B2698">
        <v>1.9</v>
      </c>
      <c r="C2698" s="1">
        <v>45589</v>
      </c>
      <c r="D2698">
        <v>1.67</v>
      </c>
      <c r="E2698" s="1">
        <v>45415</v>
      </c>
      <c r="F2698">
        <v>5.5</v>
      </c>
    </row>
    <row r="2699" spans="1:6" x14ac:dyDescent="0.25">
      <c r="A2699" s="1">
        <v>45590</v>
      </c>
      <c r="B2699">
        <v>2</v>
      </c>
      <c r="C2699" s="1">
        <v>45590</v>
      </c>
      <c r="D2699">
        <v>1.66</v>
      </c>
      <c r="E2699" s="1">
        <v>45418</v>
      </c>
      <c r="F2699">
        <v>5.5</v>
      </c>
    </row>
    <row r="2700" spans="1:6" x14ac:dyDescent="0.25">
      <c r="A2700" s="1">
        <v>45593</v>
      </c>
      <c r="B2700">
        <v>1.93</v>
      </c>
      <c r="C2700" s="1">
        <v>45593</v>
      </c>
      <c r="D2700">
        <v>1.62</v>
      </c>
      <c r="E2700" s="1">
        <v>45419</v>
      </c>
      <c r="F2700">
        <v>5.5</v>
      </c>
    </row>
    <row r="2701" spans="1:6" x14ac:dyDescent="0.25">
      <c r="A2701" s="1">
        <v>45594</v>
      </c>
      <c r="B2701">
        <v>1.9</v>
      </c>
      <c r="C2701" s="1">
        <v>45594</v>
      </c>
      <c r="D2701">
        <v>1.58</v>
      </c>
      <c r="E2701" s="1">
        <v>45420</v>
      </c>
      <c r="F2701">
        <v>5.5</v>
      </c>
    </row>
    <row r="2702" spans="1:6" x14ac:dyDescent="0.25">
      <c r="A2702" s="1">
        <v>45595</v>
      </c>
      <c r="B2702">
        <v>1.9</v>
      </c>
      <c r="C2702" s="1">
        <v>45595</v>
      </c>
      <c r="D2702">
        <v>1.55</v>
      </c>
      <c r="E2702" s="1">
        <v>45421</v>
      </c>
      <c r="F2702">
        <v>5.5</v>
      </c>
    </row>
    <row r="2703" spans="1:6" x14ac:dyDescent="0.25">
      <c r="A2703" s="1">
        <v>45596</v>
      </c>
      <c r="B2703">
        <v>1.87</v>
      </c>
      <c r="C2703" s="1">
        <v>45596</v>
      </c>
      <c r="D2703">
        <v>1.55</v>
      </c>
      <c r="E2703" s="1">
        <v>45422</v>
      </c>
      <c r="F2703">
        <v>5.5</v>
      </c>
    </row>
    <row r="2704" spans="1:6" x14ac:dyDescent="0.25">
      <c r="A2704" s="1">
        <v>45597</v>
      </c>
      <c r="B2704">
        <v>1.79</v>
      </c>
      <c r="C2704" s="1">
        <v>45597</v>
      </c>
      <c r="D2704">
        <v>1.5</v>
      </c>
      <c r="E2704" s="1">
        <v>45425</v>
      </c>
      <c r="F2704">
        <v>5.5</v>
      </c>
    </row>
    <row r="2705" spans="1:6" x14ac:dyDescent="0.25">
      <c r="A2705" s="1">
        <v>45600</v>
      </c>
      <c r="B2705">
        <v>1.78</v>
      </c>
      <c r="C2705" s="1">
        <v>45600</v>
      </c>
      <c r="D2705">
        <v>1.5</v>
      </c>
      <c r="E2705" s="1">
        <v>45426</v>
      </c>
      <c r="F2705">
        <v>5.5</v>
      </c>
    </row>
    <row r="2706" spans="1:6" x14ac:dyDescent="0.25">
      <c r="A2706" s="1">
        <v>45601</v>
      </c>
      <c r="B2706">
        <v>1.79</v>
      </c>
      <c r="C2706" s="1">
        <v>45601</v>
      </c>
      <c r="D2706">
        <v>1.4816</v>
      </c>
      <c r="E2706" s="1">
        <v>45427</v>
      </c>
      <c r="F2706">
        <v>5.5</v>
      </c>
    </row>
    <row r="2707" spans="1:6" x14ac:dyDescent="0.25">
      <c r="A2707" s="1">
        <v>45602</v>
      </c>
      <c r="B2707">
        <v>1.79</v>
      </c>
      <c r="C2707" s="1">
        <v>45602</v>
      </c>
      <c r="D2707">
        <v>1.48</v>
      </c>
      <c r="E2707" s="1">
        <v>45428</v>
      </c>
      <c r="F2707">
        <v>5.5</v>
      </c>
    </row>
    <row r="2708" spans="1:6" x14ac:dyDescent="0.25">
      <c r="A2708" s="1">
        <v>45603</v>
      </c>
      <c r="B2708">
        <v>1.8</v>
      </c>
      <c r="C2708" s="1">
        <v>45603</v>
      </c>
      <c r="D2708">
        <v>1.5</v>
      </c>
      <c r="E2708" s="1">
        <v>45429</v>
      </c>
      <c r="F2708">
        <v>5.5</v>
      </c>
    </row>
    <row r="2709" spans="1:6" x14ac:dyDescent="0.25">
      <c r="A2709" s="1">
        <v>45604</v>
      </c>
      <c r="B2709">
        <v>1.8</v>
      </c>
      <c r="C2709" s="1">
        <v>45604</v>
      </c>
      <c r="D2709">
        <v>1.65</v>
      </c>
      <c r="E2709" s="1">
        <v>45432</v>
      </c>
      <c r="F2709">
        <v>5.5</v>
      </c>
    </row>
    <row r="2710" spans="1:6" x14ac:dyDescent="0.25">
      <c r="A2710" s="1">
        <v>45607</v>
      </c>
      <c r="B2710">
        <v>1.88</v>
      </c>
      <c r="C2710" s="1">
        <v>45607</v>
      </c>
      <c r="D2710">
        <v>1.7</v>
      </c>
      <c r="E2710" s="1">
        <v>45433</v>
      </c>
      <c r="F2710">
        <v>5.5</v>
      </c>
    </row>
    <row r="2711" spans="1:6" x14ac:dyDescent="0.25">
      <c r="A2711" s="1">
        <v>45608</v>
      </c>
      <c r="B2711">
        <v>1.9</v>
      </c>
      <c r="C2711" s="1">
        <v>45608</v>
      </c>
      <c r="D2711">
        <v>1.72</v>
      </c>
      <c r="E2711" s="1">
        <v>45434</v>
      </c>
      <c r="F2711">
        <v>5.5</v>
      </c>
    </row>
    <row r="2712" spans="1:6" x14ac:dyDescent="0.25">
      <c r="A2712" s="1">
        <v>45609</v>
      </c>
      <c r="B2712">
        <v>1.9</v>
      </c>
      <c r="C2712" s="1">
        <v>45609</v>
      </c>
      <c r="D2712">
        <v>1.7</v>
      </c>
      <c r="E2712" s="1">
        <v>45435</v>
      </c>
      <c r="F2712">
        <v>5.5</v>
      </c>
    </row>
    <row r="2713" spans="1:6" x14ac:dyDescent="0.25">
      <c r="A2713" s="1">
        <v>45610</v>
      </c>
      <c r="B2713">
        <v>1.89</v>
      </c>
      <c r="C2713" s="1">
        <v>45610</v>
      </c>
      <c r="D2713">
        <v>1.65</v>
      </c>
      <c r="E2713" s="1">
        <v>45436</v>
      </c>
      <c r="F2713">
        <v>5.5</v>
      </c>
    </row>
    <row r="2714" spans="1:6" x14ac:dyDescent="0.25">
      <c r="A2714" s="1">
        <v>45611</v>
      </c>
      <c r="B2714">
        <v>1.85</v>
      </c>
      <c r="C2714" s="1">
        <v>45611</v>
      </c>
      <c r="D2714">
        <v>1.65</v>
      </c>
      <c r="E2714" s="1">
        <v>45439</v>
      </c>
      <c r="F2714">
        <v>5.5</v>
      </c>
    </row>
    <row r="2715" spans="1:6" x14ac:dyDescent="0.25">
      <c r="A2715" s="1">
        <v>45614</v>
      </c>
      <c r="B2715">
        <v>1.85</v>
      </c>
      <c r="C2715" s="1">
        <v>45614</v>
      </c>
      <c r="D2715">
        <v>1.65</v>
      </c>
      <c r="E2715" s="1">
        <v>45440</v>
      </c>
      <c r="F2715">
        <v>5.5</v>
      </c>
    </row>
    <row r="2716" spans="1:6" x14ac:dyDescent="0.25">
      <c r="A2716" s="1">
        <v>45615</v>
      </c>
      <c r="B2716">
        <v>1.84</v>
      </c>
      <c r="C2716" s="1">
        <v>45615</v>
      </c>
      <c r="D2716">
        <v>1.65</v>
      </c>
      <c r="E2716" s="1">
        <v>45441</v>
      </c>
      <c r="F2716">
        <v>5.5</v>
      </c>
    </row>
    <row r="2717" spans="1:6" x14ac:dyDescent="0.25">
      <c r="A2717" s="1">
        <v>45616</v>
      </c>
      <c r="B2717">
        <v>1.84</v>
      </c>
      <c r="C2717" s="1">
        <v>45616</v>
      </c>
      <c r="D2717">
        <v>1.63</v>
      </c>
      <c r="E2717" s="1">
        <v>45442</v>
      </c>
      <c r="F2717">
        <v>5.5</v>
      </c>
    </row>
    <row r="2718" spans="1:6" x14ac:dyDescent="0.25">
      <c r="A2718" s="1">
        <v>45617</v>
      </c>
      <c r="B2718">
        <v>1.84</v>
      </c>
      <c r="C2718" s="1">
        <v>45617</v>
      </c>
      <c r="D2718">
        <v>1.61</v>
      </c>
      <c r="E2718" s="1">
        <v>45443</v>
      </c>
      <c r="F2718">
        <v>5.5</v>
      </c>
    </row>
    <row r="2719" spans="1:6" x14ac:dyDescent="0.25">
      <c r="A2719" s="1">
        <v>45618</v>
      </c>
      <c r="B2719">
        <v>1.82</v>
      </c>
      <c r="C2719" s="1">
        <v>45618</v>
      </c>
      <c r="D2719">
        <v>1.63</v>
      </c>
      <c r="E2719" s="1">
        <v>45446</v>
      </c>
      <c r="F2719">
        <v>5.5</v>
      </c>
    </row>
    <row r="2720" spans="1:6" x14ac:dyDescent="0.25">
      <c r="A2720" s="1">
        <v>45621</v>
      </c>
      <c r="B2720">
        <v>1.9</v>
      </c>
      <c r="C2720" s="1">
        <v>45621</v>
      </c>
      <c r="D2720">
        <v>1.63</v>
      </c>
      <c r="E2720" s="1">
        <v>45447</v>
      </c>
      <c r="F2720">
        <v>5.5</v>
      </c>
    </row>
    <row r="2721" spans="1:6" x14ac:dyDescent="0.25">
      <c r="A2721" s="1">
        <v>45622</v>
      </c>
      <c r="B2721">
        <v>1.83</v>
      </c>
      <c r="C2721" s="1">
        <v>45622</v>
      </c>
      <c r="D2721">
        <v>1.58</v>
      </c>
      <c r="E2721" s="1">
        <v>45448</v>
      </c>
      <c r="F2721">
        <v>5.5</v>
      </c>
    </row>
    <row r="2722" spans="1:6" x14ac:dyDescent="0.25">
      <c r="A2722" s="1">
        <v>45623</v>
      </c>
      <c r="B2722">
        <v>1.8</v>
      </c>
      <c r="C2722" s="1">
        <v>45623</v>
      </c>
      <c r="D2722">
        <v>1.51</v>
      </c>
      <c r="E2722" s="1">
        <v>45449</v>
      </c>
      <c r="F2722">
        <v>5.5</v>
      </c>
    </row>
    <row r="2723" spans="1:6" x14ac:dyDescent="0.25">
      <c r="A2723" s="1">
        <v>45624</v>
      </c>
      <c r="B2723">
        <v>1.82</v>
      </c>
      <c r="C2723" s="1">
        <v>45624</v>
      </c>
      <c r="D2723">
        <v>1.45</v>
      </c>
      <c r="E2723" s="1">
        <v>45450</v>
      </c>
      <c r="F2723">
        <v>5.5</v>
      </c>
    </row>
    <row r="2724" spans="1:6" x14ac:dyDescent="0.25">
      <c r="A2724" s="1">
        <v>45625</v>
      </c>
      <c r="B2724">
        <v>1.8</v>
      </c>
      <c r="C2724" s="1">
        <v>45625</v>
      </c>
      <c r="D2724">
        <v>1.45</v>
      </c>
      <c r="E2724" s="1">
        <v>45453</v>
      </c>
      <c r="F2724">
        <v>5.5</v>
      </c>
    </row>
    <row r="2725" spans="1:6" x14ac:dyDescent="0.25">
      <c r="A2725" s="1">
        <v>45628</v>
      </c>
      <c r="B2725">
        <v>1.73</v>
      </c>
      <c r="C2725" s="1">
        <v>45628</v>
      </c>
      <c r="D2725">
        <v>1.55</v>
      </c>
      <c r="E2725" s="1">
        <v>45454</v>
      </c>
      <c r="F2725">
        <v>5.5</v>
      </c>
    </row>
    <row r="2726" spans="1:6" x14ac:dyDescent="0.25">
      <c r="A2726" s="1">
        <v>45629</v>
      </c>
      <c r="B2726">
        <v>1.75</v>
      </c>
      <c r="C2726" s="1">
        <v>45629</v>
      </c>
      <c r="D2726">
        <v>1.46</v>
      </c>
      <c r="E2726" s="1">
        <v>45455</v>
      </c>
      <c r="F2726">
        <v>5.5</v>
      </c>
    </row>
    <row r="2727" spans="1:6" x14ac:dyDescent="0.25">
      <c r="A2727" s="1">
        <v>45630</v>
      </c>
      <c r="B2727">
        <v>1.79</v>
      </c>
      <c r="C2727" s="1">
        <v>45630</v>
      </c>
      <c r="D2727">
        <v>1.5</v>
      </c>
      <c r="E2727" s="1">
        <v>45456</v>
      </c>
      <c r="F2727">
        <v>5.5</v>
      </c>
    </row>
    <row r="2728" spans="1:6" x14ac:dyDescent="0.25">
      <c r="A2728" s="1">
        <v>45631</v>
      </c>
      <c r="B2728">
        <v>1.82</v>
      </c>
      <c r="C2728" s="1">
        <v>45631</v>
      </c>
      <c r="D2728">
        <v>1.64</v>
      </c>
      <c r="E2728" s="1">
        <v>45457</v>
      </c>
      <c r="F2728">
        <v>5.5</v>
      </c>
    </row>
    <row r="2729" spans="1:6" x14ac:dyDescent="0.25">
      <c r="A2729" s="1">
        <v>45632</v>
      </c>
      <c r="B2729">
        <v>1.85</v>
      </c>
      <c r="C2729" s="1">
        <v>45632</v>
      </c>
      <c r="D2729">
        <v>1.68</v>
      </c>
      <c r="E2729" s="1">
        <v>45460</v>
      </c>
      <c r="F2729">
        <v>5.5</v>
      </c>
    </row>
    <row r="2730" spans="1:6" x14ac:dyDescent="0.25">
      <c r="A2730" s="1">
        <v>45635</v>
      </c>
      <c r="B2730">
        <v>1.88</v>
      </c>
      <c r="C2730" s="1">
        <v>45635</v>
      </c>
      <c r="D2730">
        <v>1.7</v>
      </c>
      <c r="E2730" s="1">
        <v>45461</v>
      </c>
      <c r="F2730">
        <v>5.5</v>
      </c>
    </row>
    <row r="2731" spans="1:6" x14ac:dyDescent="0.25">
      <c r="A2731" s="1">
        <v>45636</v>
      </c>
      <c r="B2731">
        <v>1.93</v>
      </c>
      <c r="C2731" s="1">
        <v>45636</v>
      </c>
      <c r="D2731">
        <v>1.72</v>
      </c>
      <c r="E2731" s="1">
        <v>45462</v>
      </c>
      <c r="F2731">
        <v>5.5</v>
      </c>
    </row>
    <row r="2732" spans="1:6" x14ac:dyDescent="0.25">
      <c r="A2732" s="1">
        <v>45637</v>
      </c>
      <c r="B2732">
        <v>1.86</v>
      </c>
      <c r="C2732" s="1">
        <v>45637</v>
      </c>
      <c r="D2732">
        <v>1.7</v>
      </c>
      <c r="E2732" s="1">
        <v>45463</v>
      </c>
      <c r="F2732">
        <v>5.5</v>
      </c>
    </row>
    <row r="2733" spans="1:6" x14ac:dyDescent="0.25">
      <c r="A2733" s="1">
        <v>45638</v>
      </c>
      <c r="B2733">
        <v>1.95</v>
      </c>
      <c r="C2733" s="1">
        <v>45638</v>
      </c>
      <c r="D2733">
        <v>1.7</v>
      </c>
      <c r="E2733" s="1">
        <v>45464</v>
      </c>
      <c r="F2733">
        <v>5.5</v>
      </c>
    </row>
    <row r="2734" spans="1:6" x14ac:dyDescent="0.25">
      <c r="A2734" s="1">
        <v>45639</v>
      </c>
      <c r="B2734">
        <v>1.93</v>
      </c>
      <c r="C2734" s="1">
        <v>45639</v>
      </c>
      <c r="D2734">
        <v>1.65</v>
      </c>
      <c r="E2734" s="1">
        <v>45467</v>
      </c>
      <c r="F2734">
        <v>5.5</v>
      </c>
    </row>
    <row r="2735" spans="1:6" x14ac:dyDescent="0.25">
      <c r="A2735" s="1">
        <v>45642</v>
      </c>
      <c r="B2735">
        <v>1.95</v>
      </c>
      <c r="C2735" s="1">
        <v>45642</v>
      </c>
      <c r="D2735">
        <v>1.66</v>
      </c>
      <c r="E2735" s="1">
        <v>45468</v>
      </c>
      <c r="F2735">
        <v>5.5</v>
      </c>
    </row>
    <row r="2736" spans="1:6" x14ac:dyDescent="0.25">
      <c r="A2736" s="1">
        <v>45643</v>
      </c>
      <c r="B2736">
        <v>2.0499999999999998</v>
      </c>
      <c r="C2736" s="1">
        <v>45643</v>
      </c>
      <c r="D2736">
        <v>1.72</v>
      </c>
      <c r="E2736" s="1">
        <v>45469</v>
      </c>
      <c r="F2736">
        <v>5.5</v>
      </c>
    </row>
    <row r="2737" spans="1:6" x14ac:dyDescent="0.25">
      <c r="A2737" s="1">
        <v>45644</v>
      </c>
      <c r="B2737">
        <v>1.93</v>
      </c>
      <c r="C2737" s="1">
        <v>45644</v>
      </c>
      <c r="D2737">
        <v>1.7</v>
      </c>
      <c r="E2737" s="1">
        <v>45470</v>
      </c>
      <c r="F2737">
        <v>5.5</v>
      </c>
    </row>
    <row r="2738" spans="1:6" x14ac:dyDescent="0.25">
      <c r="A2738" s="1">
        <v>45645</v>
      </c>
      <c r="B2738">
        <v>1.84</v>
      </c>
      <c r="C2738" s="1">
        <v>45645</v>
      </c>
      <c r="D2738">
        <v>1.62</v>
      </c>
      <c r="E2738" s="1">
        <v>45471</v>
      </c>
      <c r="F2738">
        <v>5.5</v>
      </c>
    </row>
    <row r="2739" spans="1:6" x14ac:dyDescent="0.25">
      <c r="A2739" s="1">
        <v>45646</v>
      </c>
      <c r="B2739">
        <v>1.8</v>
      </c>
      <c r="C2739" s="1">
        <v>45646</v>
      </c>
      <c r="D2739">
        <v>1.56</v>
      </c>
      <c r="E2739" s="1">
        <v>45474</v>
      </c>
      <c r="F2739">
        <v>5.5</v>
      </c>
    </row>
    <row r="2740" spans="1:6" x14ac:dyDescent="0.25">
      <c r="A2740" s="1">
        <v>45649</v>
      </c>
      <c r="B2740">
        <v>1.73</v>
      </c>
      <c r="C2740" s="1">
        <v>45649</v>
      </c>
      <c r="D2740">
        <v>1.45</v>
      </c>
      <c r="E2740" s="1">
        <v>45475</v>
      </c>
      <c r="F2740">
        <v>5.5</v>
      </c>
    </row>
    <row r="2741" spans="1:6" x14ac:dyDescent="0.25">
      <c r="A2741" s="1">
        <v>45650</v>
      </c>
      <c r="B2741">
        <v>1.73</v>
      </c>
      <c r="C2741" s="1">
        <v>45650</v>
      </c>
      <c r="D2741">
        <v>1.48</v>
      </c>
      <c r="E2741" s="1">
        <v>45476</v>
      </c>
      <c r="F2741">
        <v>5.5</v>
      </c>
    </row>
    <row r="2742" spans="1:6" x14ac:dyDescent="0.25">
      <c r="A2742" s="1">
        <v>45651</v>
      </c>
      <c r="B2742">
        <v>2.0499999999999998</v>
      </c>
      <c r="C2742" s="1">
        <v>45651</v>
      </c>
      <c r="D2742">
        <v>1.5</v>
      </c>
      <c r="E2742" s="1">
        <v>45477</v>
      </c>
      <c r="F2742">
        <v>5.5</v>
      </c>
    </row>
    <row r="2743" spans="1:6" x14ac:dyDescent="0.25">
      <c r="A2743" s="1">
        <v>45652</v>
      </c>
      <c r="B2743">
        <v>2.2400000000000002</v>
      </c>
      <c r="C2743" s="1">
        <v>45652</v>
      </c>
      <c r="D2743">
        <v>1.52</v>
      </c>
      <c r="E2743" s="1">
        <v>45478</v>
      </c>
      <c r="F2743">
        <v>5.5</v>
      </c>
    </row>
    <row r="2744" spans="1:6" x14ac:dyDescent="0.25">
      <c r="A2744" s="1">
        <v>45653</v>
      </c>
      <c r="B2744">
        <v>2.2999999999999998</v>
      </c>
      <c r="C2744" s="1">
        <v>45653</v>
      </c>
      <c r="D2744">
        <v>1.51</v>
      </c>
      <c r="E2744" s="1">
        <v>45481</v>
      </c>
      <c r="F2744">
        <v>5.5</v>
      </c>
    </row>
    <row r="2745" spans="1:6" x14ac:dyDescent="0.25">
      <c r="A2745" s="1">
        <v>45656</v>
      </c>
      <c r="B2745">
        <v>2.2000000000000002</v>
      </c>
      <c r="C2745" s="1">
        <v>45656</v>
      </c>
      <c r="D2745">
        <v>1.5</v>
      </c>
      <c r="E2745" s="1">
        <v>45482</v>
      </c>
      <c r="F2745">
        <v>5.5</v>
      </c>
    </row>
    <row r="2746" spans="1:6" x14ac:dyDescent="0.25">
      <c r="A2746" s="1">
        <v>45657</v>
      </c>
      <c r="B2746">
        <v>2.2000000000000002</v>
      </c>
      <c r="C2746" s="1">
        <v>45657</v>
      </c>
      <c r="D2746">
        <v>2.2000000000000002</v>
      </c>
      <c r="E2746" s="1">
        <v>45483</v>
      </c>
      <c r="F2746">
        <v>5.5</v>
      </c>
    </row>
    <row r="2747" spans="1:6" x14ac:dyDescent="0.25">
      <c r="A2747" s="1">
        <v>45659</v>
      </c>
      <c r="B2747">
        <v>1.8</v>
      </c>
      <c r="C2747" s="1">
        <v>45659</v>
      </c>
      <c r="D2747">
        <v>1.8</v>
      </c>
      <c r="E2747" s="1">
        <v>45484</v>
      </c>
      <c r="F2747">
        <v>5.5</v>
      </c>
    </row>
    <row r="2748" spans="1:6" x14ac:dyDescent="0.25">
      <c r="A2748" s="1">
        <v>45660</v>
      </c>
      <c r="B2748">
        <v>1.83</v>
      </c>
      <c r="C2748" s="1">
        <v>45660</v>
      </c>
      <c r="D2748">
        <v>1.8</v>
      </c>
      <c r="E2748" s="1">
        <v>45485</v>
      </c>
      <c r="F2748">
        <v>5.5</v>
      </c>
    </row>
    <row r="2749" spans="1:6" x14ac:dyDescent="0.25">
      <c r="A2749" s="1">
        <v>45663</v>
      </c>
      <c r="B2749">
        <v>1.67</v>
      </c>
      <c r="C2749" s="1">
        <v>45663</v>
      </c>
      <c r="D2749">
        <v>1.53</v>
      </c>
      <c r="E2749" s="1">
        <v>45488</v>
      </c>
      <c r="F2749">
        <v>5.5</v>
      </c>
    </row>
    <row r="2750" spans="1:6" x14ac:dyDescent="0.25">
      <c r="A2750" s="1">
        <v>45664</v>
      </c>
      <c r="B2750">
        <v>1.6</v>
      </c>
      <c r="C2750" s="1">
        <v>45664</v>
      </c>
      <c r="D2750">
        <v>1.55</v>
      </c>
      <c r="E2750" s="1">
        <v>45489</v>
      </c>
      <c r="F2750">
        <v>5.5</v>
      </c>
    </row>
    <row r="2751" spans="1:6" x14ac:dyDescent="0.25">
      <c r="A2751" s="1">
        <v>45665</v>
      </c>
      <c r="B2751">
        <v>1.63</v>
      </c>
      <c r="C2751" s="1">
        <v>45665</v>
      </c>
      <c r="D2751">
        <v>1.62</v>
      </c>
      <c r="E2751" s="1">
        <v>45490</v>
      </c>
      <c r="F2751">
        <v>5.5</v>
      </c>
    </row>
    <row r="2752" spans="1:6" x14ac:dyDescent="0.25">
      <c r="A2752" s="1">
        <v>45666</v>
      </c>
      <c r="B2752">
        <v>1.68</v>
      </c>
      <c r="C2752" s="1">
        <v>45666</v>
      </c>
      <c r="D2752">
        <v>1.67</v>
      </c>
      <c r="E2752" s="1">
        <v>45491</v>
      </c>
      <c r="F2752">
        <v>5.5</v>
      </c>
    </row>
    <row r="2753" spans="1:6" x14ac:dyDescent="0.25">
      <c r="A2753" s="1">
        <v>45667</v>
      </c>
      <c r="B2753">
        <v>1.78</v>
      </c>
      <c r="C2753" s="1">
        <v>45667</v>
      </c>
      <c r="D2753">
        <v>1.77</v>
      </c>
      <c r="E2753" s="1">
        <v>45492</v>
      </c>
      <c r="F2753">
        <v>5.5</v>
      </c>
    </row>
    <row r="2754" spans="1:6" x14ac:dyDescent="0.25">
      <c r="A2754" s="1">
        <v>45670</v>
      </c>
      <c r="B2754">
        <v>2.1</v>
      </c>
      <c r="C2754" s="1">
        <v>45670</v>
      </c>
      <c r="D2754">
        <v>2.0499999999999998</v>
      </c>
      <c r="E2754" s="1">
        <v>45495</v>
      </c>
      <c r="F2754">
        <v>5.5</v>
      </c>
    </row>
    <row r="2755" spans="1:6" x14ac:dyDescent="0.25">
      <c r="A2755" s="1">
        <v>45671</v>
      </c>
      <c r="B2755">
        <v>2.4</v>
      </c>
      <c r="C2755" s="1">
        <v>45671</v>
      </c>
      <c r="D2755">
        <v>2.1</v>
      </c>
      <c r="E2755" s="1">
        <v>45496</v>
      </c>
      <c r="F2755">
        <v>5.5</v>
      </c>
    </row>
    <row r="2756" spans="1:6" x14ac:dyDescent="0.25">
      <c r="A2756" s="1">
        <v>45672</v>
      </c>
      <c r="B2756">
        <v>2.4500000000000002</v>
      </c>
      <c r="C2756" s="1">
        <v>45672</v>
      </c>
      <c r="D2756">
        <v>2</v>
      </c>
      <c r="E2756" s="1">
        <v>45497</v>
      </c>
      <c r="F2756">
        <v>5.5</v>
      </c>
    </row>
    <row r="2757" spans="1:6" x14ac:dyDescent="0.25">
      <c r="A2757" s="1">
        <v>45673</v>
      </c>
      <c r="B2757">
        <v>3.3</v>
      </c>
      <c r="C2757" s="1">
        <v>45673</v>
      </c>
      <c r="D2757">
        <v>2.2000000000000002</v>
      </c>
      <c r="E2757" s="1">
        <v>45498</v>
      </c>
      <c r="F2757">
        <v>5.5</v>
      </c>
    </row>
    <row r="2758" spans="1:6" x14ac:dyDescent="0.25">
      <c r="A2758" s="1">
        <v>45674</v>
      </c>
      <c r="B2758">
        <v>2.5</v>
      </c>
      <c r="C2758" s="1">
        <v>45674</v>
      </c>
      <c r="D2758">
        <v>1.95</v>
      </c>
      <c r="E2758" s="1">
        <v>45499</v>
      </c>
      <c r="F2758">
        <v>5.5</v>
      </c>
    </row>
    <row r="2759" spans="1:6" x14ac:dyDescent="0.25">
      <c r="A2759" s="1">
        <v>45677</v>
      </c>
      <c r="B2759">
        <v>2.4</v>
      </c>
      <c r="C2759" s="1">
        <v>45677</v>
      </c>
      <c r="D2759">
        <v>2.25</v>
      </c>
      <c r="E2759" s="1">
        <v>45502</v>
      </c>
      <c r="F2759">
        <v>5.5</v>
      </c>
    </row>
    <row r="2760" spans="1:6" x14ac:dyDescent="0.25">
      <c r="A2760" s="1">
        <v>45678</v>
      </c>
      <c r="B2760">
        <v>2.4</v>
      </c>
      <c r="C2760" s="1">
        <v>45678</v>
      </c>
      <c r="D2760">
        <v>2.1</v>
      </c>
      <c r="E2760" s="1">
        <v>45503</v>
      </c>
      <c r="F2760">
        <v>5.5</v>
      </c>
    </row>
    <row r="2761" spans="1:6" x14ac:dyDescent="0.25">
      <c r="A2761" s="1">
        <v>45679</v>
      </c>
      <c r="B2761">
        <v>2.15</v>
      </c>
      <c r="C2761" s="1">
        <v>45679</v>
      </c>
      <c r="D2761">
        <v>2</v>
      </c>
      <c r="E2761" s="1">
        <v>45504</v>
      </c>
      <c r="F2761">
        <v>5.5</v>
      </c>
    </row>
    <row r="2762" spans="1:6" x14ac:dyDescent="0.25">
      <c r="A2762" s="1">
        <v>45680</v>
      </c>
      <c r="B2762">
        <v>2.2999999999999998</v>
      </c>
      <c r="C2762" s="1">
        <v>45680</v>
      </c>
      <c r="D2762">
        <v>1.85</v>
      </c>
      <c r="E2762" s="1">
        <v>45505</v>
      </c>
      <c r="F2762">
        <v>5.5</v>
      </c>
    </row>
    <row r="2763" spans="1:6" x14ac:dyDescent="0.25">
      <c r="A2763" s="1">
        <v>45681</v>
      </c>
      <c r="B2763">
        <v>2.5</v>
      </c>
      <c r="C2763" s="1">
        <v>45681</v>
      </c>
      <c r="D2763">
        <v>1.79</v>
      </c>
      <c r="E2763" s="1">
        <v>45506</v>
      </c>
      <c r="F2763">
        <v>5.5</v>
      </c>
    </row>
    <row r="2764" spans="1:6" x14ac:dyDescent="0.25">
      <c r="A2764" s="1">
        <v>45683</v>
      </c>
      <c r="B2764">
        <v>2</v>
      </c>
      <c r="C2764" s="1">
        <v>45683</v>
      </c>
      <c r="D2764">
        <v>1.67</v>
      </c>
      <c r="E2764" s="1">
        <v>45509</v>
      </c>
      <c r="F2764">
        <v>5.5</v>
      </c>
    </row>
    <row r="2765" spans="1:6" x14ac:dyDescent="0.25">
      <c r="A2765" s="1">
        <v>45684</v>
      </c>
      <c r="B2765">
        <v>1.9</v>
      </c>
      <c r="C2765" s="1">
        <v>45684</v>
      </c>
      <c r="D2765">
        <v>1.7</v>
      </c>
      <c r="E2765" s="1">
        <v>45510</v>
      </c>
      <c r="F2765">
        <v>5.5</v>
      </c>
    </row>
    <row r="2766" spans="1:6" x14ac:dyDescent="0.25">
      <c r="A2766" s="1">
        <v>45693</v>
      </c>
      <c r="B2766">
        <v>2.0499999999999998</v>
      </c>
      <c r="C2766" s="1">
        <v>45693</v>
      </c>
      <c r="D2766">
        <v>2</v>
      </c>
      <c r="E2766" s="1">
        <v>45511</v>
      </c>
      <c r="F2766">
        <v>5.5</v>
      </c>
    </row>
    <row r="2767" spans="1:6" x14ac:dyDescent="0.25">
      <c r="A2767" s="1">
        <v>45694</v>
      </c>
      <c r="B2767">
        <v>1.85</v>
      </c>
      <c r="C2767" s="1">
        <v>45694</v>
      </c>
      <c r="D2767">
        <v>1.88</v>
      </c>
      <c r="E2767" s="1">
        <v>45512</v>
      </c>
      <c r="F2767">
        <v>5.5</v>
      </c>
    </row>
    <row r="2768" spans="1:6" x14ac:dyDescent="0.25">
      <c r="A2768" s="1">
        <v>45695</v>
      </c>
      <c r="B2768">
        <v>1.8</v>
      </c>
      <c r="C2768" s="1">
        <v>45695</v>
      </c>
      <c r="D2768">
        <v>1.83</v>
      </c>
      <c r="E2768" s="1">
        <v>45513</v>
      </c>
      <c r="F2768">
        <v>5.5</v>
      </c>
    </row>
    <row r="2769" spans="1:6" x14ac:dyDescent="0.25">
      <c r="A2769" s="1">
        <v>45696</v>
      </c>
      <c r="B2769">
        <v>1.7</v>
      </c>
      <c r="C2769" s="1">
        <v>45696</v>
      </c>
      <c r="D2769">
        <v>1.73</v>
      </c>
      <c r="E2769" s="1">
        <v>45516</v>
      </c>
      <c r="F2769">
        <v>5.5</v>
      </c>
    </row>
    <row r="2770" spans="1:6" x14ac:dyDescent="0.25">
      <c r="A2770" s="1">
        <v>45698</v>
      </c>
      <c r="B2770">
        <v>1.8</v>
      </c>
      <c r="C2770" s="1">
        <v>45698</v>
      </c>
      <c r="D2770">
        <v>1.85</v>
      </c>
      <c r="E2770" s="1">
        <v>45517</v>
      </c>
      <c r="F2770">
        <v>5.5</v>
      </c>
    </row>
    <row r="2771" spans="1:6" x14ac:dyDescent="0.25">
      <c r="A2771" s="1">
        <v>45699</v>
      </c>
      <c r="B2771">
        <v>1.98</v>
      </c>
      <c r="C2771" s="1">
        <v>45699</v>
      </c>
      <c r="D2771">
        <v>1.98</v>
      </c>
      <c r="E2771" s="1">
        <v>45518</v>
      </c>
      <c r="F2771">
        <v>5.5</v>
      </c>
    </row>
    <row r="2772" spans="1:6" x14ac:dyDescent="0.25">
      <c r="A2772" s="1">
        <v>45700</v>
      </c>
      <c r="B2772">
        <v>1.9</v>
      </c>
      <c r="C2772" s="1">
        <v>45700</v>
      </c>
      <c r="D2772">
        <v>1.8563000000000001</v>
      </c>
      <c r="E2772" s="1">
        <v>45519</v>
      </c>
      <c r="F2772">
        <v>5.5</v>
      </c>
    </row>
    <row r="2773" spans="1:6" x14ac:dyDescent="0.25">
      <c r="A2773" s="1">
        <v>45701</v>
      </c>
      <c r="B2773">
        <v>1.8</v>
      </c>
      <c r="C2773" s="1">
        <v>45701</v>
      </c>
      <c r="D2773">
        <v>1.83</v>
      </c>
      <c r="E2773" s="1">
        <v>45520</v>
      </c>
      <c r="F2773">
        <v>5.5</v>
      </c>
    </row>
    <row r="2774" spans="1:6" x14ac:dyDescent="0.25">
      <c r="A2774" s="1">
        <v>45702</v>
      </c>
      <c r="B2774">
        <v>2</v>
      </c>
      <c r="C2774" s="1">
        <v>45702</v>
      </c>
      <c r="D2774">
        <v>2.0299999999999998</v>
      </c>
      <c r="E2774" s="1">
        <v>45523</v>
      </c>
      <c r="F2774">
        <v>5.5</v>
      </c>
    </row>
    <row r="2775" spans="1:6" x14ac:dyDescent="0.25">
      <c r="A2775" s="1">
        <v>45705</v>
      </c>
      <c r="B2775">
        <v>2.08</v>
      </c>
      <c r="C2775" s="1">
        <v>45705</v>
      </c>
      <c r="D2775">
        <v>2.1</v>
      </c>
      <c r="E2775" s="1">
        <v>45524</v>
      </c>
      <c r="F2775">
        <v>5.5</v>
      </c>
    </row>
    <row r="2776" spans="1:6" x14ac:dyDescent="0.25">
      <c r="A2776" s="1">
        <v>45706</v>
      </c>
      <c r="B2776">
        <v>2.5</v>
      </c>
      <c r="C2776" s="1">
        <v>45706</v>
      </c>
      <c r="D2776">
        <v>2.35</v>
      </c>
      <c r="E2776" s="1">
        <v>45525</v>
      </c>
      <c r="F2776">
        <v>5.5</v>
      </c>
    </row>
    <row r="2777" spans="1:6" x14ac:dyDescent="0.25">
      <c r="A2777" s="1">
        <v>45707</v>
      </c>
      <c r="B2777">
        <v>2.1</v>
      </c>
      <c r="C2777" s="1">
        <v>45707</v>
      </c>
      <c r="D2777">
        <v>2.0499999999999998</v>
      </c>
      <c r="E2777" s="1">
        <v>45526</v>
      </c>
      <c r="F2777">
        <v>5.5</v>
      </c>
    </row>
    <row r="2778" spans="1:6" x14ac:dyDescent="0.25">
      <c r="A2778" s="1">
        <v>45708</v>
      </c>
      <c r="B2778">
        <v>2.15</v>
      </c>
      <c r="C2778" s="1">
        <v>45708</v>
      </c>
      <c r="D2778">
        <v>2.1</v>
      </c>
      <c r="E2778" s="1">
        <v>45527</v>
      </c>
      <c r="F2778">
        <v>5.5</v>
      </c>
    </row>
    <row r="2779" spans="1:6" x14ac:dyDescent="0.25">
      <c r="A2779" s="1">
        <v>45709</v>
      </c>
      <c r="B2779">
        <v>2.35</v>
      </c>
      <c r="C2779" s="1">
        <v>45709</v>
      </c>
      <c r="D2779">
        <v>2.2999999999999998</v>
      </c>
      <c r="E2779" s="1">
        <v>45530</v>
      </c>
      <c r="F2779">
        <v>5.5</v>
      </c>
    </row>
    <row r="2780" spans="1:6" x14ac:dyDescent="0.25">
      <c r="A2780" s="1">
        <v>45712</v>
      </c>
      <c r="B2780">
        <v>2.4500000000000002</v>
      </c>
      <c r="C2780" s="1">
        <v>45712</v>
      </c>
      <c r="D2780">
        <v>2</v>
      </c>
      <c r="E2780" s="1">
        <v>45531</v>
      </c>
      <c r="F2780">
        <v>5.5</v>
      </c>
    </row>
    <row r="2781" spans="1:6" x14ac:dyDescent="0.25">
      <c r="A2781" s="1">
        <v>45713</v>
      </c>
      <c r="B2781">
        <v>2.33</v>
      </c>
      <c r="C2781" s="1">
        <v>45713</v>
      </c>
      <c r="D2781">
        <v>1.95</v>
      </c>
      <c r="E2781" s="1">
        <v>45532</v>
      </c>
      <c r="F2781">
        <v>5.5</v>
      </c>
    </row>
    <row r="2782" spans="1:6" x14ac:dyDescent="0.25">
      <c r="A2782" s="1">
        <v>45714</v>
      </c>
      <c r="B2782">
        <v>2.2999999999999998</v>
      </c>
      <c r="C2782" s="1">
        <v>45714</v>
      </c>
      <c r="D2782">
        <v>1.95</v>
      </c>
      <c r="E2782" s="1">
        <v>45533</v>
      </c>
      <c r="F2782">
        <v>5.5</v>
      </c>
    </row>
    <row r="2783" spans="1:6" x14ac:dyDescent="0.25">
      <c r="A2783" s="1">
        <v>45715</v>
      </c>
      <c r="B2783">
        <v>2.4500000000000002</v>
      </c>
      <c r="C2783" s="1">
        <v>45715</v>
      </c>
      <c r="D2783">
        <v>2.1</v>
      </c>
      <c r="E2783" s="1">
        <v>45534</v>
      </c>
      <c r="F2783">
        <v>5.5</v>
      </c>
    </row>
    <row r="2784" spans="1:6" x14ac:dyDescent="0.25">
      <c r="A2784" s="1">
        <v>45716</v>
      </c>
      <c r="B2784">
        <v>2.2000000000000002</v>
      </c>
      <c r="C2784" s="1">
        <v>45716</v>
      </c>
      <c r="D2784">
        <v>2.0499999999999998</v>
      </c>
      <c r="E2784" s="1">
        <v>45537</v>
      </c>
      <c r="F2784">
        <v>5.5</v>
      </c>
    </row>
    <row r="2785" spans="1:6" x14ac:dyDescent="0.25">
      <c r="A2785" s="1">
        <v>45719</v>
      </c>
      <c r="B2785">
        <v>1.95</v>
      </c>
      <c r="C2785" s="1">
        <v>45719</v>
      </c>
      <c r="D2785">
        <v>1.87</v>
      </c>
      <c r="E2785" s="1">
        <v>45538</v>
      </c>
      <c r="F2785">
        <v>5.5</v>
      </c>
    </row>
    <row r="2786" spans="1:6" x14ac:dyDescent="0.25">
      <c r="A2786" s="1">
        <v>45720</v>
      </c>
      <c r="B2786">
        <v>1.78</v>
      </c>
      <c r="C2786" s="1">
        <v>45720</v>
      </c>
      <c r="D2786">
        <v>1.69</v>
      </c>
      <c r="E2786" s="1">
        <v>45539</v>
      </c>
      <c r="F2786">
        <v>5.5</v>
      </c>
    </row>
    <row r="2787" spans="1:6" x14ac:dyDescent="0.25">
      <c r="A2787" s="1">
        <v>45721</v>
      </c>
      <c r="B2787">
        <v>1.8</v>
      </c>
      <c r="C2787" s="1">
        <v>45721</v>
      </c>
      <c r="D2787">
        <v>1.77</v>
      </c>
      <c r="E2787" s="1">
        <v>45540</v>
      </c>
      <c r="F2787">
        <v>5.5</v>
      </c>
    </row>
    <row r="2788" spans="1:6" x14ac:dyDescent="0.25">
      <c r="A2788" s="1">
        <v>45722</v>
      </c>
      <c r="B2788">
        <v>1.8</v>
      </c>
      <c r="C2788" s="1">
        <v>45722</v>
      </c>
      <c r="D2788">
        <v>1.8</v>
      </c>
      <c r="E2788" s="1">
        <v>45541</v>
      </c>
      <c r="F2788">
        <v>5.5</v>
      </c>
    </row>
    <row r="2789" spans="1:6" x14ac:dyDescent="0.25">
      <c r="A2789" s="1">
        <v>45723</v>
      </c>
      <c r="B2789">
        <v>1.82</v>
      </c>
      <c r="C2789" s="1">
        <v>45723</v>
      </c>
      <c r="D2789">
        <v>1.8</v>
      </c>
      <c r="E2789" s="1">
        <v>45544</v>
      </c>
      <c r="F2789">
        <v>5.5</v>
      </c>
    </row>
    <row r="2790" spans="1:6" x14ac:dyDescent="0.25">
      <c r="A2790" s="1">
        <v>45726</v>
      </c>
      <c r="B2790">
        <v>1.83</v>
      </c>
      <c r="C2790" s="1">
        <v>45726</v>
      </c>
      <c r="D2790">
        <v>1.82</v>
      </c>
      <c r="E2790" s="1">
        <v>45545</v>
      </c>
      <c r="F2790">
        <v>5.5</v>
      </c>
    </row>
    <row r="2791" spans="1:6" x14ac:dyDescent="0.25">
      <c r="A2791" s="1">
        <v>45727</v>
      </c>
      <c r="B2791">
        <v>1.83</v>
      </c>
      <c r="C2791" s="1">
        <v>45727</v>
      </c>
      <c r="D2791">
        <v>1.79</v>
      </c>
      <c r="E2791" s="1">
        <v>45546</v>
      </c>
      <c r="F2791">
        <v>5.5</v>
      </c>
    </row>
    <row r="2792" spans="1:6" x14ac:dyDescent="0.25">
      <c r="A2792" s="1">
        <v>45728</v>
      </c>
      <c r="B2792">
        <v>1.83</v>
      </c>
      <c r="C2792" s="1">
        <v>45728</v>
      </c>
      <c r="D2792">
        <v>1.78</v>
      </c>
      <c r="E2792" s="1">
        <v>45547</v>
      </c>
      <c r="F2792">
        <v>5.5</v>
      </c>
    </row>
    <row r="2793" spans="1:6" x14ac:dyDescent="0.25">
      <c r="A2793" s="1">
        <v>45729</v>
      </c>
      <c r="B2793">
        <v>1.82</v>
      </c>
      <c r="C2793" s="1">
        <v>45729</v>
      </c>
      <c r="D2793">
        <v>1.78</v>
      </c>
      <c r="E2793" s="1">
        <v>45548</v>
      </c>
      <c r="F2793">
        <v>5.5</v>
      </c>
    </row>
    <row r="2794" spans="1:6" x14ac:dyDescent="0.25">
      <c r="A2794" s="1">
        <v>45730</v>
      </c>
      <c r="B2794">
        <v>1.83</v>
      </c>
      <c r="C2794" s="1">
        <v>45730</v>
      </c>
      <c r="D2794">
        <v>1.82</v>
      </c>
      <c r="E2794" s="1">
        <v>45551</v>
      </c>
      <c r="F2794">
        <v>5.5</v>
      </c>
    </row>
    <row r="2795" spans="1:6" x14ac:dyDescent="0.25">
      <c r="A2795" s="1">
        <v>45733</v>
      </c>
      <c r="B2795">
        <v>1.92</v>
      </c>
      <c r="C2795" s="1">
        <v>45733</v>
      </c>
      <c r="D2795">
        <v>1.9</v>
      </c>
      <c r="E2795" s="1">
        <v>45552</v>
      </c>
      <c r="F2795">
        <v>5.5</v>
      </c>
    </row>
    <row r="2796" spans="1:6" x14ac:dyDescent="0.25">
      <c r="A2796" s="1">
        <v>45734</v>
      </c>
      <c r="B2796">
        <v>1.99</v>
      </c>
      <c r="C2796" s="1">
        <v>45734</v>
      </c>
      <c r="D2796">
        <v>1.95</v>
      </c>
      <c r="E2796" s="1">
        <v>45553</v>
      </c>
      <c r="F2796">
        <v>5</v>
      </c>
    </row>
    <row r="2797" spans="1:6" x14ac:dyDescent="0.25">
      <c r="A2797" s="1">
        <v>45735</v>
      </c>
      <c r="B2797">
        <v>2.1</v>
      </c>
      <c r="C2797" s="1">
        <v>45735</v>
      </c>
      <c r="D2797">
        <v>2</v>
      </c>
      <c r="E2797" s="1">
        <v>45554</v>
      </c>
      <c r="F2797">
        <v>5</v>
      </c>
    </row>
    <row r="2798" spans="1:6" x14ac:dyDescent="0.25">
      <c r="A2798" s="1">
        <v>45736</v>
      </c>
      <c r="B2798">
        <v>2</v>
      </c>
      <c r="C2798" s="1">
        <v>45736</v>
      </c>
      <c r="D2798">
        <v>1.86</v>
      </c>
      <c r="E2798" s="1">
        <v>45555</v>
      </c>
      <c r="F2798">
        <v>5</v>
      </c>
    </row>
    <row r="2799" spans="1:6" x14ac:dyDescent="0.25">
      <c r="A2799" s="1">
        <v>45737</v>
      </c>
      <c r="B2799">
        <v>1.84</v>
      </c>
      <c r="C2799" s="1">
        <v>45737</v>
      </c>
      <c r="D2799">
        <v>1.78</v>
      </c>
      <c r="E2799" s="1">
        <v>45558</v>
      </c>
      <c r="F2799">
        <v>5</v>
      </c>
    </row>
    <row r="2800" spans="1:6" x14ac:dyDescent="0.25">
      <c r="A2800" s="1">
        <v>45740</v>
      </c>
      <c r="B2800">
        <v>1.82</v>
      </c>
      <c r="C2800" s="1">
        <v>45740</v>
      </c>
      <c r="D2800">
        <v>1.79</v>
      </c>
      <c r="E2800" s="1">
        <v>45559</v>
      </c>
      <c r="F2800">
        <v>5</v>
      </c>
    </row>
    <row r="2801" spans="1:6" x14ac:dyDescent="0.25">
      <c r="A2801" s="1">
        <v>45741</v>
      </c>
      <c r="B2801">
        <v>2.2999999999999998</v>
      </c>
      <c r="C2801" s="1">
        <v>45741</v>
      </c>
      <c r="D2801">
        <v>1.82</v>
      </c>
      <c r="E2801" s="1">
        <v>45560</v>
      </c>
      <c r="F2801">
        <v>5</v>
      </c>
    </row>
    <row r="2802" spans="1:6" x14ac:dyDescent="0.25">
      <c r="A2802" s="1">
        <v>45742</v>
      </c>
      <c r="B2802">
        <v>2.2999999999999998</v>
      </c>
      <c r="C2802" s="1">
        <v>45742</v>
      </c>
      <c r="D2802">
        <v>1.85</v>
      </c>
      <c r="E2802" s="1">
        <v>45561</v>
      </c>
      <c r="F2802">
        <v>5</v>
      </c>
    </row>
    <row r="2803" spans="1:6" x14ac:dyDescent="0.25">
      <c r="A2803" s="1">
        <v>45743</v>
      </c>
      <c r="B2803">
        <v>2.2999999999999998</v>
      </c>
      <c r="C2803" s="1">
        <v>45743</v>
      </c>
      <c r="D2803">
        <v>1.8</v>
      </c>
      <c r="E2803" s="1">
        <v>45562</v>
      </c>
      <c r="F2803">
        <v>5</v>
      </c>
    </row>
    <row r="2804" spans="1:6" x14ac:dyDescent="0.25">
      <c r="A2804" s="1">
        <v>45744</v>
      </c>
      <c r="B2804">
        <v>2.33</v>
      </c>
      <c r="C2804" s="1">
        <v>45744</v>
      </c>
      <c r="D2804">
        <v>1.78</v>
      </c>
      <c r="E2804" s="1">
        <v>45565</v>
      </c>
      <c r="F2804">
        <v>5</v>
      </c>
    </row>
    <row r="2805" spans="1:6" x14ac:dyDescent="0.25">
      <c r="A2805" s="1">
        <v>45747</v>
      </c>
      <c r="B2805">
        <v>2.25</v>
      </c>
      <c r="C2805" s="1">
        <v>45747</v>
      </c>
      <c r="D2805">
        <v>2.23</v>
      </c>
      <c r="E2805" s="1">
        <v>45566</v>
      </c>
      <c r="F2805">
        <v>5</v>
      </c>
    </row>
    <row r="2806" spans="1:6" x14ac:dyDescent="0.25">
      <c r="A2806" s="1">
        <v>45748</v>
      </c>
      <c r="B2806">
        <v>1.98</v>
      </c>
      <c r="C2806" s="1">
        <v>45748</v>
      </c>
      <c r="D2806">
        <v>1.95</v>
      </c>
      <c r="E2806" s="1">
        <v>45567</v>
      </c>
      <c r="F2806">
        <v>5</v>
      </c>
    </row>
    <row r="2807" spans="1:6" x14ac:dyDescent="0.25">
      <c r="A2807" s="1">
        <v>45749</v>
      </c>
      <c r="B2807">
        <v>1.93</v>
      </c>
      <c r="C2807" s="1">
        <v>45749</v>
      </c>
      <c r="D2807">
        <v>1.83</v>
      </c>
      <c r="E2807" s="1">
        <v>45568</v>
      </c>
      <c r="F2807">
        <v>5</v>
      </c>
    </row>
    <row r="2808" spans="1:6" x14ac:dyDescent="0.25">
      <c r="A2808" s="1">
        <v>45750</v>
      </c>
      <c r="B2808">
        <v>1.75</v>
      </c>
      <c r="C2808" s="1">
        <v>45750</v>
      </c>
      <c r="D2808">
        <v>1.67</v>
      </c>
      <c r="E2808" s="1">
        <v>45569</v>
      </c>
      <c r="F2808">
        <v>5</v>
      </c>
    </row>
    <row r="2809" spans="1:6" x14ac:dyDescent="0.25">
      <c r="A2809" s="1">
        <v>45754</v>
      </c>
      <c r="B2809">
        <v>1.75</v>
      </c>
      <c r="C2809" s="1">
        <v>45754</v>
      </c>
      <c r="D2809">
        <v>1.82</v>
      </c>
      <c r="E2809" s="1">
        <v>45572</v>
      </c>
      <c r="F2809">
        <v>5</v>
      </c>
    </row>
    <row r="2810" spans="1:6" x14ac:dyDescent="0.25">
      <c r="A2810" s="1">
        <v>45755</v>
      </c>
      <c r="B2810">
        <v>1.88</v>
      </c>
      <c r="C2810" s="1">
        <v>45755</v>
      </c>
      <c r="D2810">
        <v>1.8479000000000001</v>
      </c>
      <c r="E2810" s="1">
        <v>45573</v>
      </c>
      <c r="F2810">
        <v>5</v>
      </c>
    </row>
    <row r="2811" spans="1:6" x14ac:dyDescent="0.25">
      <c r="A2811" s="1">
        <v>45756</v>
      </c>
      <c r="B2811">
        <v>1.87</v>
      </c>
      <c r="C2811" s="1">
        <v>45756</v>
      </c>
      <c r="D2811">
        <v>1.8</v>
      </c>
      <c r="E2811" s="1">
        <v>45574</v>
      </c>
      <c r="F2811">
        <v>5</v>
      </c>
    </row>
    <row r="2812" spans="1:6" x14ac:dyDescent="0.25">
      <c r="A2812" s="1">
        <v>45757</v>
      </c>
      <c r="B2812">
        <v>1.76</v>
      </c>
      <c r="C2812" s="1">
        <v>45757</v>
      </c>
      <c r="D2812">
        <v>1.66</v>
      </c>
      <c r="E2812" s="1">
        <v>45575</v>
      </c>
      <c r="F2812">
        <v>5</v>
      </c>
    </row>
    <row r="2813" spans="1:6" x14ac:dyDescent="0.25">
      <c r="A2813" s="1">
        <v>45758</v>
      </c>
      <c r="B2813">
        <v>1.72</v>
      </c>
      <c r="C2813" s="1">
        <v>45758</v>
      </c>
      <c r="D2813">
        <v>1.65</v>
      </c>
      <c r="E2813" s="1">
        <v>45576</v>
      </c>
      <c r="F2813">
        <v>5</v>
      </c>
    </row>
    <row r="2814" spans="1:6" x14ac:dyDescent="0.25">
      <c r="A2814" s="1">
        <v>45761</v>
      </c>
      <c r="B2814">
        <v>1.75</v>
      </c>
      <c r="C2814" s="1">
        <v>45761</v>
      </c>
      <c r="D2814">
        <v>1.68</v>
      </c>
      <c r="E2814" s="1">
        <v>45579</v>
      </c>
      <c r="F2814">
        <v>5</v>
      </c>
    </row>
    <row r="2815" spans="1:6" x14ac:dyDescent="0.25">
      <c r="A2815" s="1">
        <v>45762</v>
      </c>
      <c r="B2815">
        <v>1.73</v>
      </c>
      <c r="C2815" s="1">
        <v>45762</v>
      </c>
      <c r="D2815">
        <v>1.7269000000000001</v>
      </c>
      <c r="E2815" s="1">
        <v>45580</v>
      </c>
      <c r="F2815">
        <v>5</v>
      </c>
    </row>
    <row r="2816" spans="1:6" x14ac:dyDescent="0.25">
      <c r="A2816" s="1">
        <v>45763</v>
      </c>
      <c r="B2816">
        <v>1.74</v>
      </c>
      <c r="C2816" s="1">
        <v>45763</v>
      </c>
      <c r="D2816">
        <v>1.72</v>
      </c>
      <c r="E2816" s="1">
        <v>45581</v>
      </c>
      <c r="F2816">
        <v>5</v>
      </c>
    </row>
    <row r="2817" spans="1:6" x14ac:dyDescent="0.25">
      <c r="A2817" s="1">
        <v>45764</v>
      </c>
      <c r="B2817">
        <v>1.73</v>
      </c>
      <c r="C2817" s="1">
        <v>45764</v>
      </c>
      <c r="D2817">
        <v>1.66</v>
      </c>
      <c r="E2817" s="1">
        <v>45582</v>
      </c>
      <c r="F2817">
        <v>5</v>
      </c>
    </row>
    <row r="2818" spans="1:6" x14ac:dyDescent="0.25">
      <c r="A2818" s="1">
        <v>45765</v>
      </c>
      <c r="B2818">
        <v>1.72</v>
      </c>
      <c r="C2818" s="1">
        <v>45765</v>
      </c>
      <c r="D2818">
        <v>1.68</v>
      </c>
      <c r="E2818" s="1">
        <v>45583</v>
      </c>
      <c r="F2818">
        <v>5</v>
      </c>
    </row>
    <row r="2819" spans="1:6" x14ac:dyDescent="0.25">
      <c r="A2819" s="1">
        <v>45768</v>
      </c>
      <c r="B2819">
        <v>1.73</v>
      </c>
      <c r="C2819" s="1">
        <v>45768</v>
      </c>
      <c r="D2819">
        <v>1.73</v>
      </c>
      <c r="E2819" s="1">
        <v>45586</v>
      </c>
      <c r="F2819">
        <v>5</v>
      </c>
    </row>
    <row r="2820" spans="1:6" x14ac:dyDescent="0.25">
      <c r="A2820" s="1">
        <v>45769</v>
      </c>
      <c r="B2820">
        <v>1.73</v>
      </c>
      <c r="C2820" s="1">
        <v>45769</v>
      </c>
      <c r="D2820">
        <v>1.72</v>
      </c>
      <c r="E2820" s="1">
        <v>45587</v>
      </c>
      <c r="F2820">
        <v>5</v>
      </c>
    </row>
    <row r="2821" spans="1:6" x14ac:dyDescent="0.25">
      <c r="A2821" s="1">
        <v>45770</v>
      </c>
      <c r="B2821">
        <v>1.71</v>
      </c>
      <c r="C2821" s="1">
        <v>45770</v>
      </c>
      <c r="D2821">
        <v>1.65</v>
      </c>
      <c r="E2821" s="1">
        <v>45588</v>
      </c>
      <c r="F2821">
        <v>5</v>
      </c>
    </row>
    <row r="2822" spans="1:6" x14ac:dyDescent="0.25">
      <c r="A2822" s="1">
        <v>45771</v>
      </c>
      <c r="B2822">
        <v>1.8</v>
      </c>
      <c r="C2822" s="1">
        <v>45771</v>
      </c>
      <c r="D2822">
        <v>1.63</v>
      </c>
      <c r="E2822" s="1">
        <v>45589</v>
      </c>
      <c r="F2822">
        <v>5</v>
      </c>
    </row>
    <row r="2823" spans="1:6" x14ac:dyDescent="0.25">
      <c r="A2823" s="1">
        <v>45772</v>
      </c>
      <c r="B2823">
        <v>1.65</v>
      </c>
      <c r="C2823" s="1">
        <v>45772</v>
      </c>
      <c r="D2823">
        <v>1.59</v>
      </c>
      <c r="E2823" s="1">
        <v>45590</v>
      </c>
      <c r="F2823">
        <v>5</v>
      </c>
    </row>
    <row r="2824" spans="1:6" x14ac:dyDescent="0.25">
      <c r="A2824" s="1">
        <v>45774</v>
      </c>
      <c r="B2824">
        <v>1.7</v>
      </c>
      <c r="C2824" s="1">
        <v>45774</v>
      </c>
      <c r="D2824">
        <v>1.61</v>
      </c>
      <c r="E2824" s="1">
        <v>45593</v>
      </c>
      <c r="F2824">
        <v>5</v>
      </c>
    </row>
    <row r="2825" spans="1:6" x14ac:dyDescent="0.25">
      <c r="A2825" s="1">
        <v>45775</v>
      </c>
      <c r="B2825">
        <v>1.78</v>
      </c>
      <c r="C2825" s="1">
        <v>45775</v>
      </c>
      <c r="D2825">
        <v>1.62</v>
      </c>
      <c r="E2825" s="1">
        <v>45594</v>
      </c>
      <c r="F2825">
        <v>5</v>
      </c>
    </row>
    <row r="2826" spans="1:6" x14ac:dyDescent="0.25">
      <c r="A2826" s="1">
        <v>45776</v>
      </c>
      <c r="B2826">
        <v>1.8</v>
      </c>
      <c r="C2826" s="1">
        <v>45776</v>
      </c>
      <c r="D2826">
        <v>1.6</v>
      </c>
      <c r="E2826" s="1">
        <v>45595</v>
      </c>
      <c r="F2826">
        <v>5</v>
      </c>
    </row>
    <row r="2827" spans="1:6" x14ac:dyDescent="0.25">
      <c r="A2827" s="1">
        <v>45777</v>
      </c>
      <c r="B2827">
        <v>1.83</v>
      </c>
      <c r="C2827" s="1">
        <v>45777</v>
      </c>
      <c r="D2827">
        <v>1.85</v>
      </c>
      <c r="E2827" s="1">
        <v>45596</v>
      </c>
      <c r="F2827">
        <v>5</v>
      </c>
    </row>
    <row r="2828" spans="1:6" x14ac:dyDescent="0.25">
      <c r="A2828" s="1">
        <v>45783</v>
      </c>
      <c r="B2828">
        <v>1.76</v>
      </c>
      <c r="C2828" s="1">
        <v>45783</v>
      </c>
      <c r="D2828">
        <v>1.78</v>
      </c>
      <c r="E2828" s="1">
        <v>45597</v>
      </c>
      <c r="F2828">
        <v>5</v>
      </c>
    </row>
    <row r="2829" spans="1:6" x14ac:dyDescent="0.25">
      <c r="A2829" s="1">
        <v>45784</v>
      </c>
      <c r="B2829">
        <v>1.72</v>
      </c>
      <c r="C2829" s="1">
        <v>45784</v>
      </c>
      <c r="D2829">
        <v>1.7</v>
      </c>
      <c r="E2829" s="1">
        <v>45600</v>
      </c>
      <c r="F2829">
        <v>5</v>
      </c>
    </row>
    <row r="2830" spans="1:6" x14ac:dyDescent="0.25">
      <c r="A2830" s="1">
        <v>45785</v>
      </c>
      <c r="B2830">
        <v>1.65</v>
      </c>
      <c r="C2830" s="1">
        <v>45785</v>
      </c>
      <c r="D2830">
        <v>1.5891999999999999</v>
      </c>
      <c r="E2830" s="1">
        <v>45601</v>
      </c>
      <c r="F2830">
        <v>5</v>
      </c>
    </row>
    <row r="2831" spans="1:6" x14ac:dyDescent="0.25">
      <c r="A2831" s="1">
        <v>45786</v>
      </c>
      <c r="B2831">
        <v>1.6</v>
      </c>
      <c r="C2831" s="1">
        <v>45786</v>
      </c>
      <c r="D2831">
        <v>1.53</v>
      </c>
      <c r="E2831" s="1">
        <v>45602</v>
      </c>
      <c r="F2831">
        <v>5</v>
      </c>
    </row>
    <row r="2832" spans="1:6" x14ac:dyDescent="0.25">
      <c r="A2832" s="1">
        <v>45789</v>
      </c>
      <c r="B2832">
        <v>1.56</v>
      </c>
      <c r="C2832" s="1">
        <v>45789</v>
      </c>
      <c r="D2832">
        <v>1.47</v>
      </c>
      <c r="E2832" s="1">
        <v>45603</v>
      </c>
      <c r="F2832">
        <v>4.75</v>
      </c>
    </row>
    <row r="2833" spans="1:6" x14ac:dyDescent="0.25">
      <c r="A2833" s="1">
        <v>45790</v>
      </c>
      <c r="B2833">
        <v>1.53</v>
      </c>
      <c r="C2833" s="1">
        <v>45790</v>
      </c>
      <c r="D2833">
        <v>1.45</v>
      </c>
      <c r="E2833" s="1">
        <v>45604</v>
      </c>
      <c r="F2833">
        <v>4.75</v>
      </c>
    </row>
    <row r="2834" spans="1:6" x14ac:dyDescent="0.25">
      <c r="A2834" s="1">
        <v>45791</v>
      </c>
      <c r="B2834">
        <v>1.55</v>
      </c>
      <c r="C2834" s="1">
        <v>45791</v>
      </c>
      <c r="D2834">
        <v>1.45</v>
      </c>
      <c r="E2834" s="1">
        <v>45607</v>
      </c>
      <c r="F2834">
        <v>4.75</v>
      </c>
    </row>
    <row r="2835" spans="1:6" x14ac:dyDescent="0.25">
      <c r="A2835" s="1">
        <v>45792</v>
      </c>
      <c r="B2835">
        <v>1.55</v>
      </c>
      <c r="C2835" s="1">
        <v>45792</v>
      </c>
      <c r="D2835">
        <v>1.45</v>
      </c>
      <c r="E2835" s="1">
        <v>45608</v>
      </c>
      <c r="F2835">
        <v>4.75</v>
      </c>
    </row>
    <row r="2836" spans="1:6" x14ac:dyDescent="0.25">
      <c r="A2836" s="1">
        <v>45793</v>
      </c>
      <c r="B2836">
        <v>1.63</v>
      </c>
      <c r="C2836" s="1">
        <v>45793</v>
      </c>
      <c r="D2836">
        <v>1.68</v>
      </c>
      <c r="E2836" s="1">
        <v>45609</v>
      </c>
      <c r="F2836">
        <v>4.75</v>
      </c>
    </row>
    <row r="2837" spans="1:6" x14ac:dyDescent="0.25">
      <c r="A2837" s="1">
        <v>45796</v>
      </c>
      <c r="B2837">
        <v>1.65</v>
      </c>
      <c r="C2837" s="1">
        <v>45796</v>
      </c>
      <c r="D2837">
        <v>1.59</v>
      </c>
      <c r="E2837" s="1">
        <v>45610</v>
      </c>
      <c r="F2837">
        <v>4.75</v>
      </c>
    </row>
    <row r="2838" spans="1:6" x14ac:dyDescent="0.25">
      <c r="A2838" s="1">
        <v>45797</v>
      </c>
      <c r="B2838">
        <v>1.6</v>
      </c>
      <c r="C2838" s="1">
        <v>45797</v>
      </c>
      <c r="D2838">
        <v>1.56</v>
      </c>
      <c r="E2838" s="1">
        <v>45611</v>
      </c>
      <c r="F2838">
        <v>4.75</v>
      </c>
    </row>
    <row r="2839" spans="1:6" x14ac:dyDescent="0.25">
      <c r="A2839" s="1">
        <v>45798</v>
      </c>
      <c r="B2839">
        <v>1.59</v>
      </c>
      <c r="C2839" s="1">
        <v>45798</v>
      </c>
      <c r="D2839">
        <v>1.55</v>
      </c>
      <c r="E2839" s="1">
        <v>45614</v>
      </c>
      <c r="F2839">
        <v>4.75</v>
      </c>
    </row>
    <row r="2840" spans="1:6" x14ac:dyDescent="0.25">
      <c r="A2840" s="1">
        <v>45799</v>
      </c>
      <c r="B2840">
        <v>1.58</v>
      </c>
      <c r="C2840" s="1">
        <v>45799</v>
      </c>
      <c r="D2840">
        <v>1.53</v>
      </c>
      <c r="E2840" s="1">
        <v>45615</v>
      </c>
      <c r="F2840">
        <v>4.75</v>
      </c>
    </row>
    <row r="2841" spans="1:6" x14ac:dyDescent="0.25">
      <c r="A2841" s="1">
        <v>45800</v>
      </c>
      <c r="B2841">
        <v>1.63</v>
      </c>
      <c r="C2841" s="1">
        <v>45800</v>
      </c>
      <c r="D2841">
        <v>1.63</v>
      </c>
      <c r="E2841" s="1">
        <v>45616</v>
      </c>
      <c r="F2841">
        <v>4.75</v>
      </c>
    </row>
    <row r="2842" spans="1:6" x14ac:dyDescent="0.25">
      <c r="A2842" s="1">
        <v>45803</v>
      </c>
      <c r="B2842">
        <v>1.7</v>
      </c>
      <c r="C2842" s="1">
        <v>45803</v>
      </c>
      <c r="D2842">
        <v>1.56</v>
      </c>
      <c r="E2842" s="1">
        <v>45617</v>
      </c>
      <c r="F2842">
        <v>4.75</v>
      </c>
    </row>
    <row r="2843" spans="1:6" x14ac:dyDescent="0.25">
      <c r="A2843" s="1">
        <v>45804</v>
      </c>
      <c r="B2843">
        <v>1.7</v>
      </c>
      <c r="C2843" s="1">
        <v>45804</v>
      </c>
      <c r="D2843">
        <v>1.5</v>
      </c>
      <c r="E2843" s="1">
        <v>45618</v>
      </c>
      <c r="F2843">
        <v>4.75</v>
      </c>
    </row>
    <row r="2844" spans="1:6" x14ac:dyDescent="0.25">
      <c r="A2844" s="1">
        <v>45805</v>
      </c>
      <c r="B2844">
        <v>1.7</v>
      </c>
      <c r="C2844" s="1">
        <v>45805</v>
      </c>
      <c r="D2844">
        <v>1.46</v>
      </c>
      <c r="E2844" s="1">
        <v>45621</v>
      </c>
      <c r="F2844">
        <v>4.75</v>
      </c>
    </row>
    <row r="2845" spans="1:6" x14ac:dyDescent="0.25">
      <c r="A2845" s="1">
        <v>45806</v>
      </c>
      <c r="B2845">
        <v>1.75</v>
      </c>
      <c r="C2845" s="1">
        <v>45806</v>
      </c>
      <c r="D2845">
        <v>1.46</v>
      </c>
      <c r="E2845" s="1">
        <v>45622</v>
      </c>
      <c r="F2845">
        <v>4.75</v>
      </c>
    </row>
    <row r="2846" spans="1:6" x14ac:dyDescent="0.25">
      <c r="A2846" s="1">
        <v>45807</v>
      </c>
      <c r="B2846">
        <v>1.75</v>
      </c>
      <c r="C2846" s="1">
        <v>45807</v>
      </c>
      <c r="D2846">
        <v>1.6</v>
      </c>
      <c r="E2846" s="1">
        <v>45623</v>
      </c>
      <c r="F2846">
        <v>4.75</v>
      </c>
    </row>
    <row r="2847" spans="1:6" x14ac:dyDescent="0.25">
      <c r="A2847" s="1">
        <v>45811</v>
      </c>
      <c r="B2847">
        <v>1.59</v>
      </c>
      <c r="C2847" s="1">
        <v>45811</v>
      </c>
      <c r="D2847">
        <v>1.47</v>
      </c>
      <c r="E2847" s="1">
        <v>45624</v>
      </c>
      <c r="F2847">
        <v>4.75</v>
      </c>
    </row>
    <row r="2848" spans="1:6" x14ac:dyDescent="0.25">
      <c r="A2848" s="1">
        <v>45812</v>
      </c>
      <c r="B2848">
        <v>1.58</v>
      </c>
      <c r="C2848" s="1">
        <v>45812</v>
      </c>
      <c r="D2848">
        <v>1.47</v>
      </c>
      <c r="E2848" s="1">
        <v>45625</v>
      </c>
      <c r="F2848">
        <v>4.75</v>
      </c>
    </row>
    <row r="2849" spans="1:6" x14ac:dyDescent="0.25">
      <c r="A2849" s="1">
        <v>45813</v>
      </c>
      <c r="B2849">
        <v>1.57</v>
      </c>
      <c r="C2849" s="1">
        <v>45813</v>
      </c>
      <c r="D2849">
        <v>1.47</v>
      </c>
      <c r="E2849" s="1">
        <v>45628</v>
      </c>
      <c r="F2849">
        <v>4.75</v>
      </c>
    </row>
    <row r="2850" spans="1:6" x14ac:dyDescent="0.25">
      <c r="A2850" s="1">
        <v>45814</v>
      </c>
      <c r="B2850">
        <v>1.56</v>
      </c>
      <c r="C2850" s="1">
        <v>45814</v>
      </c>
      <c r="D2850">
        <v>1.4668000000000001</v>
      </c>
      <c r="E2850" s="1">
        <v>45629</v>
      </c>
      <c r="F2850">
        <v>4.75</v>
      </c>
    </row>
    <row r="2851" spans="1:6" x14ac:dyDescent="0.25">
      <c r="A2851" s="1">
        <v>45817</v>
      </c>
      <c r="B2851">
        <v>1.55</v>
      </c>
      <c r="C2851" s="1">
        <v>45817</v>
      </c>
      <c r="D2851">
        <v>1.42</v>
      </c>
      <c r="E2851" s="1">
        <v>45630</v>
      </c>
      <c r="F2851">
        <v>4.75</v>
      </c>
    </row>
    <row r="2852" spans="1:6" x14ac:dyDescent="0.25">
      <c r="A2852" s="1">
        <v>45818</v>
      </c>
      <c r="B2852">
        <v>1.55</v>
      </c>
      <c r="C2852" s="1">
        <v>45818</v>
      </c>
      <c r="D2852">
        <v>1.41</v>
      </c>
      <c r="E2852" s="1">
        <v>45631</v>
      </c>
      <c r="F2852">
        <v>4.75</v>
      </c>
    </row>
    <row r="2853" spans="1:6" x14ac:dyDescent="0.25">
      <c r="A2853" s="1">
        <v>45819</v>
      </c>
      <c r="B2853">
        <v>1.56</v>
      </c>
      <c r="C2853" s="1">
        <v>45819</v>
      </c>
      <c r="D2853">
        <v>1.43</v>
      </c>
      <c r="E2853" s="1">
        <v>45632</v>
      </c>
      <c r="F2853">
        <v>4.75</v>
      </c>
    </row>
    <row r="2854" spans="1:6" x14ac:dyDescent="0.25">
      <c r="A2854" s="1">
        <v>45820</v>
      </c>
      <c r="B2854">
        <v>1.59</v>
      </c>
      <c r="C2854" s="1">
        <v>45820</v>
      </c>
      <c r="D2854">
        <v>1.45</v>
      </c>
      <c r="E2854" s="1">
        <v>45635</v>
      </c>
      <c r="F2854">
        <v>4.75</v>
      </c>
    </row>
    <row r="2855" spans="1:6" x14ac:dyDescent="0.25">
      <c r="A2855" s="1">
        <v>45821</v>
      </c>
      <c r="B2855">
        <v>1.59</v>
      </c>
      <c r="C2855" s="1">
        <v>45821</v>
      </c>
      <c r="D2855">
        <v>1.48</v>
      </c>
      <c r="E2855" s="1">
        <v>45636</v>
      </c>
      <c r="F2855">
        <v>4.75</v>
      </c>
    </row>
    <row r="2856" spans="1:6" x14ac:dyDescent="0.25">
      <c r="A2856" s="1">
        <v>45824</v>
      </c>
      <c r="B2856">
        <v>1.57</v>
      </c>
      <c r="C2856" s="1">
        <v>45824</v>
      </c>
      <c r="D2856">
        <v>1.46</v>
      </c>
      <c r="E2856" s="1">
        <v>45637</v>
      </c>
      <c r="F2856">
        <v>4.75</v>
      </c>
    </row>
    <row r="2857" spans="1:6" x14ac:dyDescent="0.25">
      <c r="A2857" s="1">
        <v>45825</v>
      </c>
      <c r="B2857">
        <v>1.55</v>
      </c>
      <c r="C2857" s="1">
        <v>45825</v>
      </c>
      <c r="D2857">
        <v>1.45</v>
      </c>
      <c r="E2857" s="1">
        <v>45638</v>
      </c>
      <c r="F2857">
        <v>4.75</v>
      </c>
    </row>
    <row r="2858" spans="1:6" x14ac:dyDescent="0.25">
      <c r="A2858" s="1">
        <v>45826</v>
      </c>
      <c r="B2858">
        <v>1.56</v>
      </c>
      <c r="C2858" s="1">
        <v>45826</v>
      </c>
      <c r="D2858">
        <v>1.43</v>
      </c>
      <c r="E2858" s="1">
        <v>45639</v>
      </c>
      <c r="F2858">
        <v>4.75</v>
      </c>
    </row>
    <row r="2859" spans="1:6" x14ac:dyDescent="0.25">
      <c r="A2859" s="1">
        <v>45827</v>
      </c>
      <c r="B2859">
        <v>1.5679000000000001</v>
      </c>
      <c r="C2859" s="1">
        <v>45827</v>
      </c>
      <c r="D2859">
        <v>1.45</v>
      </c>
      <c r="E2859" s="1">
        <v>45642</v>
      </c>
      <c r="F2859">
        <v>4.75</v>
      </c>
    </row>
    <row r="2860" spans="1:6" x14ac:dyDescent="0.25">
      <c r="A2860" s="1">
        <v>45828</v>
      </c>
      <c r="B2860">
        <v>1.6</v>
      </c>
      <c r="C2860" s="1">
        <v>45828</v>
      </c>
      <c r="D2860">
        <v>1.4706999999999999</v>
      </c>
      <c r="E2860" s="1">
        <v>45643</v>
      </c>
      <c r="F2860">
        <v>4.75</v>
      </c>
    </row>
    <row r="2861" spans="1:6" x14ac:dyDescent="0.25">
      <c r="A2861" s="1">
        <v>45831</v>
      </c>
      <c r="B2861">
        <v>1.57</v>
      </c>
      <c r="C2861" s="1">
        <v>45831</v>
      </c>
      <c r="D2861">
        <v>1.45</v>
      </c>
      <c r="E2861" s="1">
        <v>45644</v>
      </c>
      <c r="F2861">
        <v>4.5</v>
      </c>
    </row>
    <row r="2862" spans="1:6" x14ac:dyDescent="0.25">
      <c r="A2862" s="1">
        <v>45832</v>
      </c>
      <c r="B2862">
        <v>1.85</v>
      </c>
      <c r="C2862" s="1">
        <v>45832</v>
      </c>
      <c r="D2862">
        <v>1.44</v>
      </c>
      <c r="E2862" s="1">
        <v>45645</v>
      </c>
      <c r="F2862">
        <v>4.5</v>
      </c>
    </row>
    <row r="2863" spans="1:6" x14ac:dyDescent="0.25">
      <c r="A2863" s="1">
        <v>45833</v>
      </c>
      <c r="B2863">
        <v>1.83</v>
      </c>
      <c r="C2863" s="1">
        <v>45833</v>
      </c>
      <c r="D2863">
        <v>1.44</v>
      </c>
      <c r="E2863" s="1">
        <v>45646</v>
      </c>
      <c r="F2863">
        <v>4.5</v>
      </c>
    </row>
    <row r="2864" spans="1:6" x14ac:dyDescent="0.25">
      <c r="A2864" s="1">
        <v>45834</v>
      </c>
      <c r="B2864">
        <v>1.84</v>
      </c>
      <c r="C2864" s="1">
        <v>45834</v>
      </c>
      <c r="D2864">
        <v>1.44</v>
      </c>
      <c r="E2864" s="1">
        <v>45649</v>
      </c>
      <c r="F2864">
        <v>4.5</v>
      </c>
    </row>
    <row r="2865" spans="1:6" x14ac:dyDescent="0.25">
      <c r="A2865" s="1">
        <v>45835</v>
      </c>
      <c r="B2865">
        <v>1.85</v>
      </c>
      <c r="C2865" s="1">
        <v>45835</v>
      </c>
      <c r="D2865">
        <v>1.44</v>
      </c>
      <c r="E2865" s="1">
        <v>45650</v>
      </c>
      <c r="F2865">
        <v>4.5</v>
      </c>
    </row>
    <row r="2866" spans="1:6" x14ac:dyDescent="0.25">
      <c r="A2866" s="1">
        <v>45838</v>
      </c>
      <c r="B2866">
        <v>1.95</v>
      </c>
      <c r="C2866" s="1">
        <v>45838</v>
      </c>
      <c r="D2866">
        <v>2</v>
      </c>
      <c r="E2866" s="1">
        <v>45651</v>
      </c>
      <c r="F2866">
        <v>4.5</v>
      </c>
    </row>
    <row r="2867" spans="1:6" x14ac:dyDescent="0.25">
      <c r="A2867" s="1">
        <v>45839</v>
      </c>
      <c r="B2867">
        <v>1.6035999999999999</v>
      </c>
      <c r="C2867" s="1">
        <v>45839</v>
      </c>
      <c r="D2867">
        <v>1.45</v>
      </c>
      <c r="E2867" s="1">
        <v>45652</v>
      </c>
      <c r="F2867">
        <v>4.5</v>
      </c>
    </row>
    <row r="2868" spans="1:6" x14ac:dyDescent="0.25">
      <c r="A2868" s="1">
        <v>45840</v>
      </c>
      <c r="B2868">
        <v>1.58</v>
      </c>
      <c r="C2868" s="1">
        <v>45840</v>
      </c>
      <c r="D2868">
        <v>1.44</v>
      </c>
      <c r="E2868" s="1">
        <v>45653</v>
      </c>
      <c r="F2868">
        <v>4.5</v>
      </c>
    </row>
    <row r="2869" spans="1:6" x14ac:dyDescent="0.25">
      <c r="A2869" s="1">
        <v>45841</v>
      </c>
      <c r="B2869">
        <v>1.52</v>
      </c>
      <c r="C2869" s="1">
        <v>45841</v>
      </c>
      <c r="D2869">
        <v>1.38</v>
      </c>
      <c r="E2869" s="1">
        <v>45656</v>
      </c>
      <c r="F2869">
        <v>4.5</v>
      </c>
    </row>
    <row r="2870" spans="1:6" x14ac:dyDescent="0.25">
      <c r="A2870" s="1">
        <v>45842</v>
      </c>
      <c r="B2870">
        <v>1.5</v>
      </c>
      <c r="C2870" s="1">
        <v>45842</v>
      </c>
      <c r="D2870">
        <v>1.37</v>
      </c>
      <c r="E2870" s="1">
        <v>45657</v>
      </c>
      <c r="F2870">
        <v>4.5</v>
      </c>
    </row>
    <row r="2871" spans="1:6" x14ac:dyDescent="0.25">
      <c r="A2871" s="1">
        <v>45845</v>
      </c>
      <c r="B2871">
        <v>1.5</v>
      </c>
      <c r="C2871" s="1">
        <v>45845</v>
      </c>
      <c r="D2871">
        <v>1.36</v>
      </c>
      <c r="E2871" s="1">
        <v>45658</v>
      </c>
      <c r="F2871">
        <v>4.5</v>
      </c>
    </row>
    <row r="2872" spans="1:6" x14ac:dyDescent="0.25">
      <c r="A2872" s="1">
        <v>45846</v>
      </c>
      <c r="B2872">
        <v>1.51</v>
      </c>
      <c r="C2872" s="1">
        <v>45846</v>
      </c>
      <c r="D2872">
        <v>1.37</v>
      </c>
      <c r="E2872" s="1">
        <v>45659</v>
      </c>
      <c r="F2872">
        <v>4.5</v>
      </c>
    </row>
    <row r="2873" spans="1:6" x14ac:dyDescent="0.25">
      <c r="A2873" s="1">
        <v>45847</v>
      </c>
      <c r="B2873">
        <v>1.51</v>
      </c>
      <c r="C2873" s="1">
        <v>45847</v>
      </c>
      <c r="D2873">
        <v>1.38</v>
      </c>
      <c r="E2873" s="1">
        <v>45660</v>
      </c>
      <c r="F2873">
        <v>4.5</v>
      </c>
    </row>
    <row r="2874" spans="1:6" x14ac:dyDescent="0.25">
      <c r="A2874" s="1">
        <v>45848</v>
      </c>
      <c r="B2874">
        <v>1.53</v>
      </c>
      <c r="C2874" s="1">
        <v>45848</v>
      </c>
      <c r="D2874">
        <v>1.4</v>
      </c>
      <c r="E2874" s="1">
        <v>45663</v>
      </c>
      <c r="F2874">
        <v>4.5</v>
      </c>
    </row>
    <row r="2875" spans="1:6" x14ac:dyDescent="0.25">
      <c r="A2875" s="1">
        <v>45849</v>
      </c>
      <c r="B2875">
        <v>1.52</v>
      </c>
      <c r="C2875" s="1">
        <v>45849</v>
      </c>
      <c r="D2875">
        <v>1.43</v>
      </c>
      <c r="E2875" s="1">
        <v>45664</v>
      </c>
      <c r="F2875">
        <v>4.5</v>
      </c>
    </row>
    <row r="2876" spans="1:6" x14ac:dyDescent="0.25">
      <c r="A2876" s="1">
        <v>45852</v>
      </c>
      <c r="B2876">
        <v>1.55</v>
      </c>
      <c r="C2876" s="1">
        <v>45852</v>
      </c>
      <c r="D2876">
        <v>1.5</v>
      </c>
      <c r="E2876" s="1">
        <v>45665</v>
      </c>
      <c r="F2876">
        <v>4.5</v>
      </c>
    </row>
    <row r="2877" spans="1:6" x14ac:dyDescent="0.25">
      <c r="A2877" s="1">
        <v>45853</v>
      </c>
      <c r="B2877">
        <v>1.6</v>
      </c>
      <c r="C2877" s="1">
        <v>45853</v>
      </c>
      <c r="D2877">
        <v>1.6</v>
      </c>
      <c r="E2877" s="1">
        <v>45666</v>
      </c>
      <c r="F2877">
        <v>4.5</v>
      </c>
    </row>
    <row r="2878" spans="1:6" x14ac:dyDescent="0.25">
      <c r="A2878" s="1">
        <v>45854</v>
      </c>
      <c r="B2878">
        <v>1.54</v>
      </c>
      <c r="C2878" s="1">
        <v>45854</v>
      </c>
      <c r="D2878">
        <v>1.53</v>
      </c>
      <c r="E2878" s="1">
        <v>45667</v>
      </c>
      <c r="F2878">
        <v>4.5</v>
      </c>
    </row>
    <row r="2879" spans="1:6" x14ac:dyDescent="0.25">
      <c r="A2879" s="1">
        <v>45855</v>
      </c>
      <c r="B2879">
        <v>1.54</v>
      </c>
      <c r="C2879" s="1">
        <v>45855</v>
      </c>
      <c r="D2879">
        <v>1.54</v>
      </c>
      <c r="E2879" s="1">
        <v>45670</v>
      </c>
      <c r="F2879">
        <v>4.5</v>
      </c>
    </row>
    <row r="2880" spans="1:6" x14ac:dyDescent="0.25">
      <c r="A2880" s="1">
        <v>45856</v>
      </c>
      <c r="B2880">
        <v>1.5</v>
      </c>
      <c r="C2880" s="1">
        <v>45856</v>
      </c>
      <c r="D2880">
        <v>1.5</v>
      </c>
      <c r="E2880" s="1">
        <v>45671</v>
      </c>
      <c r="F2880">
        <v>4.5</v>
      </c>
    </row>
    <row r="2881" spans="1:6" x14ac:dyDescent="0.25">
      <c r="A2881" s="1">
        <v>45859</v>
      </c>
      <c r="B2881">
        <v>1.5</v>
      </c>
      <c r="C2881" s="1">
        <v>45859</v>
      </c>
      <c r="D2881">
        <v>1.41</v>
      </c>
      <c r="E2881" s="1">
        <v>45672</v>
      </c>
      <c r="F2881">
        <v>4.5</v>
      </c>
    </row>
    <row r="2882" spans="1:6" x14ac:dyDescent="0.25">
      <c r="A2882" s="1">
        <v>45860</v>
      </c>
      <c r="B2882">
        <v>1.48</v>
      </c>
      <c r="C2882" s="1">
        <v>45860</v>
      </c>
      <c r="D2882">
        <v>1.37</v>
      </c>
      <c r="E2882" s="1">
        <v>45673</v>
      </c>
      <c r="F2882">
        <v>4.5</v>
      </c>
    </row>
    <row r="2883" spans="1:6" x14ac:dyDescent="0.25">
      <c r="A2883" s="1">
        <v>45861</v>
      </c>
      <c r="B2883">
        <v>1.5</v>
      </c>
      <c r="C2883" s="1">
        <v>45861</v>
      </c>
      <c r="D2883">
        <v>1.45</v>
      </c>
      <c r="E2883" s="1">
        <v>45674</v>
      </c>
      <c r="F2883">
        <v>4.5</v>
      </c>
    </row>
    <row r="2884" spans="1:6" x14ac:dyDescent="0.25">
      <c r="A2884" s="1">
        <v>45862</v>
      </c>
      <c r="B2884">
        <v>1.6</v>
      </c>
      <c r="C2884" s="1">
        <v>45862</v>
      </c>
      <c r="D2884">
        <v>1.73</v>
      </c>
      <c r="E2884" s="1">
        <v>45677</v>
      </c>
      <c r="F2884">
        <v>4.5</v>
      </c>
    </row>
    <row r="2885" spans="1:6" x14ac:dyDescent="0.25">
      <c r="A2885" s="1">
        <v>45863</v>
      </c>
      <c r="B2885">
        <v>1.75</v>
      </c>
      <c r="C2885" s="1">
        <v>45863</v>
      </c>
      <c r="D2885">
        <v>1.55</v>
      </c>
      <c r="E2885" s="1">
        <v>45678</v>
      </c>
      <c r="F2885">
        <v>4.5</v>
      </c>
    </row>
    <row r="2886" spans="1:6" x14ac:dyDescent="0.25">
      <c r="A2886" s="1">
        <v>45866</v>
      </c>
      <c r="B2886">
        <v>1.64</v>
      </c>
      <c r="C2886" s="1">
        <v>45866</v>
      </c>
      <c r="D2886">
        <v>1.5</v>
      </c>
      <c r="E2886" s="1">
        <v>45679</v>
      </c>
      <c r="F2886">
        <v>4.5</v>
      </c>
    </row>
    <row r="2887" spans="1:6" x14ac:dyDescent="0.25">
      <c r="A2887" s="1">
        <v>45867</v>
      </c>
      <c r="B2887">
        <v>1.62</v>
      </c>
      <c r="C2887" s="1">
        <v>45867</v>
      </c>
      <c r="D2887">
        <v>1.4</v>
      </c>
      <c r="E2887" s="1">
        <v>45680</v>
      </c>
      <c r="F2887">
        <v>4.5</v>
      </c>
    </row>
    <row r="2888" spans="1:6" x14ac:dyDescent="0.25">
      <c r="A2888" s="1">
        <v>45868</v>
      </c>
      <c r="B2888">
        <v>1.63</v>
      </c>
      <c r="C2888" s="1">
        <v>45868</v>
      </c>
      <c r="D2888">
        <v>1.36</v>
      </c>
      <c r="E2888" s="1">
        <v>45681</v>
      </c>
      <c r="F2888">
        <v>4.5</v>
      </c>
    </row>
    <row r="2889" spans="1:6" x14ac:dyDescent="0.25">
      <c r="A2889" s="1">
        <v>45869</v>
      </c>
      <c r="B2889">
        <v>1.6</v>
      </c>
      <c r="C2889" s="1">
        <v>45869</v>
      </c>
      <c r="D2889">
        <v>1.65</v>
      </c>
      <c r="E2889" s="1">
        <v>45684</v>
      </c>
      <c r="F2889">
        <v>4.5</v>
      </c>
    </row>
    <row r="2890" spans="1:6" x14ac:dyDescent="0.25">
      <c r="A2890" s="1">
        <v>45870</v>
      </c>
      <c r="B2890">
        <v>1.5</v>
      </c>
      <c r="C2890" s="1">
        <v>45870</v>
      </c>
      <c r="D2890">
        <v>1.37</v>
      </c>
      <c r="E2890" s="1">
        <v>45685</v>
      </c>
      <c r="F2890">
        <v>4.5</v>
      </c>
    </row>
    <row r="2891" spans="1:6" x14ac:dyDescent="0.25">
      <c r="A2891" s="1">
        <v>45873</v>
      </c>
      <c r="B2891">
        <v>1.48</v>
      </c>
      <c r="C2891" s="1">
        <v>45873</v>
      </c>
      <c r="D2891">
        <v>1.35</v>
      </c>
      <c r="E2891" s="1">
        <v>45686</v>
      </c>
      <c r="F2891">
        <v>4.5</v>
      </c>
    </row>
    <row r="2892" spans="1:6" x14ac:dyDescent="0.25">
      <c r="A2892" s="1">
        <v>45874</v>
      </c>
      <c r="B2892">
        <v>1.47</v>
      </c>
      <c r="C2892" s="1">
        <v>45874</v>
      </c>
      <c r="D2892">
        <v>1.35</v>
      </c>
      <c r="E2892" s="1">
        <v>45687</v>
      </c>
      <c r="F2892">
        <v>4.5</v>
      </c>
    </row>
    <row r="2893" spans="1:6" x14ac:dyDescent="0.25">
      <c r="A2893" s="1">
        <v>45875</v>
      </c>
      <c r="B2893">
        <v>1.48</v>
      </c>
      <c r="C2893" s="1">
        <v>45875</v>
      </c>
      <c r="D2893">
        <v>1.35</v>
      </c>
      <c r="E2893" s="1">
        <v>45688</v>
      </c>
      <c r="F2893">
        <v>4.5</v>
      </c>
    </row>
    <row r="2894" spans="1:6" x14ac:dyDescent="0.25">
      <c r="A2894" s="1">
        <v>45876</v>
      </c>
      <c r="B2894">
        <v>1.49</v>
      </c>
      <c r="C2894" s="1">
        <v>45876</v>
      </c>
      <c r="D2894">
        <v>1.36</v>
      </c>
      <c r="E2894" s="1">
        <v>45691</v>
      </c>
      <c r="F2894">
        <v>4.5</v>
      </c>
    </row>
    <row r="2895" spans="1:6" x14ac:dyDescent="0.25">
      <c r="A2895" s="1">
        <v>45877</v>
      </c>
      <c r="B2895">
        <v>1.46</v>
      </c>
      <c r="C2895" s="1">
        <v>45877</v>
      </c>
      <c r="D2895">
        <v>1.36</v>
      </c>
      <c r="E2895" s="1">
        <v>45692</v>
      </c>
      <c r="F2895">
        <v>4.5</v>
      </c>
    </row>
    <row r="2896" spans="1:6" x14ac:dyDescent="0.25">
      <c r="A2896" s="1">
        <v>45880</v>
      </c>
      <c r="B2896">
        <v>1.46</v>
      </c>
      <c r="C2896" s="1">
        <v>45880</v>
      </c>
      <c r="D2896">
        <v>1.35</v>
      </c>
      <c r="E2896" s="1">
        <v>45693</v>
      </c>
      <c r="F2896">
        <v>4.5</v>
      </c>
    </row>
    <row r="2897" spans="1:6" x14ac:dyDescent="0.25">
      <c r="A2897" s="1">
        <v>45881</v>
      </c>
      <c r="B2897">
        <v>1.46</v>
      </c>
      <c r="C2897" s="1">
        <v>45881</v>
      </c>
      <c r="D2897">
        <v>1.36</v>
      </c>
      <c r="E2897" s="1">
        <v>45694</v>
      </c>
      <c r="F2897">
        <v>4.5</v>
      </c>
    </row>
    <row r="2898" spans="1:6" x14ac:dyDescent="0.25">
      <c r="A2898" s="1">
        <v>45882</v>
      </c>
      <c r="B2898">
        <v>1.48</v>
      </c>
      <c r="C2898" s="1">
        <v>45882</v>
      </c>
      <c r="D2898">
        <v>1.36</v>
      </c>
      <c r="E2898" s="1">
        <v>45695</v>
      </c>
      <c r="F2898">
        <v>4.5</v>
      </c>
    </row>
    <row r="2899" spans="1:6" x14ac:dyDescent="0.25">
      <c r="A2899" s="1">
        <v>45883</v>
      </c>
      <c r="B2899">
        <v>1.48</v>
      </c>
      <c r="C2899" s="1">
        <v>45883</v>
      </c>
      <c r="D2899">
        <v>1.36</v>
      </c>
      <c r="E2899" s="1">
        <v>45698</v>
      </c>
      <c r="F2899">
        <v>4.5</v>
      </c>
    </row>
    <row r="2900" spans="1:6" x14ac:dyDescent="0.25">
      <c r="A2900" s="1">
        <v>45884</v>
      </c>
      <c r="B2900">
        <v>1.49</v>
      </c>
      <c r="C2900" s="1">
        <v>45884</v>
      </c>
      <c r="D2900">
        <v>1.46</v>
      </c>
      <c r="E2900" s="1">
        <v>45699</v>
      </c>
      <c r="F2900">
        <v>4.5</v>
      </c>
    </row>
    <row r="2901" spans="1:6" x14ac:dyDescent="0.25">
      <c r="A2901" s="1">
        <v>45887</v>
      </c>
      <c r="B2901">
        <v>1.5</v>
      </c>
      <c r="C2901" s="1">
        <v>45887</v>
      </c>
      <c r="D2901">
        <v>1.52</v>
      </c>
      <c r="E2901" s="1">
        <v>45700</v>
      </c>
      <c r="F2901">
        <v>4.5</v>
      </c>
    </row>
    <row r="2902" spans="1:6" x14ac:dyDescent="0.25">
      <c r="A2902" s="1">
        <v>45888</v>
      </c>
      <c r="B2902">
        <v>1.57</v>
      </c>
      <c r="C2902" s="1">
        <v>45888</v>
      </c>
      <c r="D2902">
        <v>1.57</v>
      </c>
      <c r="E2902" s="1">
        <v>45701</v>
      </c>
      <c r="F2902">
        <v>4.5</v>
      </c>
    </row>
    <row r="2903" spans="1:6" x14ac:dyDescent="0.25">
      <c r="A2903" s="1">
        <v>45889</v>
      </c>
      <c r="B2903">
        <v>1.58</v>
      </c>
      <c r="C2903" s="1">
        <v>45889</v>
      </c>
      <c r="D2903">
        <v>1.59</v>
      </c>
      <c r="E2903" s="1">
        <v>45702</v>
      </c>
      <c r="F2903">
        <v>4.5</v>
      </c>
    </row>
    <row r="2904" spans="1:6" x14ac:dyDescent="0.25">
      <c r="A2904" s="1">
        <v>45890</v>
      </c>
      <c r="B2904">
        <v>1.55</v>
      </c>
      <c r="C2904" s="1">
        <v>45890</v>
      </c>
      <c r="D2904">
        <v>1.54</v>
      </c>
      <c r="E2904" s="1">
        <v>45705</v>
      </c>
      <c r="F2904">
        <v>4.5</v>
      </c>
    </row>
    <row r="2905" spans="1:6" x14ac:dyDescent="0.25">
      <c r="A2905" s="1">
        <v>45891</v>
      </c>
      <c r="B2905">
        <v>1.5</v>
      </c>
      <c r="C2905" s="1">
        <v>45891</v>
      </c>
      <c r="D2905">
        <v>1.46</v>
      </c>
      <c r="E2905" s="1">
        <v>45706</v>
      </c>
      <c r="F2905">
        <v>4.5</v>
      </c>
    </row>
    <row r="2906" spans="1:6" x14ac:dyDescent="0.25">
      <c r="A2906" s="1">
        <v>45894</v>
      </c>
      <c r="B2906">
        <v>1.58</v>
      </c>
      <c r="C2906" s="1">
        <v>45894</v>
      </c>
      <c r="D2906">
        <v>1.41</v>
      </c>
      <c r="E2906" s="1">
        <v>45707</v>
      </c>
      <c r="F2906">
        <v>4.5</v>
      </c>
    </row>
    <row r="2907" spans="1:6" x14ac:dyDescent="0.25">
      <c r="A2907" s="1">
        <v>45895</v>
      </c>
      <c r="B2907">
        <v>1.53</v>
      </c>
      <c r="C2907" s="1">
        <v>45895</v>
      </c>
      <c r="D2907">
        <v>1.38</v>
      </c>
      <c r="E2907" s="1">
        <v>45708</v>
      </c>
      <c r="F2907">
        <v>4.5</v>
      </c>
    </row>
    <row r="2908" spans="1:6" x14ac:dyDescent="0.25">
      <c r="A2908" s="1">
        <v>45896</v>
      </c>
      <c r="B2908">
        <v>1.54</v>
      </c>
      <c r="C2908" s="1">
        <v>45896</v>
      </c>
      <c r="D2908">
        <v>1.37</v>
      </c>
      <c r="E2908" s="1">
        <v>45709</v>
      </c>
      <c r="F2908">
        <v>4.5</v>
      </c>
    </row>
    <row r="2909" spans="1:6" x14ac:dyDescent="0.25">
      <c r="A2909" s="1">
        <v>45897</v>
      </c>
      <c r="B2909">
        <v>1.57</v>
      </c>
      <c r="C2909" s="1">
        <v>45897</v>
      </c>
      <c r="D2909">
        <v>1.37</v>
      </c>
      <c r="E2909" s="1">
        <v>45712</v>
      </c>
      <c r="F2909">
        <v>4.5</v>
      </c>
    </row>
    <row r="2910" spans="1:6" x14ac:dyDescent="0.25">
      <c r="A2910" s="1">
        <v>45898</v>
      </c>
      <c r="B2910">
        <v>1.52</v>
      </c>
      <c r="C2910" s="1">
        <v>45898</v>
      </c>
      <c r="D2910">
        <v>1.46</v>
      </c>
      <c r="E2910" s="1">
        <v>45713</v>
      </c>
      <c r="F2910">
        <v>4.5</v>
      </c>
    </row>
    <row r="2911" spans="1:6" x14ac:dyDescent="0.25">
      <c r="A2911" s="1">
        <v>45901</v>
      </c>
      <c r="B2911">
        <v>1.47</v>
      </c>
      <c r="C2911" s="1">
        <v>45901</v>
      </c>
      <c r="D2911">
        <v>1.37</v>
      </c>
      <c r="E2911" s="1">
        <v>45714</v>
      </c>
      <c r="F2911">
        <v>4.5</v>
      </c>
    </row>
    <row r="2912" spans="1:6" x14ac:dyDescent="0.25">
      <c r="A2912" s="1">
        <v>45902</v>
      </c>
      <c r="B2912">
        <v>1.46</v>
      </c>
      <c r="C2912" s="1">
        <v>45902</v>
      </c>
      <c r="D2912">
        <v>1.36</v>
      </c>
      <c r="E2912" s="1">
        <v>45715</v>
      </c>
      <c r="F2912">
        <v>4.5</v>
      </c>
    </row>
    <row r="2913" spans="1:6" x14ac:dyDescent="0.25">
      <c r="A2913" s="1">
        <v>45903</v>
      </c>
      <c r="B2913">
        <v>1.47</v>
      </c>
      <c r="C2913" s="1">
        <v>45903</v>
      </c>
      <c r="D2913">
        <v>1.37</v>
      </c>
      <c r="E2913" s="1">
        <v>45716</v>
      </c>
      <c r="F2913">
        <v>4.5</v>
      </c>
    </row>
    <row r="2914" spans="1:6" x14ac:dyDescent="0.25">
      <c r="A2914" s="1">
        <v>45904</v>
      </c>
      <c r="B2914">
        <v>1.46</v>
      </c>
      <c r="C2914" s="1">
        <v>45904</v>
      </c>
      <c r="D2914">
        <v>1.3697999999999999</v>
      </c>
      <c r="E2914" s="1">
        <v>45719</v>
      </c>
      <c r="F2914">
        <v>4.5</v>
      </c>
    </row>
    <row r="2915" spans="1:6" x14ac:dyDescent="0.25">
      <c r="A2915" s="1">
        <v>45905</v>
      </c>
      <c r="B2915">
        <v>1.46</v>
      </c>
      <c r="C2915" s="1">
        <v>45905</v>
      </c>
      <c r="D2915">
        <v>1.37</v>
      </c>
      <c r="E2915" s="1">
        <v>45720</v>
      </c>
      <c r="F2915">
        <v>4.5</v>
      </c>
    </row>
    <row r="2916" spans="1:6" x14ac:dyDescent="0.25">
      <c r="A2916" s="1">
        <v>45908</v>
      </c>
      <c r="B2916">
        <v>1.48</v>
      </c>
      <c r="C2916" s="1">
        <v>45908</v>
      </c>
      <c r="D2916">
        <v>1.43</v>
      </c>
      <c r="E2916" s="1">
        <v>45721</v>
      </c>
      <c r="F2916">
        <v>4.5</v>
      </c>
    </row>
    <row r="2917" spans="1:6" x14ac:dyDescent="0.25">
      <c r="A2917" s="1">
        <v>45909</v>
      </c>
      <c r="B2917">
        <v>1.49</v>
      </c>
      <c r="C2917" s="1">
        <v>45909</v>
      </c>
      <c r="D2917">
        <v>1.48</v>
      </c>
      <c r="E2917" s="1">
        <v>45722</v>
      </c>
      <c r="F2917">
        <v>4.5</v>
      </c>
    </row>
    <row r="2918" spans="1:6" x14ac:dyDescent="0.25">
      <c r="A2918" s="1">
        <v>45910</v>
      </c>
      <c r="B2918">
        <v>1.5</v>
      </c>
      <c r="C2918" s="1">
        <v>45910</v>
      </c>
      <c r="D2918">
        <v>1.47</v>
      </c>
      <c r="E2918" s="1">
        <v>45723</v>
      </c>
      <c r="F2918">
        <v>4.5</v>
      </c>
    </row>
    <row r="2919" spans="1:6" x14ac:dyDescent="0.25">
      <c r="A2919" s="1">
        <v>45911</v>
      </c>
      <c r="B2919">
        <v>1.49</v>
      </c>
      <c r="C2919" s="1">
        <v>45911</v>
      </c>
      <c r="D2919">
        <v>1.43</v>
      </c>
      <c r="E2919" s="1">
        <v>45726</v>
      </c>
      <c r="F2919">
        <v>4.5</v>
      </c>
    </row>
    <row r="2920" spans="1:6" x14ac:dyDescent="0.25">
      <c r="A2920" s="1">
        <v>45912</v>
      </c>
      <c r="B2920">
        <v>1.46</v>
      </c>
      <c r="C2920" s="1">
        <v>45912</v>
      </c>
      <c r="D2920">
        <v>1.41</v>
      </c>
      <c r="E2920" s="1">
        <v>45727</v>
      </c>
      <c r="F2920">
        <v>4.5</v>
      </c>
    </row>
    <row r="2921" spans="1:6" x14ac:dyDescent="0.25">
      <c r="A2921" s="1">
        <v>45915</v>
      </c>
      <c r="B2921">
        <v>1.49</v>
      </c>
      <c r="C2921" s="1">
        <v>45915</v>
      </c>
      <c r="D2921">
        <v>1.46</v>
      </c>
      <c r="E2921" s="1">
        <v>45728</v>
      </c>
      <c r="F2921">
        <v>4.5</v>
      </c>
    </row>
    <row r="2922" spans="1:6" x14ac:dyDescent="0.25">
      <c r="A2922" s="1">
        <v>45916</v>
      </c>
      <c r="B2922">
        <v>1.5</v>
      </c>
      <c r="C2922" s="1">
        <v>45916</v>
      </c>
      <c r="D2922">
        <v>1.49</v>
      </c>
      <c r="E2922" s="1">
        <v>45729</v>
      </c>
      <c r="F2922">
        <v>4.5</v>
      </c>
    </row>
    <row r="2923" spans="1:6" x14ac:dyDescent="0.25">
      <c r="A2923" s="1">
        <v>45917</v>
      </c>
      <c r="B2923">
        <v>1.56</v>
      </c>
      <c r="C2923" s="1">
        <v>45917</v>
      </c>
      <c r="D2923">
        <v>1.58</v>
      </c>
      <c r="E2923" s="1">
        <v>45730</v>
      </c>
      <c r="F2923">
        <v>4.5</v>
      </c>
    </row>
    <row r="2924" spans="1:6" x14ac:dyDescent="0.25">
      <c r="A2924" s="1">
        <v>45918</v>
      </c>
      <c r="B2924">
        <v>1.56</v>
      </c>
      <c r="C2924" s="1">
        <v>45918</v>
      </c>
      <c r="D2924">
        <v>1.61</v>
      </c>
      <c r="E2924" s="1">
        <v>45733</v>
      </c>
      <c r="F2924">
        <v>4.5</v>
      </c>
    </row>
    <row r="2925" spans="1:6" x14ac:dyDescent="0.25">
      <c r="A2925" s="1">
        <v>45919</v>
      </c>
      <c r="B2925">
        <v>1.52</v>
      </c>
      <c r="C2925" s="1">
        <v>45919</v>
      </c>
      <c r="D2925">
        <v>1.52</v>
      </c>
      <c r="E2925" s="1">
        <v>45734</v>
      </c>
      <c r="F2925">
        <v>4.5</v>
      </c>
    </row>
    <row r="2926" spans="1:6" x14ac:dyDescent="0.25">
      <c r="A2926" s="1">
        <v>45922</v>
      </c>
      <c r="B2926">
        <v>1.53</v>
      </c>
      <c r="C2926" s="1">
        <v>45922</v>
      </c>
      <c r="D2926">
        <v>1.5</v>
      </c>
      <c r="E2926" s="1">
        <v>45735</v>
      </c>
      <c r="F2926">
        <v>4.5</v>
      </c>
    </row>
    <row r="2927" spans="1:6" x14ac:dyDescent="0.25">
      <c r="A2927" s="1">
        <v>45923</v>
      </c>
      <c r="B2927">
        <v>1.53</v>
      </c>
      <c r="C2927" s="1">
        <v>45923</v>
      </c>
      <c r="D2927">
        <v>1.47</v>
      </c>
      <c r="E2927" s="1">
        <v>45736</v>
      </c>
      <c r="F2927">
        <v>4.5</v>
      </c>
    </row>
    <row r="2928" spans="1:6" x14ac:dyDescent="0.25">
      <c r="A2928" s="1">
        <v>45924</v>
      </c>
      <c r="B2928">
        <v>1.6</v>
      </c>
      <c r="C2928" s="1">
        <v>45924</v>
      </c>
      <c r="D2928">
        <v>1.5</v>
      </c>
      <c r="E2928" s="1">
        <v>45737</v>
      </c>
      <c r="F2928">
        <v>4.5</v>
      </c>
    </row>
    <row r="2929" spans="1:6" x14ac:dyDescent="0.25">
      <c r="A2929" s="1">
        <v>45925</v>
      </c>
      <c r="B2929">
        <v>1.9</v>
      </c>
      <c r="C2929" s="1">
        <v>45925</v>
      </c>
      <c r="D2929">
        <v>1.53</v>
      </c>
      <c r="E2929" s="1">
        <v>45740</v>
      </c>
      <c r="F2929">
        <v>4.5</v>
      </c>
    </row>
    <row r="2930" spans="1:6" x14ac:dyDescent="0.25">
      <c r="A2930" s="1">
        <v>45926</v>
      </c>
      <c r="B2930">
        <v>1.53</v>
      </c>
      <c r="C2930" s="1">
        <v>45926</v>
      </c>
      <c r="D2930">
        <v>1.32</v>
      </c>
      <c r="E2930" s="1">
        <v>45741</v>
      </c>
      <c r="F2930">
        <v>4.5</v>
      </c>
    </row>
    <row r="2931" spans="1:6" x14ac:dyDescent="0.25">
      <c r="A2931" s="1">
        <v>45928</v>
      </c>
      <c r="B2931">
        <v>1.6</v>
      </c>
      <c r="C2931" s="1">
        <v>45928</v>
      </c>
      <c r="D2931">
        <v>1.33</v>
      </c>
      <c r="E2931" s="1">
        <v>45742</v>
      </c>
      <c r="F2931">
        <v>4.5</v>
      </c>
    </row>
    <row r="2932" spans="1:6" x14ac:dyDescent="0.25">
      <c r="A2932" s="1">
        <v>45929</v>
      </c>
      <c r="B2932">
        <v>1.92</v>
      </c>
      <c r="C2932" s="1">
        <v>45929</v>
      </c>
      <c r="D2932">
        <v>1.36</v>
      </c>
      <c r="E2932" s="1">
        <v>45743</v>
      </c>
      <c r="F2932">
        <v>4.5</v>
      </c>
    </row>
    <row r="2933" spans="1:6" x14ac:dyDescent="0.25">
      <c r="A2933" s="1">
        <v>45930</v>
      </c>
      <c r="B2933">
        <v>1.65</v>
      </c>
      <c r="C2933" s="1">
        <v>45930</v>
      </c>
      <c r="D2933">
        <v>1.62</v>
      </c>
      <c r="E2933" s="1">
        <v>45744</v>
      </c>
      <c r="F2933">
        <v>4.5</v>
      </c>
    </row>
    <row r="2934" spans="1:6" x14ac:dyDescent="0.25">
      <c r="A2934" s="1">
        <v>45939</v>
      </c>
      <c r="B2934">
        <v>1.54</v>
      </c>
      <c r="C2934" s="1">
        <v>45939</v>
      </c>
      <c r="D2934">
        <v>1.42</v>
      </c>
      <c r="E2934" s="1">
        <v>45747</v>
      </c>
      <c r="F2934">
        <v>4.5</v>
      </c>
    </row>
    <row r="2935" spans="1:6" x14ac:dyDescent="0.25">
      <c r="A2935" s="1">
        <v>45940</v>
      </c>
      <c r="B2935">
        <v>1.5</v>
      </c>
      <c r="C2935" s="1">
        <v>45940</v>
      </c>
      <c r="D2935">
        <v>1.33</v>
      </c>
      <c r="E2935" s="1">
        <v>45748</v>
      </c>
      <c r="F2935">
        <v>4.5</v>
      </c>
    </row>
    <row r="2936" spans="1:6" x14ac:dyDescent="0.25">
      <c r="A2936" s="1">
        <v>45941</v>
      </c>
      <c r="B2936">
        <v>1.4</v>
      </c>
      <c r="C2936" s="1">
        <v>45941</v>
      </c>
      <c r="D2936">
        <v>1.32</v>
      </c>
      <c r="E2936" s="1">
        <v>45749</v>
      </c>
      <c r="F2936">
        <v>4.5</v>
      </c>
    </row>
    <row r="2937" spans="1:6" x14ac:dyDescent="0.25">
      <c r="A2937" s="1">
        <v>45943</v>
      </c>
      <c r="B2937">
        <v>1.48</v>
      </c>
      <c r="C2937" s="1">
        <v>45943</v>
      </c>
      <c r="D2937">
        <v>1.36</v>
      </c>
      <c r="E2937" s="1">
        <v>45750</v>
      </c>
      <c r="F2937">
        <v>4.5</v>
      </c>
    </row>
    <row r="2938" spans="1:6" x14ac:dyDescent="0.25">
      <c r="A2938" s="1">
        <v>45944</v>
      </c>
      <c r="B2938">
        <v>1.48</v>
      </c>
      <c r="C2938" s="1">
        <v>45944</v>
      </c>
      <c r="D2938">
        <v>1.36</v>
      </c>
      <c r="E2938" s="1">
        <v>45751</v>
      </c>
      <c r="F2938">
        <v>4.5</v>
      </c>
    </row>
    <row r="2939" spans="1:6" x14ac:dyDescent="0.25">
      <c r="A2939" s="1">
        <v>45945</v>
      </c>
      <c r="B2939">
        <v>1.49</v>
      </c>
      <c r="C2939" s="1">
        <v>45945</v>
      </c>
      <c r="D2939">
        <v>1.36</v>
      </c>
      <c r="E2939" s="1">
        <v>45754</v>
      </c>
      <c r="F2939">
        <v>4.5</v>
      </c>
    </row>
    <row r="2940" spans="1:6" x14ac:dyDescent="0.25">
      <c r="A2940" s="1">
        <v>45946</v>
      </c>
      <c r="B2940">
        <v>1.48</v>
      </c>
      <c r="C2940" s="1">
        <v>45946</v>
      </c>
      <c r="D2940">
        <v>1.36</v>
      </c>
      <c r="E2940" s="1">
        <v>45755</v>
      </c>
      <c r="F2940">
        <v>4.5</v>
      </c>
    </row>
    <row r="2941" spans="1:6" x14ac:dyDescent="0.25">
      <c r="A2941" s="1">
        <v>45947</v>
      </c>
      <c r="B2941">
        <v>1.48</v>
      </c>
      <c r="C2941" s="1">
        <v>45947</v>
      </c>
      <c r="D2941">
        <v>1.37</v>
      </c>
      <c r="E2941" s="1">
        <v>45756</v>
      </c>
      <c r="F2941">
        <v>4.5</v>
      </c>
    </row>
    <row r="2942" spans="1:6" x14ac:dyDescent="0.25">
      <c r="A2942" s="1">
        <v>45950</v>
      </c>
      <c r="B2942">
        <v>1.48</v>
      </c>
      <c r="C2942" s="1">
        <v>45950</v>
      </c>
      <c r="D2942">
        <v>1.36</v>
      </c>
      <c r="E2942" s="1">
        <v>45757</v>
      </c>
      <c r="F2942">
        <v>4.5</v>
      </c>
    </row>
    <row r="2943" spans="1:6" x14ac:dyDescent="0.25">
      <c r="A2943" s="1">
        <v>45951</v>
      </c>
      <c r="B2943">
        <v>1.47</v>
      </c>
      <c r="C2943" s="1">
        <v>45951</v>
      </c>
      <c r="D2943">
        <v>1.38</v>
      </c>
      <c r="E2943" s="1">
        <v>45758</v>
      </c>
      <c r="F2943">
        <v>4.5</v>
      </c>
    </row>
    <row r="2944" spans="1:6" x14ac:dyDescent="0.25">
      <c r="A2944" s="1">
        <v>45952</v>
      </c>
      <c r="B2944">
        <v>1.48</v>
      </c>
      <c r="C2944" s="1">
        <v>45952</v>
      </c>
      <c r="D2944">
        <v>1.39</v>
      </c>
      <c r="E2944" s="1">
        <v>45761</v>
      </c>
      <c r="F2944">
        <v>4.5</v>
      </c>
    </row>
    <row r="2945" spans="1:6" x14ac:dyDescent="0.25">
      <c r="A2945" s="1">
        <v>45953</v>
      </c>
      <c r="B2945">
        <v>1.48</v>
      </c>
      <c r="C2945" s="1">
        <v>45953</v>
      </c>
      <c r="D2945">
        <v>1.39</v>
      </c>
      <c r="E2945" s="1">
        <v>45762</v>
      </c>
      <c r="F2945">
        <v>4.5</v>
      </c>
    </row>
    <row r="2946" spans="1:6" x14ac:dyDescent="0.25">
      <c r="A2946" s="1">
        <v>45954</v>
      </c>
      <c r="B2946">
        <v>1.48</v>
      </c>
      <c r="C2946" s="1">
        <v>45954</v>
      </c>
      <c r="D2946">
        <v>1.39</v>
      </c>
      <c r="E2946" s="1">
        <v>45763</v>
      </c>
      <c r="F2946">
        <v>4.5</v>
      </c>
    </row>
    <row r="2947" spans="1:6" x14ac:dyDescent="0.25">
      <c r="A2947" s="1">
        <v>45957</v>
      </c>
      <c r="B2947">
        <v>1.65</v>
      </c>
      <c r="C2947" s="1">
        <v>45957</v>
      </c>
      <c r="D2947">
        <v>1.54</v>
      </c>
      <c r="E2947" s="1">
        <v>45764</v>
      </c>
      <c r="F2947">
        <v>4.5</v>
      </c>
    </row>
    <row r="2948" spans="1:6" x14ac:dyDescent="0.25">
      <c r="A2948" s="1">
        <v>45958</v>
      </c>
      <c r="B2948">
        <v>1.63</v>
      </c>
      <c r="C2948" s="1">
        <v>45958</v>
      </c>
      <c r="D2948">
        <v>1.5286</v>
      </c>
      <c r="E2948" s="1">
        <v>45765</v>
      </c>
      <c r="F2948">
        <v>4.5</v>
      </c>
    </row>
    <row r="2949" spans="1:6" x14ac:dyDescent="0.25">
      <c r="A2949" s="1">
        <v>45959</v>
      </c>
      <c r="B2949">
        <v>1.6</v>
      </c>
      <c r="C2949" s="1">
        <v>45959</v>
      </c>
      <c r="D2949">
        <v>1.45</v>
      </c>
      <c r="E2949" s="1">
        <v>45768</v>
      </c>
      <c r="F2949">
        <v>4.5</v>
      </c>
    </row>
    <row r="2950" spans="1:6" x14ac:dyDescent="0.25">
      <c r="A2950" s="1">
        <v>45960</v>
      </c>
      <c r="B2950">
        <v>1.57</v>
      </c>
      <c r="C2950" s="1">
        <v>45960</v>
      </c>
      <c r="D2950">
        <v>1.36</v>
      </c>
      <c r="E2950" s="1">
        <v>45769</v>
      </c>
      <c r="F2950">
        <v>4.5</v>
      </c>
    </row>
    <row r="2951" spans="1:6" x14ac:dyDescent="0.25">
      <c r="A2951" s="1">
        <v>45961</v>
      </c>
      <c r="B2951">
        <v>1.5</v>
      </c>
      <c r="C2951" s="1">
        <v>45961</v>
      </c>
      <c r="D2951">
        <v>1.45</v>
      </c>
      <c r="E2951" s="1">
        <v>45770</v>
      </c>
      <c r="F2951">
        <v>4.5</v>
      </c>
    </row>
    <row r="2952" spans="1:6" x14ac:dyDescent="0.25">
      <c r="A2952" s="1">
        <v>45964</v>
      </c>
      <c r="B2952">
        <v>1.47</v>
      </c>
      <c r="C2952" s="1">
        <v>45964</v>
      </c>
      <c r="D2952">
        <v>1.36</v>
      </c>
      <c r="E2952" s="1">
        <v>45771</v>
      </c>
      <c r="F2952">
        <v>4.5</v>
      </c>
    </row>
    <row r="2953" spans="1:6" x14ac:dyDescent="0.25">
      <c r="A2953" s="1">
        <v>45965</v>
      </c>
      <c r="B2953">
        <v>1.47</v>
      </c>
      <c r="C2953" s="1">
        <v>45965</v>
      </c>
      <c r="D2953">
        <v>1.36</v>
      </c>
      <c r="E2953" s="1">
        <v>45772</v>
      </c>
      <c r="F2953">
        <v>4.5</v>
      </c>
    </row>
    <row r="2954" spans="1:6" x14ac:dyDescent="0.25">
      <c r="A2954" s="1">
        <v>45966</v>
      </c>
      <c r="B2954">
        <v>1.47</v>
      </c>
      <c r="C2954" s="1">
        <v>45966</v>
      </c>
      <c r="D2954">
        <v>1.36</v>
      </c>
      <c r="E2954" s="1">
        <v>45775</v>
      </c>
      <c r="F2954">
        <v>4.5</v>
      </c>
    </row>
    <row r="2955" spans="1:6" x14ac:dyDescent="0.25">
      <c r="A2955" s="1">
        <v>45967</v>
      </c>
      <c r="B2955">
        <v>1.47</v>
      </c>
      <c r="C2955" s="1">
        <v>45967</v>
      </c>
      <c r="D2955">
        <v>1.38</v>
      </c>
      <c r="E2955" s="1">
        <v>45776</v>
      </c>
      <c r="F2955">
        <v>4.5</v>
      </c>
    </row>
    <row r="2956" spans="1:6" x14ac:dyDescent="0.25">
      <c r="A2956" s="1">
        <v>45968</v>
      </c>
      <c r="B2956">
        <v>1.48</v>
      </c>
      <c r="C2956" s="1">
        <v>45968</v>
      </c>
      <c r="D2956">
        <v>1.41</v>
      </c>
      <c r="E2956" s="1">
        <v>45777</v>
      </c>
      <c r="F2956">
        <v>4.5</v>
      </c>
    </row>
    <row r="2957" spans="1:6" x14ac:dyDescent="0.25">
      <c r="A2957" s="1">
        <v>45971</v>
      </c>
      <c r="B2957">
        <v>1.5</v>
      </c>
      <c r="C2957" s="1">
        <v>45971</v>
      </c>
      <c r="D2957">
        <v>1.54</v>
      </c>
      <c r="E2957" s="1">
        <v>45778</v>
      </c>
      <c r="F2957">
        <v>4.5</v>
      </c>
    </row>
    <row r="2958" spans="1:6" x14ac:dyDescent="0.25">
      <c r="A2958" s="1">
        <v>45972</v>
      </c>
      <c r="B2958">
        <v>1.52</v>
      </c>
      <c r="C2958" s="1">
        <v>45972</v>
      </c>
      <c r="D2958">
        <v>1.55</v>
      </c>
      <c r="E2958" s="1">
        <v>45779</v>
      </c>
      <c r="F2958">
        <v>4.5</v>
      </c>
    </row>
    <row r="2959" spans="1:6" x14ac:dyDescent="0.25">
      <c r="A2959" s="1">
        <v>45973</v>
      </c>
      <c r="B2959">
        <v>1.51</v>
      </c>
      <c r="C2959" s="1">
        <v>45973</v>
      </c>
      <c r="D2959">
        <v>1.48</v>
      </c>
      <c r="E2959" s="1">
        <v>45782</v>
      </c>
      <c r="F2959">
        <v>4.5</v>
      </c>
    </row>
    <row r="2960" spans="1:6" x14ac:dyDescent="0.25">
      <c r="A2960" s="1">
        <v>45974</v>
      </c>
      <c r="B2960">
        <v>1.5</v>
      </c>
      <c r="C2960" s="1">
        <v>45974</v>
      </c>
      <c r="D2960">
        <v>1.4</v>
      </c>
      <c r="E2960" s="1">
        <v>45783</v>
      </c>
      <c r="F2960">
        <v>4.5</v>
      </c>
    </row>
    <row r="2961" spans="1:6" x14ac:dyDescent="0.25">
      <c r="A2961" s="1">
        <v>45975</v>
      </c>
      <c r="B2961">
        <v>1.5</v>
      </c>
      <c r="C2961" s="1">
        <v>45975</v>
      </c>
      <c r="D2961">
        <v>1.46</v>
      </c>
      <c r="E2961" s="1">
        <v>45784</v>
      </c>
      <c r="F2961">
        <v>4.5</v>
      </c>
    </row>
    <row r="2962" spans="1:6" x14ac:dyDescent="0.25">
      <c r="A2962" s="1">
        <v>45978</v>
      </c>
      <c r="B2962">
        <v>1.54</v>
      </c>
      <c r="C2962" s="1">
        <v>45978</v>
      </c>
      <c r="D2962">
        <v>1.58</v>
      </c>
      <c r="E2962" s="1">
        <v>45785</v>
      </c>
      <c r="F2962">
        <v>4.5</v>
      </c>
    </row>
    <row r="2963" spans="1:6" x14ac:dyDescent="0.25">
      <c r="A2963" s="1">
        <v>45979</v>
      </c>
      <c r="B2963">
        <v>1.54</v>
      </c>
      <c r="C2963" s="1">
        <v>45979</v>
      </c>
      <c r="D2963">
        <v>1.58</v>
      </c>
      <c r="E2963" s="1">
        <v>45786</v>
      </c>
      <c r="F2963">
        <v>4.5</v>
      </c>
    </row>
    <row r="2964" spans="1:6" x14ac:dyDescent="0.25">
      <c r="A2964" s="1">
        <v>45980</v>
      </c>
      <c r="B2964">
        <v>1.53</v>
      </c>
      <c r="C2964" s="1">
        <v>45980</v>
      </c>
      <c r="D2964">
        <v>1.5</v>
      </c>
      <c r="E2964" s="1">
        <v>45789</v>
      </c>
      <c r="F2964">
        <v>4.5</v>
      </c>
    </row>
    <row r="2965" spans="1:6" x14ac:dyDescent="0.25">
      <c r="A2965" s="1">
        <v>45981</v>
      </c>
      <c r="B2965">
        <v>1.51</v>
      </c>
      <c r="C2965" s="1">
        <v>45981</v>
      </c>
      <c r="D2965">
        <v>1.46</v>
      </c>
      <c r="E2965" s="1">
        <v>45790</v>
      </c>
      <c r="F2965">
        <v>4.5</v>
      </c>
    </row>
    <row r="2966" spans="1:6" x14ac:dyDescent="0.25">
      <c r="A2966" s="1">
        <v>45982</v>
      </c>
      <c r="B2966">
        <v>1.51</v>
      </c>
      <c r="C2966" s="1">
        <v>45982</v>
      </c>
      <c r="D2966">
        <v>1.41</v>
      </c>
      <c r="E2966" s="1">
        <v>45791</v>
      </c>
      <c r="F2966">
        <v>4.5</v>
      </c>
    </row>
    <row r="2967" spans="1:6" x14ac:dyDescent="0.25">
      <c r="A2967" s="1">
        <v>45985</v>
      </c>
      <c r="B2967">
        <v>1.58</v>
      </c>
      <c r="C2967" s="1">
        <v>45985</v>
      </c>
      <c r="D2967">
        <v>1.42</v>
      </c>
      <c r="E2967" s="1">
        <v>45792</v>
      </c>
      <c r="F2967">
        <v>4.5</v>
      </c>
    </row>
    <row r="2968" spans="1:6" x14ac:dyDescent="0.25">
      <c r="A2968" s="1">
        <v>45986</v>
      </c>
      <c r="B2968">
        <v>1.54</v>
      </c>
      <c r="C2968" s="1">
        <v>45986</v>
      </c>
      <c r="D2968">
        <v>1.41</v>
      </c>
      <c r="E2968" s="1">
        <v>45793</v>
      </c>
      <c r="F2968">
        <v>4.5</v>
      </c>
    </row>
    <row r="2969" spans="1:6" x14ac:dyDescent="0.25">
      <c r="A2969" s="1">
        <v>45987</v>
      </c>
      <c r="B2969">
        <v>1.53</v>
      </c>
      <c r="C2969" s="1">
        <v>45987</v>
      </c>
      <c r="D2969">
        <v>1.38</v>
      </c>
      <c r="E2969" s="1">
        <v>45796</v>
      </c>
      <c r="F2969">
        <v>4.5</v>
      </c>
    </row>
    <row r="2970" spans="1:6" x14ac:dyDescent="0.25">
      <c r="A2970" s="1">
        <v>45988</v>
      </c>
      <c r="B2970">
        <v>1.53</v>
      </c>
      <c r="C2970" s="1">
        <v>45988</v>
      </c>
      <c r="D2970">
        <v>1.38</v>
      </c>
      <c r="E2970" s="1">
        <v>45797</v>
      </c>
      <c r="F2970">
        <v>4.5</v>
      </c>
    </row>
    <row r="2971" spans="1:6" x14ac:dyDescent="0.25">
      <c r="A2971" s="1">
        <v>45989</v>
      </c>
      <c r="B2971">
        <v>1.53</v>
      </c>
      <c r="C2971" s="1">
        <v>45989</v>
      </c>
      <c r="D2971">
        <v>1.5</v>
      </c>
      <c r="E2971" s="1">
        <v>45798</v>
      </c>
      <c r="F2971">
        <v>4.5</v>
      </c>
    </row>
    <row r="2972" spans="1:6" x14ac:dyDescent="0.25">
      <c r="A2972" s="1">
        <v>45992</v>
      </c>
      <c r="B2972">
        <v>1.5</v>
      </c>
      <c r="C2972" s="1">
        <v>45992</v>
      </c>
      <c r="D2972">
        <v>1.39</v>
      </c>
      <c r="E2972" s="1">
        <v>45799</v>
      </c>
      <c r="F2972">
        <v>4.5</v>
      </c>
    </row>
    <row r="2973" spans="1:6" x14ac:dyDescent="0.25">
      <c r="A2973" s="1">
        <v>45993</v>
      </c>
      <c r="B2973">
        <v>1.49</v>
      </c>
      <c r="C2973" s="1">
        <v>45993</v>
      </c>
      <c r="D2973">
        <v>1.3862000000000001</v>
      </c>
      <c r="E2973" s="1">
        <v>45800</v>
      </c>
      <c r="F2973">
        <v>4.5</v>
      </c>
    </row>
    <row r="2974" spans="1:6" x14ac:dyDescent="0.25">
      <c r="A2974" s="1">
        <v>45994</v>
      </c>
      <c r="B2974">
        <v>1.49</v>
      </c>
      <c r="C2974" s="1">
        <v>45994</v>
      </c>
      <c r="D2974">
        <v>1.38</v>
      </c>
      <c r="E2974" s="1">
        <v>45803</v>
      </c>
      <c r="F2974">
        <v>4.5</v>
      </c>
    </row>
    <row r="2975" spans="1:6" x14ac:dyDescent="0.25">
      <c r="A2975" s="1">
        <v>45995</v>
      </c>
      <c r="B2975">
        <v>1.5</v>
      </c>
      <c r="C2975" s="1">
        <v>45995</v>
      </c>
      <c r="D2975">
        <v>1.38</v>
      </c>
      <c r="E2975" s="1">
        <v>45804</v>
      </c>
      <c r="F2975">
        <v>4.5</v>
      </c>
    </row>
    <row r="2976" spans="1:6" x14ac:dyDescent="0.25">
      <c r="A2976" s="1">
        <v>45996</v>
      </c>
      <c r="B2976">
        <v>1.51</v>
      </c>
      <c r="C2976" s="1">
        <v>45996</v>
      </c>
      <c r="D2976">
        <v>1.4</v>
      </c>
      <c r="E2976" s="1">
        <v>45805</v>
      </c>
      <c r="F2976">
        <v>4.5</v>
      </c>
    </row>
    <row r="2977" spans="1:6" x14ac:dyDescent="0.25">
      <c r="A2977" s="1">
        <v>45999</v>
      </c>
      <c r="B2977">
        <v>1.5</v>
      </c>
      <c r="C2977" s="1">
        <v>45999</v>
      </c>
      <c r="D2977">
        <v>1.4</v>
      </c>
      <c r="E2977" s="1">
        <v>45806</v>
      </c>
      <c r="F2977">
        <v>4.5</v>
      </c>
    </row>
    <row r="2978" spans="1:6" x14ac:dyDescent="0.25">
      <c r="A2978" s="1">
        <v>46000</v>
      </c>
      <c r="B2978">
        <v>1.5</v>
      </c>
      <c r="C2978" s="1">
        <v>46000</v>
      </c>
      <c r="D2978">
        <v>1.4</v>
      </c>
      <c r="E2978" s="1">
        <v>45807</v>
      </c>
      <c r="F2978">
        <v>4.5</v>
      </c>
    </row>
    <row r="2979" spans="1:6" x14ac:dyDescent="0.25">
      <c r="A2979" s="1">
        <v>46001</v>
      </c>
      <c r="B2979">
        <v>1.49</v>
      </c>
      <c r="C2979" s="1">
        <v>46001</v>
      </c>
      <c r="D2979">
        <v>1.39</v>
      </c>
      <c r="E2979" s="1">
        <v>45810</v>
      </c>
      <c r="F2979">
        <v>4.5</v>
      </c>
    </row>
    <row r="2980" spans="1:6" x14ac:dyDescent="0.25">
      <c r="A2980" s="1">
        <v>46002</v>
      </c>
      <c r="B2980">
        <v>1.5</v>
      </c>
      <c r="C2980" s="1">
        <v>46002</v>
      </c>
      <c r="D2980">
        <v>1.39</v>
      </c>
      <c r="E2980" s="1">
        <v>45811</v>
      </c>
      <c r="F2980">
        <v>4.5</v>
      </c>
    </row>
    <row r="2981" spans="1:6" x14ac:dyDescent="0.25">
      <c r="E2981" s="1">
        <v>45812</v>
      </c>
      <c r="F2981">
        <v>4.5</v>
      </c>
    </row>
    <row r="2982" spans="1:6" x14ac:dyDescent="0.25">
      <c r="E2982" s="1">
        <v>45813</v>
      </c>
      <c r="F2982">
        <v>4.5</v>
      </c>
    </row>
    <row r="2983" spans="1:6" x14ac:dyDescent="0.25">
      <c r="E2983" s="1">
        <v>45814</v>
      </c>
      <c r="F2983">
        <v>4.5</v>
      </c>
    </row>
    <row r="2984" spans="1:6" x14ac:dyDescent="0.25">
      <c r="E2984" s="1">
        <v>45817</v>
      </c>
      <c r="F2984">
        <v>4.5</v>
      </c>
    </row>
    <row r="2985" spans="1:6" x14ac:dyDescent="0.25">
      <c r="E2985" s="1">
        <v>45818</v>
      </c>
      <c r="F2985">
        <v>4.5</v>
      </c>
    </row>
    <row r="2986" spans="1:6" x14ac:dyDescent="0.25">
      <c r="E2986" s="1">
        <v>45819</v>
      </c>
      <c r="F2986">
        <v>4.5</v>
      </c>
    </row>
    <row r="2987" spans="1:6" x14ac:dyDescent="0.25">
      <c r="E2987" s="1">
        <v>45820</v>
      </c>
      <c r="F2987">
        <v>4.5</v>
      </c>
    </row>
    <row r="2988" spans="1:6" x14ac:dyDescent="0.25">
      <c r="E2988" s="1">
        <v>45821</v>
      </c>
      <c r="F2988">
        <v>4.5</v>
      </c>
    </row>
    <row r="2989" spans="1:6" x14ac:dyDescent="0.25">
      <c r="E2989" s="1">
        <v>45824</v>
      </c>
      <c r="F2989">
        <v>4.5</v>
      </c>
    </row>
    <row r="2990" spans="1:6" x14ac:dyDescent="0.25">
      <c r="E2990" s="1">
        <v>45825</v>
      </c>
      <c r="F2990">
        <v>4.5</v>
      </c>
    </row>
    <row r="2991" spans="1:6" x14ac:dyDescent="0.25">
      <c r="E2991" s="1">
        <v>45826</v>
      </c>
      <c r="F2991">
        <v>4.5</v>
      </c>
    </row>
    <row r="2992" spans="1:6" x14ac:dyDescent="0.25">
      <c r="E2992" s="1">
        <v>45827</v>
      </c>
      <c r="F2992">
        <v>4.5</v>
      </c>
    </row>
    <row r="2993" spans="5:6" x14ac:dyDescent="0.25">
      <c r="E2993" s="1">
        <v>45828</v>
      </c>
      <c r="F2993">
        <v>4.5</v>
      </c>
    </row>
    <row r="2994" spans="5:6" x14ac:dyDescent="0.25">
      <c r="E2994" s="1">
        <v>45831</v>
      </c>
      <c r="F2994">
        <v>4.5</v>
      </c>
    </row>
    <row r="2995" spans="5:6" x14ac:dyDescent="0.25">
      <c r="E2995" s="1">
        <v>45832</v>
      </c>
      <c r="F2995">
        <v>4.5</v>
      </c>
    </row>
    <row r="2996" spans="5:6" x14ac:dyDescent="0.25">
      <c r="E2996" s="1">
        <v>45833</v>
      </c>
      <c r="F2996">
        <v>4.5</v>
      </c>
    </row>
    <row r="2997" spans="5:6" x14ac:dyDescent="0.25">
      <c r="E2997" s="1">
        <v>45834</v>
      </c>
      <c r="F2997">
        <v>4.5</v>
      </c>
    </row>
    <row r="2998" spans="5:6" x14ac:dyDescent="0.25">
      <c r="E2998" s="1">
        <v>45835</v>
      </c>
      <c r="F2998">
        <v>4.5</v>
      </c>
    </row>
    <row r="2999" spans="5:6" x14ac:dyDescent="0.25">
      <c r="E2999" s="1">
        <v>45838</v>
      </c>
      <c r="F2999">
        <v>4.5</v>
      </c>
    </row>
    <row r="3000" spans="5:6" x14ac:dyDescent="0.25">
      <c r="E3000" s="1">
        <v>45839</v>
      </c>
      <c r="F3000">
        <v>4.5</v>
      </c>
    </row>
    <row r="3001" spans="5:6" x14ac:dyDescent="0.25">
      <c r="E3001" s="1">
        <v>45840</v>
      </c>
      <c r="F3001">
        <v>4.5</v>
      </c>
    </row>
    <row r="3002" spans="5:6" x14ac:dyDescent="0.25">
      <c r="E3002" s="1">
        <v>45841</v>
      </c>
      <c r="F3002">
        <v>4.5</v>
      </c>
    </row>
    <row r="3003" spans="5:6" x14ac:dyDescent="0.25">
      <c r="E3003" s="1">
        <v>45842</v>
      </c>
      <c r="F3003">
        <v>4.5</v>
      </c>
    </row>
    <row r="3004" spans="5:6" x14ac:dyDescent="0.25">
      <c r="E3004" s="1">
        <v>45845</v>
      </c>
      <c r="F3004">
        <v>4.5</v>
      </c>
    </row>
    <row r="3005" spans="5:6" x14ac:dyDescent="0.25">
      <c r="E3005" s="1">
        <v>45846</v>
      </c>
      <c r="F3005">
        <v>4.5</v>
      </c>
    </row>
    <row r="3006" spans="5:6" x14ac:dyDescent="0.25">
      <c r="E3006" s="1">
        <v>45847</v>
      </c>
      <c r="F3006">
        <v>4.5</v>
      </c>
    </row>
    <row r="3007" spans="5:6" x14ac:dyDescent="0.25">
      <c r="E3007" s="1">
        <v>45848</v>
      </c>
      <c r="F3007">
        <v>4.5</v>
      </c>
    </row>
    <row r="3008" spans="5:6" x14ac:dyDescent="0.25">
      <c r="E3008" s="1">
        <v>45849</v>
      </c>
      <c r="F3008">
        <v>4.5</v>
      </c>
    </row>
    <row r="3009" spans="5:6" x14ac:dyDescent="0.25">
      <c r="E3009" s="1">
        <v>45852</v>
      </c>
      <c r="F3009">
        <v>4.5</v>
      </c>
    </row>
    <row r="3010" spans="5:6" x14ac:dyDescent="0.25">
      <c r="E3010" s="1">
        <v>45853</v>
      </c>
      <c r="F3010">
        <v>4.5</v>
      </c>
    </row>
    <row r="3011" spans="5:6" x14ac:dyDescent="0.25">
      <c r="E3011" s="1">
        <v>45854</v>
      </c>
      <c r="F3011">
        <v>4.5</v>
      </c>
    </row>
    <row r="3012" spans="5:6" x14ac:dyDescent="0.25">
      <c r="E3012" s="1">
        <v>45855</v>
      </c>
      <c r="F3012">
        <v>4.5</v>
      </c>
    </row>
    <row r="3013" spans="5:6" x14ac:dyDescent="0.25">
      <c r="E3013" s="1">
        <v>45856</v>
      </c>
      <c r="F3013">
        <v>4.5</v>
      </c>
    </row>
    <row r="3014" spans="5:6" x14ac:dyDescent="0.25">
      <c r="E3014" s="1">
        <v>45859</v>
      </c>
      <c r="F3014">
        <v>4.5</v>
      </c>
    </row>
    <row r="3015" spans="5:6" x14ac:dyDescent="0.25">
      <c r="E3015" s="1">
        <v>45860</v>
      </c>
      <c r="F3015">
        <v>4.5</v>
      </c>
    </row>
    <row r="3016" spans="5:6" x14ac:dyDescent="0.25">
      <c r="E3016" s="1">
        <v>45861</v>
      </c>
      <c r="F3016">
        <v>4.5</v>
      </c>
    </row>
    <row r="3017" spans="5:6" x14ac:dyDescent="0.25">
      <c r="E3017" s="1">
        <v>45862</v>
      </c>
      <c r="F3017">
        <v>4.5</v>
      </c>
    </row>
    <row r="3018" spans="5:6" x14ac:dyDescent="0.25">
      <c r="E3018" s="1">
        <v>45863</v>
      </c>
      <c r="F3018">
        <v>4.5</v>
      </c>
    </row>
    <row r="3019" spans="5:6" x14ac:dyDescent="0.25">
      <c r="E3019" s="1">
        <v>45866</v>
      </c>
      <c r="F3019">
        <v>4.5</v>
      </c>
    </row>
    <row r="3020" spans="5:6" x14ac:dyDescent="0.25">
      <c r="E3020" s="1">
        <v>45867</v>
      </c>
      <c r="F3020">
        <v>4.5</v>
      </c>
    </row>
    <row r="3021" spans="5:6" x14ac:dyDescent="0.25">
      <c r="E3021" s="1">
        <v>45868</v>
      </c>
      <c r="F3021">
        <v>4.5</v>
      </c>
    </row>
    <row r="3022" spans="5:6" x14ac:dyDescent="0.25">
      <c r="E3022" s="1">
        <v>45869</v>
      </c>
      <c r="F3022">
        <v>4.5</v>
      </c>
    </row>
    <row r="3023" spans="5:6" x14ac:dyDescent="0.25">
      <c r="E3023" s="1">
        <v>45870</v>
      </c>
      <c r="F3023">
        <v>4.5</v>
      </c>
    </row>
    <row r="3024" spans="5:6" x14ac:dyDescent="0.25">
      <c r="E3024" s="1">
        <v>45873</v>
      </c>
      <c r="F3024">
        <v>4.5</v>
      </c>
    </row>
    <row r="3025" spans="5:6" x14ac:dyDescent="0.25">
      <c r="E3025" s="1">
        <v>45874</v>
      </c>
      <c r="F3025">
        <v>4.5</v>
      </c>
    </row>
    <row r="3026" spans="5:6" x14ac:dyDescent="0.25">
      <c r="E3026" s="1">
        <v>45875</v>
      </c>
      <c r="F3026">
        <v>4.5</v>
      </c>
    </row>
    <row r="3027" spans="5:6" x14ac:dyDescent="0.25">
      <c r="E3027" s="1">
        <v>45876</v>
      </c>
      <c r="F3027">
        <v>4.5</v>
      </c>
    </row>
    <row r="3028" spans="5:6" x14ac:dyDescent="0.25">
      <c r="E3028" s="1">
        <v>45877</v>
      </c>
      <c r="F3028">
        <v>4.5</v>
      </c>
    </row>
    <row r="3029" spans="5:6" x14ac:dyDescent="0.25">
      <c r="E3029" s="1">
        <v>45880</v>
      </c>
      <c r="F3029">
        <v>4.5</v>
      </c>
    </row>
    <row r="3030" spans="5:6" x14ac:dyDescent="0.25">
      <c r="E3030" s="1">
        <v>45881</v>
      </c>
      <c r="F3030">
        <v>4.5</v>
      </c>
    </row>
    <row r="3031" spans="5:6" x14ac:dyDescent="0.25">
      <c r="E3031" s="1">
        <v>45882</v>
      </c>
      <c r="F3031">
        <v>4.5</v>
      </c>
    </row>
    <row r="3032" spans="5:6" x14ac:dyDescent="0.25">
      <c r="E3032" s="1">
        <v>45883</v>
      </c>
      <c r="F3032">
        <v>4.5</v>
      </c>
    </row>
    <row r="3033" spans="5:6" x14ac:dyDescent="0.25">
      <c r="E3033" s="1">
        <v>45884</v>
      </c>
      <c r="F3033">
        <v>4.5</v>
      </c>
    </row>
    <row r="3034" spans="5:6" x14ac:dyDescent="0.25">
      <c r="E3034" s="1">
        <v>45887</v>
      </c>
      <c r="F3034">
        <v>4.5</v>
      </c>
    </row>
    <row r="3035" spans="5:6" x14ac:dyDescent="0.25">
      <c r="E3035" s="1">
        <v>45888</v>
      </c>
      <c r="F3035">
        <v>4.5</v>
      </c>
    </row>
    <row r="3036" spans="5:6" x14ac:dyDescent="0.25">
      <c r="E3036" s="1">
        <v>45889</v>
      </c>
      <c r="F3036">
        <v>4.5</v>
      </c>
    </row>
    <row r="3037" spans="5:6" x14ac:dyDescent="0.25">
      <c r="E3037" s="1">
        <v>45890</v>
      </c>
      <c r="F3037">
        <v>4.5</v>
      </c>
    </row>
    <row r="3038" spans="5:6" x14ac:dyDescent="0.25">
      <c r="E3038" s="1">
        <v>45891</v>
      </c>
      <c r="F3038">
        <v>4.5</v>
      </c>
    </row>
    <row r="3039" spans="5:6" x14ac:dyDescent="0.25">
      <c r="E3039" s="1">
        <v>45894</v>
      </c>
      <c r="F3039">
        <v>4.5</v>
      </c>
    </row>
    <row r="3040" spans="5:6" x14ac:dyDescent="0.25">
      <c r="E3040" s="1">
        <v>45895</v>
      </c>
      <c r="F3040">
        <v>4.5</v>
      </c>
    </row>
    <row r="3041" spans="5:6" x14ac:dyDescent="0.25">
      <c r="E3041" s="1">
        <v>45896</v>
      </c>
      <c r="F3041">
        <v>4.5</v>
      </c>
    </row>
    <row r="3042" spans="5:6" x14ac:dyDescent="0.25">
      <c r="E3042" s="1">
        <v>45897</v>
      </c>
      <c r="F3042">
        <v>4.5</v>
      </c>
    </row>
    <row r="3043" spans="5:6" x14ac:dyDescent="0.25">
      <c r="E3043" s="1">
        <v>45898</v>
      </c>
      <c r="F3043">
        <v>4.5</v>
      </c>
    </row>
    <row r="3044" spans="5:6" x14ac:dyDescent="0.25">
      <c r="E3044" s="1">
        <v>45901</v>
      </c>
      <c r="F3044">
        <v>4.5</v>
      </c>
    </row>
    <row r="3045" spans="5:6" x14ac:dyDescent="0.25">
      <c r="E3045" s="1">
        <v>45902</v>
      </c>
      <c r="F3045">
        <v>4.5</v>
      </c>
    </row>
    <row r="3046" spans="5:6" x14ac:dyDescent="0.25">
      <c r="E3046" s="1">
        <v>45903</v>
      </c>
      <c r="F3046">
        <v>4.5</v>
      </c>
    </row>
    <row r="3047" spans="5:6" x14ac:dyDescent="0.25">
      <c r="E3047" s="1">
        <v>45904</v>
      </c>
      <c r="F3047">
        <v>4.5</v>
      </c>
    </row>
    <row r="3048" spans="5:6" x14ac:dyDescent="0.25">
      <c r="E3048" s="1">
        <v>45905</v>
      </c>
      <c r="F3048">
        <v>4.5</v>
      </c>
    </row>
    <row r="3049" spans="5:6" x14ac:dyDescent="0.25">
      <c r="E3049" s="1">
        <v>45908</v>
      </c>
      <c r="F3049">
        <v>4.5</v>
      </c>
    </row>
    <row r="3050" spans="5:6" x14ac:dyDescent="0.25">
      <c r="E3050" s="1">
        <v>45909</v>
      </c>
      <c r="F3050">
        <v>4.5</v>
      </c>
    </row>
    <row r="3051" spans="5:6" x14ac:dyDescent="0.25">
      <c r="E3051" s="1">
        <v>45910</v>
      </c>
      <c r="F3051">
        <v>4.5</v>
      </c>
    </row>
    <row r="3052" spans="5:6" x14ac:dyDescent="0.25">
      <c r="E3052" s="1">
        <v>45911</v>
      </c>
      <c r="F3052">
        <v>4.5</v>
      </c>
    </row>
    <row r="3053" spans="5:6" x14ac:dyDescent="0.25">
      <c r="E3053" s="1">
        <v>45912</v>
      </c>
      <c r="F3053">
        <v>4.5</v>
      </c>
    </row>
    <row r="3054" spans="5:6" x14ac:dyDescent="0.25">
      <c r="E3054" s="1">
        <v>45915</v>
      </c>
      <c r="F3054">
        <v>4.5</v>
      </c>
    </row>
    <row r="3055" spans="5:6" x14ac:dyDescent="0.25">
      <c r="E3055" s="1">
        <v>45916</v>
      </c>
      <c r="F3055">
        <v>4.5</v>
      </c>
    </row>
    <row r="3056" spans="5:6" x14ac:dyDescent="0.25">
      <c r="E3056" s="1">
        <v>45917</v>
      </c>
      <c r="F3056">
        <v>4.25</v>
      </c>
    </row>
    <row r="3057" spans="5:6" x14ac:dyDescent="0.25">
      <c r="E3057" s="1">
        <v>45918</v>
      </c>
      <c r="F3057">
        <v>4.25</v>
      </c>
    </row>
    <row r="3058" spans="5:6" x14ac:dyDescent="0.25">
      <c r="E3058" s="1">
        <v>45919</v>
      </c>
      <c r="F3058">
        <v>4.25</v>
      </c>
    </row>
    <row r="3059" spans="5:6" x14ac:dyDescent="0.25">
      <c r="E3059" s="1">
        <v>45922</v>
      </c>
      <c r="F3059">
        <v>4.25</v>
      </c>
    </row>
    <row r="3060" spans="5:6" x14ac:dyDescent="0.25">
      <c r="E3060" s="1">
        <v>45923</v>
      </c>
      <c r="F3060">
        <v>4.25</v>
      </c>
    </row>
    <row r="3061" spans="5:6" x14ac:dyDescent="0.25">
      <c r="E3061" s="1">
        <v>45924</v>
      </c>
      <c r="F3061">
        <v>4.25</v>
      </c>
    </row>
    <row r="3062" spans="5:6" x14ac:dyDescent="0.25">
      <c r="E3062" s="1">
        <v>45925</v>
      </c>
      <c r="F3062">
        <v>4.25</v>
      </c>
    </row>
    <row r="3063" spans="5:6" x14ac:dyDescent="0.25">
      <c r="E3063" s="1">
        <v>45926</v>
      </c>
      <c r="F3063">
        <v>4.25</v>
      </c>
    </row>
    <row r="3064" spans="5:6" x14ac:dyDescent="0.25">
      <c r="E3064" s="1">
        <v>45929</v>
      </c>
      <c r="F3064">
        <v>4.25</v>
      </c>
    </row>
    <row r="3065" spans="5:6" x14ac:dyDescent="0.25">
      <c r="E3065" s="1">
        <v>45930</v>
      </c>
      <c r="F3065">
        <v>4.25</v>
      </c>
    </row>
    <row r="3066" spans="5:6" x14ac:dyDescent="0.25">
      <c r="E3066" s="1">
        <v>45931</v>
      </c>
      <c r="F3066">
        <v>4.25</v>
      </c>
    </row>
    <row r="3067" spans="5:6" x14ac:dyDescent="0.25">
      <c r="E3067" s="1">
        <v>45932</v>
      </c>
      <c r="F3067">
        <v>4.25</v>
      </c>
    </row>
    <row r="3068" spans="5:6" x14ac:dyDescent="0.25">
      <c r="E3068" s="1">
        <v>45933</v>
      </c>
      <c r="F3068">
        <v>4.25</v>
      </c>
    </row>
    <row r="3069" spans="5:6" x14ac:dyDescent="0.25">
      <c r="E3069" s="1">
        <v>45936</v>
      </c>
      <c r="F3069">
        <v>4.25</v>
      </c>
    </row>
    <row r="3070" spans="5:6" x14ac:dyDescent="0.25">
      <c r="E3070" s="1">
        <v>45937</v>
      </c>
      <c r="F3070">
        <v>4.25</v>
      </c>
    </row>
    <row r="3071" spans="5:6" x14ac:dyDescent="0.25">
      <c r="E3071" s="1">
        <v>45938</v>
      </c>
      <c r="F3071">
        <v>4.25</v>
      </c>
    </row>
    <row r="3072" spans="5:6" x14ac:dyDescent="0.25">
      <c r="E3072" s="1">
        <v>45939</v>
      </c>
      <c r="F3072">
        <v>4.25</v>
      </c>
    </row>
    <row r="3073" spans="5:6" x14ac:dyDescent="0.25">
      <c r="E3073" s="1">
        <v>45940</v>
      </c>
      <c r="F3073">
        <v>4.25</v>
      </c>
    </row>
    <row r="3074" spans="5:6" x14ac:dyDescent="0.25">
      <c r="E3074" s="1">
        <v>45943</v>
      </c>
      <c r="F3074">
        <v>4.25</v>
      </c>
    </row>
    <row r="3075" spans="5:6" x14ac:dyDescent="0.25">
      <c r="E3075" s="1">
        <v>45944</v>
      </c>
      <c r="F3075">
        <v>4.25</v>
      </c>
    </row>
    <row r="3076" spans="5:6" x14ac:dyDescent="0.25">
      <c r="E3076" s="1">
        <v>45945</v>
      </c>
      <c r="F3076">
        <v>4.25</v>
      </c>
    </row>
    <row r="3077" spans="5:6" x14ac:dyDescent="0.25">
      <c r="E3077" s="1">
        <v>45946</v>
      </c>
      <c r="F3077">
        <v>4.25</v>
      </c>
    </row>
    <row r="3078" spans="5:6" x14ac:dyDescent="0.25">
      <c r="E3078" s="1">
        <v>45947</v>
      </c>
      <c r="F3078">
        <v>4.25</v>
      </c>
    </row>
    <row r="3079" spans="5:6" x14ac:dyDescent="0.25">
      <c r="E3079" s="1">
        <v>45950</v>
      </c>
      <c r="F3079">
        <v>4.25</v>
      </c>
    </row>
    <row r="3080" spans="5:6" x14ac:dyDescent="0.25">
      <c r="E3080" s="1">
        <v>45951</v>
      </c>
      <c r="F3080">
        <v>4.25</v>
      </c>
    </row>
    <row r="3081" spans="5:6" x14ac:dyDescent="0.25">
      <c r="E3081" s="1">
        <v>45952</v>
      </c>
      <c r="F3081">
        <v>4.25</v>
      </c>
    </row>
    <row r="3082" spans="5:6" x14ac:dyDescent="0.25">
      <c r="E3082" s="1">
        <v>45953</v>
      </c>
      <c r="F3082">
        <v>4.25</v>
      </c>
    </row>
    <row r="3083" spans="5:6" x14ac:dyDescent="0.25">
      <c r="E3083" s="1">
        <v>45954</v>
      </c>
      <c r="F3083">
        <v>4.25</v>
      </c>
    </row>
    <row r="3084" spans="5:6" x14ac:dyDescent="0.25">
      <c r="E3084" s="1">
        <v>45957</v>
      </c>
      <c r="F3084">
        <v>4.25</v>
      </c>
    </row>
    <row r="3085" spans="5:6" x14ac:dyDescent="0.25">
      <c r="E3085" s="1">
        <v>45958</v>
      </c>
      <c r="F3085">
        <v>4.25</v>
      </c>
    </row>
    <row r="3086" spans="5:6" x14ac:dyDescent="0.25">
      <c r="E3086" s="1">
        <v>45959</v>
      </c>
      <c r="F3086">
        <v>4</v>
      </c>
    </row>
    <row r="3087" spans="5:6" x14ac:dyDescent="0.25">
      <c r="E3087" s="1">
        <v>45960</v>
      </c>
      <c r="F3087">
        <v>4</v>
      </c>
    </row>
    <row r="3088" spans="5:6" x14ac:dyDescent="0.25">
      <c r="E3088" s="1">
        <v>45961</v>
      </c>
      <c r="F3088">
        <v>4</v>
      </c>
    </row>
    <row r="3089" spans="5:6" x14ac:dyDescent="0.25">
      <c r="E3089" s="1">
        <v>45964</v>
      </c>
      <c r="F3089">
        <v>4</v>
      </c>
    </row>
    <row r="3090" spans="5:6" x14ac:dyDescent="0.25">
      <c r="E3090" s="1">
        <v>45965</v>
      </c>
      <c r="F3090">
        <v>4</v>
      </c>
    </row>
    <row r="3091" spans="5:6" x14ac:dyDescent="0.25">
      <c r="E3091" s="1">
        <v>45966</v>
      </c>
      <c r="F3091">
        <v>4</v>
      </c>
    </row>
    <row r="3092" spans="5:6" x14ac:dyDescent="0.25">
      <c r="E3092" s="1">
        <v>45967</v>
      </c>
      <c r="F3092">
        <v>4</v>
      </c>
    </row>
    <row r="3093" spans="5:6" x14ac:dyDescent="0.25">
      <c r="E3093" s="1">
        <v>45968</v>
      </c>
      <c r="F3093">
        <v>4</v>
      </c>
    </row>
    <row r="3094" spans="5:6" x14ac:dyDescent="0.25">
      <c r="E3094" s="1">
        <v>45971</v>
      </c>
      <c r="F3094">
        <v>4</v>
      </c>
    </row>
    <row r="3095" spans="5:6" x14ac:dyDescent="0.25">
      <c r="E3095" s="1">
        <v>45972</v>
      </c>
      <c r="F3095">
        <v>4</v>
      </c>
    </row>
    <row r="3096" spans="5:6" x14ac:dyDescent="0.25">
      <c r="E3096" s="1">
        <v>45973</v>
      </c>
      <c r="F3096">
        <v>4</v>
      </c>
    </row>
    <row r="3097" spans="5:6" x14ac:dyDescent="0.25">
      <c r="E3097" s="1">
        <v>45974</v>
      </c>
      <c r="F3097">
        <v>4</v>
      </c>
    </row>
    <row r="3098" spans="5:6" x14ac:dyDescent="0.25">
      <c r="E3098" s="1">
        <v>45975</v>
      </c>
      <c r="F3098">
        <v>4</v>
      </c>
    </row>
    <row r="3099" spans="5:6" x14ac:dyDescent="0.25">
      <c r="E3099" s="1">
        <v>45978</v>
      </c>
      <c r="F3099">
        <v>4</v>
      </c>
    </row>
    <row r="3100" spans="5:6" x14ac:dyDescent="0.25">
      <c r="E3100" s="1">
        <v>45979</v>
      </c>
      <c r="F3100">
        <v>4</v>
      </c>
    </row>
    <row r="3101" spans="5:6" x14ac:dyDescent="0.25">
      <c r="E3101" s="1">
        <v>45980</v>
      </c>
      <c r="F3101">
        <v>4</v>
      </c>
    </row>
    <row r="3102" spans="5:6" x14ac:dyDescent="0.25">
      <c r="E3102" s="1">
        <v>45981</v>
      </c>
      <c r="F3102">
        <v>4</v>
      </c>
    </row>
    <row r="3103" spans="5:6" x14ac:dyDescent="0.25">
      <c r="E3103" s="1">
        <v>45982</v>
      </c>
      <c r="F3103">
        <v>4</v>
      </c>
    </row>
    <row r="3104" spans="5:6" x14ac:dyDescent="0.25">
      <c r="E3104" s="1">
        <v>45985</v>
      </c>
      <c r="F3104">
        <v>4</v>
      </c>
    </row>
    <row r="3105" spans="5:6" x14ac:dyDescent="0.25">
      <c r="E3105" s="1">
        <v>45986</v>
      </c>
      <c r="F3105">
        <v>4</v>
      </c>
    </row>
    <row r="3106" spans="5:6" x14ac:dyDescent="0.25">
      <c r="E3106" s="1">
        <v>45987</v>
      </c>
      <c r="F3106">
        <v>4</v>
      </c>
    </row>
    <row r="3107" spans="5:6" x14ac:dyDescent="0.25">
      <c r="E3107" s="1">
        <v>45988</v>
      </c>
      <c r="F3107">
        <v>4</v>
      </c>
    </row>
    <row r="3108" spans="5:6" x14ac:dyDescent="0.25">
      <c r="E3108" s="1">
        <v>45989</v>
      </c>
      <c r="F3108">
        <v>4</v>
      </c>
    </row>
    <row r="3109" spans="5:6" x14ac:dyDescent="0.25">
      <c r="E3109" s="1">
        <v>45992</v>
      </c>
      <c r="F3109">
        <v>4</v>
      </c>
    </row>
    <row r="3110" spans="5:6" x14ac:dyDescent="0.25">
      <c r="E3110" s="1">
        <v>45993</v>
      </c>
      <c r="F3110">
        <v>4</v>
      </c>
    </row>
    <row r="3111" spans="5:6" x14ac:dyDescent="0.25">
      <c r="E3111" s="1">
        <v>45994</v>
      </c>
      <c r="F3111">
        <v>4</v>
      </c>
    </row>
    <row r="3112" spans="5:6" x14ac:dyDescent="0.25">
      <c r="E3112" s="1">
        <v>45995</v>
      </c>
      <c r="F3112">
        <v>4</v>
      </c>
    </row>
    <row r="3113" spans="5:6" x14ac:dyDescent="0.25">
      <c r="E3113" s="1">
        <v>45996</v>
      </c>
      <c r="F3113">
        <v>4</v>
      </c>
    </row>
    <row r="3114" spans="5:6" x14ac:dyDescent="0.25">
      <c r="E3114" s="1">
        <v>45999</v>
      </c>
      <c r="F3114">
        <v>4</v>
      </c>
    </row>
    <row r="3115" spans="5:6" x14ac:dyDescent="0.25">
      <c r="E3115" s="1">
        <v>46000</v>
      </c>
      <c r="F3115">
        <v>4</v>
      </c>
    </row>
    <row r="3116" spans="5:6" x14ac:dyDescent="0.25">
      <c r="E3116" s="1">
        <v>46001</v>
      </c>
      <c r="F3116">
        <v>3.75</v>
      </c>
    </row>
    <row r="3117" spans="5:6" x14ac:dyDescent="0.25">
      <c r="E3117" s="1">
        <v>46002</v>
      </c>
      <c r="F3117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Vol_Surface</vt:lpstr>
      <vt:lpstr>FX_Levels</vt:lpstr>
      <vt:lpstr>Forwards_Basis</vt:lpstr>
      <vt:lpstr>Interest_Rates</vt:lpstr>
      <vt:lpstr>Funding_Liquidity</vt:lpstr>
      <vt:lpstr>Capital_Flows</vt:lpstr>
      <vt:lpstr>Global_Risk</vt:lpstr>
      <vt:lpstr>China_Macro</vt:lpstr>
      <vt:lpstr>US_Macro</vt:lpstr>
      <vt:lpstr>Policy_Rates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nl2992</cp:lastModifiedBy>
  <dcterms:created xsi:type="dcterms:W3CDTF">2025-12-11T20:53:43Z</dcterms:created>
  <dcterms:modified xsi:type="dcterms:W3CDTF">2025-12-11T21:10:50Z</dcterms:modified>
</cp:coreProperties>
</file>